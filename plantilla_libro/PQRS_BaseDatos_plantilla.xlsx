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puestas de formulario 1" sheetId="1" state="visible" r:id="rId1"/>
    <sheet xmlns:r="http://schemas.openxmlformats.org/officeDocument/2006/relationships" name="Plantillas" sheetId="2" state="hidden" r:id="rId2"/>
    <sheet xmlns:r="http://schemas.openxmlformats.org/officeDocument/2006/relationships" name="LÉEME" sheetId="3" state="hidden" r:id="rId3"/>
    <sheet xmlns:r="http://schemas.openxmlformats.org/officeDocument/2006/relationships" name="Consolidado_PQRS" sheetId="4" state="visible" r:id="rId4"/>
    <sheet xmlns:r="http://schemas.openxmlformats.org/officeDocument/2006/relationships" name="Trazabilidad" sheetId="5" state="hidden" r:id="rId5"/>
    <sheet xmlns:r="http://schemas.openxmlformats.org/officeDocument/2006/relationships" name="Responsables" sheetId="6" state="visible" r:id="rId6"/>
    <sheet xmlns:r="http://schemas.openxmlformats.org/officeDocument/2006/relationships" name="Mapeo_Formulario" sheetId="7" state="hidden" r:id="rId7"/>
    <sheet xmlns:r="http://schemas.openxmlformats.org/officeDocument/2006/relationships" name="Config" sheetId="8" state="visible" r:id="rId8"/>
  </sheets>
  <definedNames/>
  <calcPr calcId="124519" fullCalcOnLoad="1"/>
</workbook>
</file>

<file path=xl/styles.xml><?xml version="1.0" encoding="utf-8"?>
<styleSheet xmlns="http://schemas.openxmlformats.org/spreadsheetml/2006/main">
  <numFmts count="3">
    <numFmt numFmtId="164" formatCode="m/d/yyyy h:mm:ss"/>
    <numFmt numFmtId="165" formatCode="DD/MM/YYYY"/>
    <numFmt numFmtId="166" formatCode="DD/MM/YYYY HH:MM"/>
  </numFmts>
  <fonts count="14">
    <font>
      <name val="Calibri"/>
      <color theme="1"/>
      <sz val="11"/>
      <scheme val="minor"/>
    </font>
    <font>
      <name val="Calibri"/>
      <b val="1"/>
      <color rgb="FFFFFFFF"/>
      <sz val="15"/>
    </font>
    <font/>
    <font>
      <name val="Calibri"/>
      <i val="1"/>
      <color rgb="FF006081"/>
      <sz val="10"/>
    </font>
    <font>
      <name val="Calibri"/>
      <b val="1"/>
      <color rgb="FFFFFFFF"/>
      <scheme val="minor"/>
    </font>
    <font>
      <name val="Calibri"/>
      <b val="1"/>
      <color theme="1"/>
      <sz val="10"/>
    </font>
    <font>
      <name val="Calibri"/>
      <color theme="1"/>
      <scheme val="minor"/>
    </font>
    <font>
      <name val="Calibri"/>
      <color theme="1"/>
      <sz val="10"/>
    </font>
    <font>
      <name val="Calibri"/>
      <b val="1"/>
      <color rgb="FFFFFFFF"/>
      <sz val="9"/>
    </font>
    <font>
      <name val="Calibri"/>
      <b val="1"/>
      <color theme="1"/>
      <scheme val="minor"/>
    </font>
    <font>
      <name val="Consolas"/>
      <b val="1"/>
      <color rgb="FF004A63"/>
      <sz val="9"/>
    </font>
    <font>
      <name val="Calibri"/>
      <color theme="1"/>
      <sz val="11"/>
    </font>
    <font>
      <name val="Consolas"/>
      <color theme="1"/>
      <sz val="9"/>
    </font>
    <font>
      <name val="Calibri"/>
      <b val="1"/>
      <color rgb="FFFFFFFF"/>
      <sz val="10"/>
    </font>
  </fonts>
  <fills count="11">
    <fill>
      <patternFill/>
    </fill>
    <fill>
      <patternFill patternType="lightGray"/>
    </fill>
    <fill>
      <patternFill patternType="solid">
        <fgColor rgb="FF006081"/>
        <bgColor rgb="FF006081"/>
      </patternFill>
    </fill>
    <fill>
      <patternFill patternType="solid">
        <fgColor rgb="FF0B7A9E"/>
        <bgColor rgb="FF0B7A9E"/>
      </patternFill>
    </fill>
    <fill>
      <patternFill patternType="solid">
        <fgColor rgb="FF1A6E8E"/>
        <bgColor rgb="FF1A6E8E"/>
      </patternFill>
    </fill>
    <fill>
      <patternFill patternType="solid">
        <fgColor rgb="FF2E7D9B"/>
        <bgColor rgb="FF2E7D9B"/>
      </patternFill>
    </fill>
    <fill>
      <patternFill patternType="solid">
        <fgColor rgb="FF37718A"/>
        <bgColor rgb="FF37718A"/>
      </patternFill>
    </fill>
    <fill>
      <patternFill patternType="solid">
        <fgColor rgb="FF4A6B7C"/>
        <bgColor rgb="FF4A6B7C"/>
      </patternFill>
    </fill>
    <fill>
      <patternFill patternType="solid">
        <fgColor rgb="FF6A4C93"/>
        <bgColor rgb="FF6A4C93"/>
      </patternFill>
    </fill>
    <fill>
      <patternFill patternType="solid">
        <fgColor rgb="FF7E8C93"/>
        <bgColor rgb="FF7E8C93"/>
      </patternFill>
    </fill>
    <fill>
      <patternFill patternType="solid">
        <fgColor rgb="FFFFF3CD"/>
        <bgColor rgb="FFFFF3CD"/>
      </patternFill>
    </fill>
  </fills>
  <borders count="11">
    <border/>
    <border>
      <left/>
      <top/>
      <bottom/>
    </border>
    <border>
      <right/>
      <top/>
      <bottom/>
    </border>
    <border>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right/>
      <top/>
      <bottom/>
    </border>
    <border>
      <top style="thin">
        <color rgb="FFBFBFBF"/>
      </top>
    </border>
    <border>
      <right style="thin">
        <color rgb="FFBFBFBF"/>
      </right>
      <top style="thin">
        <color rgb="FFBFBFBF"/>
      </top>
    </border>
  </borders>
  <cellStyleXfs count="1">
    <xf numFmtId="0" fontId="0" fillId="0" borderId="0"/>
  </cellStyleXfs>
  <cellXfs count="70">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3" fillId="0" borderId="0" applyAlignment="1" pivotButton="0" quotePrefix="0" xfId="0">
      <alignment horizontal="left" vertical="center"/>
    </xf>
    <xf numFmtId="0" fontId="4" fillId="3" borderId="0" pivotButton="0" quotePrefix="0" xfId="0"/>
    <xf numFmtId="0" fontId="2" fillId="0" borderId="3" pivotButton="0" quotePrefix="0" xfId="0"/>
    <xf numFmtId="0" fontId="5"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3" borderId="4" applyAlignment="1" pivotButton="0" quotePrefix="0" xfId="0">
      <alignment horizontal="center" vertical="center"/>
    </xf>
    <xf numFmtId="0" fontId="2" fillId="0" borderId="5" pivotButton="0" quotePrefix="0" xfId="0"/>
    <xf numFmtId="0" fontId="2" fillId="0" borderId="6" pivotButton="0" quotePrefix="0" xfId="0"/>
    <xf numFmtId="0" fontId="8" fillId="4" borderId="4" applyAlignment="1" pivotButton="0" quotePrefix="0" xfId="0">
      <alignment horizontal="center" vertical="center"/>
    </xf>
    <xf numFmtId="0" fontId="8" fillId="5" borderId="4" applyAlignment="1" pivotButton="0" quotePrefix="0" xfId="0">
      <alignment horizontal="center" vertical="center"/>
    </xf>
    <xf numFmtId="0" fontId="8" fillId="6" borderId="4" applyAlignment="1" pivotButton="0" quotePrefix="0" xfId="0">
      <alignment horizontal="center" vertical="center"/>
    </xf>
    <xf numFmtId="0" fontId="6" fillId="0" borderId="0" applyAlignment="1" pivotButton="0" quotePrefix="0" xfId="0">
      <alignment horizontal="left" vertical="center"/>
    </xf>
    <xf numFmtId="0" fontId="8" fillId="7" borderId="4" applyAlignment="1" pivotButton="0" quotePrefix="0" xfId="0">
      <alignment horizontal="center" vertical="center"/>
    </xf>
    <xf numFmtId="0" fontId="9" fillId="0" borderId="0" applyAlignment="1" pivotButton="0" quotePrefix="0" xfId="0">
      <alignment horizontal="left" vertical="center"/>
    </xf>
    <xf numFmtId="0" fontId="8" fillId="8" borderId="4" applyAlignment="1" pivotButton="0" quotePrefix="0" xfId="0">
      <alignment horizontal="center" vertical="center"/>
    </xf>
    <xf numFmtId="0" fontId="8" fillId="9" borderId="4" applyAlignment="1" pivotButton="0" quotePrefix="0" xfId="0">
      <alignment horizontal="center" vertical="center"/>
    </xf>
    <xf numFmtId="0" fontId="8" fillId="3" borderId="7" applyAlignment="1" pivotButton="0" quotePrefix="0" xfId="0">
      <alignment horizontal="center" vertical="center" wrapText="1"/>
    </xf>
    <xf numFmtId="0" fontId="8" fillId="4" borderId="7" applyAlignment="1" pivotButton="0" quotePrefix="0" xfId="0">
      <alignment horizontal="center" vertical="center" wrapText="1"/>
    </xf>
    <xf numFmtId="0" fontId="8" fillId="5"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0" borderId="0" applyAlignment="1" pivotButton="0" quotePrefix="0" xfId="0">
      <alignment horizontal="left" vertical="center"/>
    </xf>
    <xf numFmtId="0" fontId="8" fillId="7" borderId="7" applyAlignment="1" pivotButton="0" quotePrefix="0" xfId="0">
      <alignment horizontal="center" vertical="center" wrapText="1"/>
    </xf>
    <xf numFmtId="1" fontId="8" fillId="7" borderId="7" applyAlignment="1" pivotButton="0" quotePrefix="0" xfId="0">
      <alignment horizontal="center" vertical="center" wrapText="1"/>
    </xf>
    <xf numFmtId="0" fontId="8" fillId="8" borderId="7" applyAlignment="1" pivotButton="0" quotePrefix="0" xfId="0">
      <alignment horizontal="center" vertical="center" wrapText="1"/>
    </xf>
    <xf numFmtId="0" fontId="8" fillId="9" borderId="7" applyAlignment="1" pivotButton="0" quotePrefix="0" xfId="0">
      <alignment horizontal="center" vertical="center" wrapText="1"/>
    </xf>
    <xf numFmtId="0" fontId="10" fillId="0" borderId="7" pivotButton="0" quotePrefix="0" xfId="0"/>
    <xf numFmtId="0" fontId="11" fillId="0" borderId="7" pivotButton="0" quotePrefix="0" xfId="0"/>
    <xf numFmtId="0" fontId="8" fillId="3" borderId="7" applyAlignment="1" pivotButton="0" quotePrefix="0" xfId="0">
      <alignment horizontal="center"/>
    </xf>
    <xf numFmtId="0" fontId="5" fillId="0" borderId="0" pivotButton="0" quotePrefix="0" xfId="0"/>
    <xf numFmtId="164" fontId="6" fillId="0" borderId="0" pivotButton="0" quotePrefix="0" xfId="0"/>
    <xf numFmtId="0" fontId="12" fillId="0" borderId="0" pivotButton="0" quotePrefix="0" xfId="0"/>
    <xf numFmtId="0" fontId="7" fillId="0" borderId="7" pivotButton="0" quotePrefix="0" xfId="0"/>
    <xf numFmtId="0" fontId="7" fillId="0" borderId="7" pivotButton="0" quotePrefix="0" xfId="0"/>
    <xf numFmtId="0" fontId="7" fillId="10" borderId="7" pivotButton="0" quotePrefix="0" xfId="0"/>
    <xf numFmtId="0" fontId="7" fillId="10" borderId="7" pivotButton="0" quotePrefix="0" xfId="0"/>
    <xf numFmtId="165" fontId="11" fillId="0" borderId="7" pivotButton="0" quotePrefix="0" xfId="0"/>
    <xf numFmtId="166" fontId="11" fillId="0" borderId="7" pivotButton="0" quotePrefix="0" xfId="0"/>
    <xf numFmtId="0" fontId="11" fillId="0" borderId="7" applyAlignment="1" pivotButton="0" quotePrefix="0" xfId="0">
      <alignment wrapText="1"/>
    </xf>
    <xf numFmtId="1" fontId="11" fillId="0" borderId="7" pivotButton="0" quotePrefix="0" xfId="0"/>
    <xf numFmtId="0" fontId="1" fillId="2" borderId="1" applyAlignment="1" pivotButton="0" quotePrefix="0" xfId="0">
      <alignment horizontal="left" vertical="center" wrapText="1"/>
    </xf>
    <xf numFmtId="0" fontId="6" fillId="0" borderId="0" applyAlignment="1" pivotButton="0" quotePrefix="0" xfId="0">
      <alignment wrapText="1"/>
    </xf>
    <xf numFmtId="0" fontId="3" fillId="0" borderId="0" applyAlignment="1" pivotButton="0" quotePrefix="0" xfId="0">
      <alignment horizontal="left" vertical="center" wrapText="1"/>
    </xf>
    <xf numFmtId="0" fontId="13" fillId="2" borderId="1" applyAlignment="1" pivotButton="0" quotePrefix="0" xfId="0">
      <alignment horizontal="left" wrapText="1"/>
    </xf>
    <xf numFmtId="0" fontId="8" fillId="3" borderId="7" applyAlignment="1" pivotButton="0" quotePrefix="0" xfId="0">
      <alignment horizontal="center" wrapText="1"/>
    </xf>
    <xf numFmtId="0" fontId="7" fillId="0" borderId="7" applyAlignment="1" pivotButton="0" quotePrefix="0" xfId="0">
      <alignment wrapText="1"/>
    </xf>
    <xf numFmtId="165" fontId="11" fillId="0" borderId="7" applyAlignment="1" pivotButton="0" quotePrefix="0" xfId="0">
      <alignment wrapText="1"/>
    </xf>
    <xf numFmtId="0" fontId="5" fillId="0" borderId="7" applyAlignment="1" pivotButton="0" quotePrefix="0" xfId="0">
      <alignment wrapText="1"/>
    </xf>
    <xf numFmtId="0" fontId="11" fillId="0" borderId="7" applyAlignment="1" pivotButton="0" quotePrefix="0" xfId="0">
      <alignment horizontal="center" wrapText="1"/>
    </xf>
    <xf numFmtId="0" fontId="11" fillId="0" borderId="7" applyAlignment="1" pivotButton="0" quotePrefix="0" xfId="0">
      <alignment horizontal="center" wrapText="1"/>
    </xf>
    <xf numFmtId="0" fontId="7"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1" fontId="6" fillId="0" borderId="0" pivotButton="0" quotePrefix="0" xfId="0"/>
    <xf numFmtId="0" fontId="0" fillId="0" borderId="0" pivotButton="0" quotePrefix="0" xfId="0"/>
    <xf numFmtId="0" fontId="1" fillId="2" borderId="8" applyAlignment="1" pivotButton="0" quotePrefix="0" xfId="0">
      <alignment horizontal="left" vertical="center"/>
    </xf>
    <xf numFmtId="0" fontId="8" fillId="3" borderId="7" applyAlignment="1" pivotButton="0" quotePrefix="0" xfId="0">
      <alignment horizontal="center" vertical="center"/>
    </xf>
    <xf numFmtId="0" fontId="0" fillId="0" borderId="5" pivotButton="0" quotePrefix="0" xfId="0"/>
    <xf numFmtId="0" fontId="0" fillId="0" borderId="6" pivotButton="0" quotePrefix="0" xfId="0"/>
    <xf numFmtId="0" fontId="8" fillId="4" borderId="7" applyAlignment="1" pivotButton="0" quotePrefix="0" xfId="0">
      <alignment horizontal="center" vertical="center"/>
    </xf>
    <xf numFmtId="0" fontId="8" fillId="5" borderId="7" applyAlignment="1" pivotButton="0" quotePrefix="0" xfId="0">
      <alignment horizontal="center" vertical="center"/>
    </xf>
    <xf numFmtId="0" fontId="8" fillId="6" borderId="7" applyAlignment="1" pivotButton="0" quotePrefix="0" xfId="0">
      <alignment horizontal="center" vertical="center"/>
    </xf>
    <xf numFmtId="0" fontId="8" fillId="7" borderId="7" applyAlignment="1" pivotButton="0" quotePrefix="0" xfId="0">
      <alignment horizontal="center" vertical="center"/>
    </xf>
    <xf numFmtId="0" fontId="8" fillId="8" borderId="7" applyAlignment="1" pivotButton="0" quotePrefix="0" xfId="0">
      <alignment horizontal="center" vertical="center"/>
    </xf>
    <xf numFmtId="0" fontId="8" fillId="9" borderId="7" applyAlignment="1" pivotButton="0" quotePrefix="0" xfId="0">
      <alignment horizontal="center" vertical="center"/>
    </xf>
    <xf numFmtId="0" fontId="1" fillId="2" borderId="8" applyAlignment="1" pivotButton="0" quotePrefix="0" xfId="0">
      <alignment horizontal="left" vertical="center" wrapText="1"/>
    </xf>
    <xf numFmtId="0" fontId="13" fillId="2" borderId="8" applyAlignment="1" pivotButton="0" quotePrefix="0" xfId="0">
      <alignment horizontal="left" wrapText="1"/>
    </xf>
  </cellXfs>
  <cellStyles count="1">
    <cellStyle name="Normal" xfId="0" builtinId="0"/>
  </cellStyles>
  <dxfs count="11">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BD9DE"/>
          <bgColor rgb="FFFBD9DE"/>
        </patternFill>
      </fill>
      <border/>
    </dxf>
    <dxf>
      <font/>
      <fill>
        <patternFill patternType="solid">
          <fgColor rgb="FFFFF3CD"/>
          <bgColor rgb="FFFFF3CD"/>
        </patternFill>
      </fill>
      <border/>
    </dxf>
    <dxf>
      <font/>
      <fill>
        <patternFill patternType="solid">
          <fgColor rgb="FFD9EAD9"/>
          <bgColor rgb="FFD9EAD9"/>
        </patternFill>
      </fill>
      <border/>
    </dxf>
    <dxf>
      <font/>
      <fill>
        <patternFill patternType="solid">
          <fgColor rgb="FFF2F2F2"/>
          <bgColor rgb="FFF2F2F2"/>
        </patternFill>
      </fill>
      <border/>
    </dxf>
    <dxf>
      <font/>
      <fill>
        <patternFill patternType="solid">
          <fgColor rgb="FFDCEEF2"/>
          <bgColor rgb="FFDCEEF2"/>
        </patternFill>
      </fill>
      <border/>
    </dxf>
    <dxf>
      <font/>
      <fill>
        <patternFill patternType="solid">
          <fgColor rgb="FFFFE0B2"/>
          <bgColor rgb="FFFFE0B2"/>
        </patternFill>
      </fill>
      <border/>
    </dxf>
  </dxfs>
  <tableStyles count="1" defaultTableStyle="TableStyleMedium9" defaultPivotStyle="PivotStyleLight16">
    <tableStyle name="Respuestas de formulario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Form_Responses" displayName="Form_Responses" ref="A1:R1" headerRowCount="0">
  <tableColumns count="1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s>
  <tableStyleInfo name="Respuestas de formulario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R1"/>
  <sheetViews>
    <sheetView workbookViewId="0">
      <pane ySplit="1" topLeftCell="A2" activePane="bottomLeft" state="frozen"/>
      <selection pane="bottomLeft" activeCell="B3" sqref="B3"/>
    </sheetView>
  </sheetViews>
  <sheetFormatPr baseColWidth="8" defaultColWidth="14.43" defaultRowHeight="15" customHeight="1"/>
  <cols>
    <col width="21.57" customWidth="1" style="57" min="1" max="1"/>
    <col width="22.14" customWidth="1" style="57" min="2" max="2"/>
    <col width="21.57" customWidth="1" style="57" min="3" max="3"/>
    <col width="24.71" customWidth="1" style="57" min="4" max="4"/>
    <col width="31" customWidth="1" style="57" min="5" max="5"/>
    <col width="36.29" customWidth="1" style="57" min="6" max="6"/>
    <col width="21.57" customWidth="1" style="57" min="7" max="8"/>
    <col width="25.29" customWidth="1" style="57" min="9" max="9"/>
    <col width="21.57" customWidth="1" style="57" min="10" max="10"/>
    <col width="24.57" customWidth="1" style="57" min="11" max="11"/>
    <col width="27.14" customWidth="1" style="57" min="12" max="12"/>
    <col width="23.86" customWidth="1" style="57" min="13" max="13"/>
    <col width="21.57" customWidth="1" style="57" min="14" max="14"/>
    <col width="43" customWidth="1" style="57" min="15" max="16"/>
    <col width="26.86" customWidth="1" style="57" min="17" max="17"/>
    <col width="21.57" customWidth="1" style="57" min="18" max="24"/>
  </cols>
  <sheetData>
    <row r="1" ht="22.5" customHeight="1" s="57">
      <c r="A1" s="15" t="inlineStr">
        <is>
          <t>Marca temporal</t>
        </is>
      </c>
      <c r="B1" s="24" t="inlineStr">
        <is>
          <t>Tipo de solicitud</t>
        </is>
      </c>
      <c r="C1" s="24" t="inlineStr">
        <is>
          <t>Usted es:</t>
        </is>
      </c>
      <c r="D1" s="24" t="inlineStr">
        <is>
          <t>Tipo de documento</t>
        </is>
      </c>
      <c r="E1" s="24" t="inlineStr">
        <is>
          <t>Número de identificación.</t>
        </is>
      </c>
      <c r="F1" s="24" t="inlineStr">
        <is>
          <t>Nombre completo del paciente:</t>
        </is>
      </c>
      <c r="G1" s="24" t="inlineStr">
        <is>
          <t>Edad</t>
        </is>
      </c>
      <c r="H1" s="24" t="inlineStr">
        <is>
          <t>Sexo</t>
        </is>
      </c>
      <c r="I1" s="24" t="inlineStr">
        <is>
          <t>Número de teléfono</t>
        </is>
      </c>
      <c r="J1" s="24" t="inlineStr">
        <is>
          <t>Dirección.</t>
        </is>
      </c>
      <c r="K1" s="24" t="inlineStr">
        <is>
          <t>Correo electrónico.</t>
        </is>
      </c>
      <c r="L1" s="24" t="inlineStr">
        <is>
          <t>Población diferencial.</t>
        </is>
      </c>
      <c r="M1" s="24" t="inlineStr">
        <is>
          <t>Seleccione su EPS</t>
        </is>
      </c>
      <c r="N1" s="24" t="inlineStr">
        <is>
          <t>Régimen.</t>
        </is>
      </c>
      <c r="O1" s="24" t="inlineStr">
        <is>
          <t>Indique la sede (CAMINO o PASO) donde recibió la atención.</t>
        </is>
      </c>
      <c r="P1" s="24" t="inlineStr">
        <is>
          <t>Servicio o área a la que a vinculado su opinión.</t>
        </is>
      </c>
      <c r="Q1" s="24" t="inlineStr">
        <is>
          <t>Describa su solicitud.</t>
        </is>
      </c>
      <c r="R1" s="24" t="inlineStr">
        <is>
          <t>Columna 17</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C9"/>
  <sheetViews>
    <sheetView workbookViewId="0">
      <pane ySplit="1" topLeftCell="A2" activePane="bottomLeft" state="frozen"/>
      <selection pane="bottomLeft" activeCell="B3" sqref="B3"/>
    </sheetView>
  </sheetViews>
  <sheetFormatPr baseColWidth="8" defaultColWidth="14.43" defaultRowHeight="15" customHeight="1"/>
  <cols>
    <col width="11.57" customWidth="1" style="57" min="1" max="1"/>
    <col width="43" customWidth="1" style="57" min="2" max="2"/>
    <col width="100.14" customWidth="1" style="57" min="3" max="3"/>
  </cols>
  <sheetData>
    <row r="1">
      <c r="A1" s="4" t="inlineStr">
        <is>
          <t>CÓDIGO</t>
        </is>
      </c>
      <c r="B1" s="4" t="inlineStr">
        <is>
          <t>TIPOLOGÍA</t>
        </is>
      </c>
      <c r="C1" s="4" t="inlineStr">
        <is>
          <t>TEXTO DE RESPUESTA</t>
        </is>
      </c>
    </row>
    <row r="2">
      <c r="A2" s="7" t="inlineStr">
        <is>
          <t>T1</t>
        </is>
      </c>
      <c r="B2" s="7" t="inlineStr">
        <is>
          <t>Oportunidad en citas de especialista</t>
        </is>
      </c>
      <c r="C2" s="7" t="inlineStr">
        <is>
          <t>Reciba un cordial saludo.
Agradecemos que nos haya compartido su experiencia. Verificamos su caso con el área asistencial y se realizó la gestión ante el prestador para garantizar la asignación de su cita dentro del término establecido en la Resolución 1552 de 2013.
Quedamos atentos a cualquier inquietud adicional.</t>
        </is>
      </c>
    </row>
    <row r="3">
      <c r="A3" s="7" t="inlineStr">
        <is>
          <t>T2</t>
        </is>
      </c>
      <c r="B3" s="7" t="inlineStr">
        <is>
          <t>Entrega de medicamentos</t>
        </is>
      </c>
      <c r="C3" s="7" t="inlineStr">
        <is>
          <t>Reciba un cordial saludo.
Revisamos su solicitud con el servicio farmacéutico y se adelantó la gestión para garantizar el suministro de su medicamento. Su tratamiento continuará sin interrupciones según el plan de manejo médico.
Agradecemos su comprensión.</t>
        </is>
      </c>
    </row>
    <row r="4">
      <c r="A4" s="7" t="inlineStr">
        <is>
          <t>T3</t>
        </is>
      </c>
      <c r="B4" s="7" t="inlineStr">
        <is>
          <t>Programación de cirugías</t>
        </is>
      </c>
      <c r="C4" s="7" t="inlineStr">
        <is>
          <t>Reciba un cordial saludo.
Su caso fue revisado con el área quirúrgica, que adelantó la gestión para la programación de su procedimiento. La fecha definitiva será informada al contacto que registró en su solicitud.
Agradecemos su paciencia.</t>
        </is>
      </c>
    </row>
    <row r="5">
      <c r="A5" s="7" t="inlineStr">
        <is>
          <t>T4</t>
        </is>
      </c>
      <c r="B5" s="7" t="inlineStr">
        <is>
          <t>Trato del personal</t>
        </is>
      </c>
      <c r="C5" s="7" t="inlineStr">
        <is>
          <t>Reciba un cordial saludo.
Lamentamos la situación que nos describe. Su caso fue remitido al área responsable y a Talento Humano para la revisión correspondiente y las acciones de mejora a que haya lugar.
Reiteramos nuestro compromiso con una atención humanizada y le agradecemos habernos informado.</t>
        </is>
      </c>
    </row>
    <row r="6">
      <c r="A6" s="7" t="inlineStr">
        <is>
          <t>T5</t>
        </is>
      </c>
      <c r="B6" s="7" t="inlineStr">
        <is>
          <t>Autorizaciones y trámites administrativos</t>
        </is>
      </c>
      <c r="C6" s="7" t="inlineStr">
        <is>
          <t>Reciba un cordial saludo.
Realizamos el seguimiento ante el área de Autorizaciones y su trámite fue gestionado. Puede verificar el estado del servicio en nuestros canales de atención.
Quedamos atentos a cualquier inquietud adicional.</t>
        </is>
      </c>
    </row>
    <row r="7">
      <c r="A7" s="7" t="inlineStr">
        <is>
          <t>T6</t>
        </is>
      </c>
      <c r="B7" s="7" t="inlineStr">
        <is>
          <t>Infraestructura, aseo y comodidad</t>
        </is>
      </c>
      <c r="C7" s="7" t="inlineStr">
        <is>
          <t>Reciba un cordial saludo.
Trasladamos su observación al área de servicios generales e infraestructura, que adelantó la revisión y las acciones correctivas correspondientes en la sede.
Agradecemos su reporte: nos ayuda a mejorar las condiciones de atención.</t>
        </is>
      </c>
    </row>
    <row r="8">
      <c r="A8" s="7" t="inlineStr">
        <is>
          <t>T7</t>
        </is>
      </c>
      <c r="B8" s="7" t="inlineStr">
        <is>
          <t>Facturación y cobros</t>
        </is>
      </c>
      <c r="C8" s="7" t="inlineStr">
        <is>
          <t>Reciba un cordial saludo.
Su solicitud fue revisada con el área de facturación, donde se verificó el cobro y se realizaron los ajustes que correspondían.
Agradecemos su comprensión.</t>
        </is>
      </c>
    </row>
    <row r="9">
      <c r="A9" s="7" t="inlineStr">
        <is>
          <t>T8</t>
        </is>
      </c>
      <c r="B9" s="7" t="inlineStr">
        <is>
          <t>Agradecimiento por felicitación</t>
        </is>
      </c>
      <c r="C9" s="7" t="inlineStr">
        <is>
          <t>Reciba un cordial saludo.
Agradecemos el tiempo que dedicó a reconocer la labor de nuestro equipo. Su mensaje fue compartido con el área y con las personas que menciona: este tipo de comentarios motiva e impulsa nuestro compromiso con la atención.
Gracias por confiar en MiRed IPS.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ColWidth="14.43" defaultRowHeight="15" customHeight="1"/>
  <cols>
    <col width="4" customWidth="1" style="57" min="1" max="1"/>
    <col width="112" customWidth="1" style="57" min="2" max="2"/>
    <col width="8.710000000000001" customWidth="1" style="57" min="3" max="26"/>
  </cols>
  <sheetData>
    <row r="1" ht="30" customHeight="1" s="57">
      <c r="A1" s="58" t="inlineStr">
        <is>
          <t>SISTEMA PQRS v4 — MiRed Barranquilla IPS S.A.S.</t>
        </is>
      </c>
    </row>
    <row r="2">
      <c r="A2" s="3" t="inlineStr">
        <is>
          <t>Todo se opera desde la plataforma web. Este libro es la base de datos.</t>
        </is>
      </c>
    </row>
    <row r="3"/>
    <row r="4">
      <c r="A4" s="6" t="inlineStr">
        <is>
          <t>Cómo funciona</t>
        </is>
      </c>
    </row>
    <row r="5" ht="30" customHeight="1" s="57">
      <c r="A5" s="8" t="inlineStr">
        <is>
          <t>La plataforma web es el único sitio donde se trabaja: radicar, analizar, direccionar al área, registrar la respuesta del responsable, responder al usuario y ver el tablero. Este libro guarda los datos y sirve de respaldo y de fuente para los informes.</t>
        </is>
      </c>
    </row>
    <row r="6">
      <c r="A6" s="8" t="n"/>
    </row>
    <row r="7">
      <c r="A7" s="6" t="inlineStr">
        <is>
          <t>Hojas</t>
        </is>
      </c>
    </row>
    <row r="8" ht="30" customHeight="1" s="57">
      <c r="A8" s="8" t="inlineStr">
        <is>
          <t>• Consolidado_PQRS — una fila por PQRS, con las tres fechas separadas: la de la PQRS (la que trae el documento del usuario), la de recepción en el SIAU y la de radicación en el sistema, que es desde la que corre el término legal.</t>
        </is>
      </c>
    </row>
    <row r="9">
      <c r="A9" s="8" t="inlineStr">
        <is>
          <t>• Trazabilidad — bitácora de cada acción: quién, cuándo y qué hizo con cada radicado.</t>
        </is>
      </c>
    </row>
    <row r="10">
      <c r="A10" s="8" t="inlineStr">
        <is>
          <t>• Responsables — áreas, nombres y correos. Se administra desde la plataforma.</t>
        </is>
      </c>
    </row>
    <row r="11" ht="30" customHeight="1" s="57">
      <c r="A11" s="8" t="inlineStr">
        <is>
          <t>• Mapeo_Formulario — equivalencia entre las preguntas de tu Google Form y los campos del sistema.</t>
        </is>
      </c>
    </row>
    <row r="12">
      <c r="A12" s="8" t="inlineStr">
        <is>
          <t>• Config — términos legales, festivos, listas y parámetros.</t>
        </is>
      </c>
    </row>
    <row r="13">
      <c r="A13" s="8" t="n"/>
    </row>
    <row r="14">
      <c r="A14" s="6" t="inlineStr">
        <is>
          <t>El flujo de una PQRS</t>
        </is>
      </c>
    </row>
    <row r="15" ht="30" customHeight="1" s="57">
      <c r="A15" s="8" t="inlineStr">
        <is>
          <t>1. Se radica (presencial en la plataforma, por el formulario del QR o por correo) → el usuario recibe el acuse.</t>
        </is>
      </c>
    </row>
    <row r="16" ht="30" customHeight="1" s="57">
      <c r="A16" s="8" t="inlineStr">
        <is>
          <t>2. El SIAU la analiza, la clasifica y elige el área responsable → sale el correo al área y, al mismo tiempo, el aviso al usuario de que su PQRS está en gestión.</t>
        </is>
      </c>
    </row>
    <row r="17" ht="30" customHeight="1" s="57">
      <c r="A17" s="8" t="inlineStr">
        <is>
          <t>3. Si se envió al área equivocada, se redirecciona desde la plataforma: se notifica a la nueva área y queda el registro del cambio.</t>
        </is>
      </c>
    </row>
    <row r="18">
      <c r="A18" s="8" t="inlineStr">
        <is>
          <t>4. El área responde por correo interno; el SIAU pega esa respuesta en la plataforma.</t>
        </is>
      </c>
    </row>
    <row r="19">
      <c r="A19" s="8" t="inlineStr">
        <is>
          <t>5. El SIAU ajusta el texto para el usuario y cierra: sale el correo de respuesta final.</t>
        </is>
      </c>
    </row>
    <row r="21" ht="15.75" customHeight="1" s="57"/>
    <row r="22" ht="15.75" customHeight="1" s="57"/>
    <row r="23" ht="15.75" customHeight="1" s="57"/>
    <row r="24" ht="15.75" customHeight="1" s="57"/>
    <row r="25" ht="15.75" customHeight="1" s="57"/>
    <row r="26" ht="15.75" customHeight="1" s="57"/>
    <row r="27" ht="15.75" customHeight="1" s="57"/>
    <row r="28" ht="15.75" customHeight="1" s="57"/>
    <row r="29" ht="15.75" customHeight="1" s="57"/>
    <row r="30" ht="15.75" customHeight="1" s="57"/>
    <row r="31" ht="15.75" customHeight="1" s="57"/>
    <row r="32" ht="15.75" customHeight="1" s="57"/>
    <row r="33" ht="15.75" customHeight="1" s="57"/>
    <row r="34" ht="15.75" customHeight="1" s="57"/>
    <row r="35" ht="15.75" customHeight="1" s="57"/>
    <row r="36" ht="15.75" customHeight="1" s="57"/>
    <row r="37" ht="15.75" customHeight="1" s="57"/>
    <row r="38" ht="15.75" customHeight="1" s="57"/>
    <row r="39" ht="15.75" customHeight="1" s="57"/>
    <row r="40" ht="15.75" customHeight="1" s="57"/>
    <row r="41" ht="15.75" customHeight="1" s="57"/>
    <row r="42" ht="15.75" customHeight="1" s="57"/>
    <row r="43" ht="15.75" customHeight="1" s="57"/>
    <row r="44" ht="15.75" customHeight="1" s="57"/>
    <row r="45" ht="15.75" customHeight="1" s="57"/>
    <row r="46" ht="15.75" customHeight="1" s="57"/>
    <row r="47" ht="15.75" customHeight="1" s="57"/>
    <row r="48" ht="15.75" customHeight="1" s="57"/>
    <row r="49" ht="15.75" customHeight="1" s="57"/>
    <row r="50" ht="15.75" customHeight="1" s="57"/>
    <row r="51" ht="15.75" customHeight="1" s="57"/>
    <row r="52" ht="15.75" customHeight="1" s="57"/>
    <row r="53" ht="15.75" customHeight="1" s="57"/>
    <row r="54" ht="15.75" customHeight="1" s="57"/>
    <row r="55" ht="15.75" customHeight="1" s="57"/>
    <row r="56" ht="15.75" customHeight="1" s="57"/>
    <row r="57" ht="15.75" customHeight="1" s="57"/>
    <row r="58" ht="15.75" customHeight="1" s="57"/>
    <row r="59" ht="15.75" customHeight="1" s="57"/>
    <row r="60" ht="15.75" customHeight="1" s="57"/>
    <row r="61" ht="15.75" customHeight="1" s="57"/>
    <row r="62" ht="15.75" customHeight="1" s="57"/>
    <row r="63" ht="15.75" customHeight="1" s="57"/>
    <row r="64" ht="15.75" customHeight="1" s="57"/>
    <row r="65" ht="15.75" customHeight="1" s="57"/>
    <row r="66" ht="15.75" customHeight="1" s="57"/>
    <row r="67" ht="15.75" customHeight="1" s="57"/>
    <row r="68" ht="15.75" customHeight="1" s="57"/>
    <row r="69" ht="15.75" customHeight="1" s="57"/>
    <row r="70" ht="15.75" customHeight="1" s="57"/>
    <row r="71" ht="15.75" customHeight="1" s="57"/>
    <row r="72" ht="15.75" customHeight="1" s="57"/>
    <row r="73" ht="15.75" customHeight="1" s="57"/>
    <row r="74" ht="15.75" customHeight="1" s="57"/>
    <row r="75" ht="15.75" customHeight="1" s="57"/>
    <row r="76" ht="15.75" customHeight="1" s="57"/>
    <row r="77" ht="15.75" customHeight="1" s="57"/>
    <row r="78" ht="15.75" customHeight="1" s="57"/>
    <row r="79" ht="15.75" customHeight="1" s="57"/>
    <row r="80" ht="15.75" customHeight="1" s="57"/>
    <row r="81" ht="15.75" customHeight="1" s="57"/>
    <row r="82" ht="15.75" customHeight="1" s="57"/>
    <row r="83" ht="15.75" customHeight="1" s="57"/>
    <row r="84" ht="15.75" customHeight="1" s="57"/>
    <row r="85" ht="15.75" customHeight="1" s="57"/>
    <row r="86" ht="15.75" customHeight="1" s="57"/>
    <row r="87" ht="15.75" customHeight="1" s="57"/>
    <row r="88" ht="15.75" customHeight="1" s="57"/>
    <row r="89" ht="15.75" customHeight="1" s="57"/>
    <row r="90" ht="15.75" customHeight="1" s="57"/>
    <row r="91" ht="15.75" customHeight="1" s="57"/>
    <row r="92" ht="15.75" customHeight="1" s="57"/>
    <row r="93" ht="15.75" customHeight="1" s="57"/>
    <row r="94" ht="15.75" customHeight="1" s="57"/>
    <row r="95" ht="15.75" customHeight="1" s="57"/>
    <row r="96" ht="15.75" customHeight="1" s="57"/>
    <row r="97" ht="15.75" customHeight="1" s="57"/>
    <row r="98" ht="15.75" customHeight="1" s="57"/>
    <row r="99" ht="15.75" customHeight="1" s="57"/>
    <row r="100" ht="15.75" customHeight="1" s="57"/>
    <row r="101" ht="15.75" customHeight="1" s="57"/>
    <row r="102" ht="15.75" customHeight="1" s="57"/>
    <row r="103" ht="15.75" customHeight="1" s="57"/>
    <row r="104" ht="15.75" customHeight="1" s="57"/>
    <row r="105" ht="15.75" customHeight="1" s="57"/>
    <row r="106" ht="15.75" customHeight="1" s="57"/>
    <row r="107" ht="15.75" customHeight="1" s="57"/>
    <row r="108" ht="15.75" customHeight="1" s="57"/>
    <row r="109" ht="15.75" customHeight="1" s="57"/>
    <row r="110" ht="15.75" customHeight="1" s="57"/>
    <row r="111" ht="15.75" customHeight="1" s="57"/>
    <row r="112" ht="15.75" customHeight="1" s="57"/>
    <row r="113" ht="15.75" customHeight="1" s="57"/>
    <row r="114" ht="15.75" customHeight="1" s="57"/>
    <row r="115" ht="15.75" customHeight="1" s="57"/>
    <row r="116" ht="15.75" customHeight="1" s="57"/>
    <row r="117" ht="15.75" customHeight="1" s="57"/>
    <row r="118" ht="15.75" customHeight="1" s="57"/>
    <row r="119" ht="15.75" customHeight="1" s="57"/>
    <row r="120" ht="15.75" customHeight="1" s="57"/>
    <row r="121" ht="15.75" customHeight="1" s="57"/>
    <row r="122" ht="15.75" customHeight="1" s="57"/>
    <row r="123" ht="15.75" customHeight="1" s="57"/>
    <row r="124" ht="15.75" customHeight="1" s="57"/>
    <row r="125" ht="15.75" customHeight="1" s="57"/>
    <row r="126" ht="15.75" customHeight="1" s="57"/>
    <row r="127" ht="15.75" customHeight="1" s="57"/>
    <row r="128" ht="15.75" customHeight="1" s="57"/>
    <row r="129" ht="15.75" customHeight="1" s="57"/>
    <row r="130" ht="15.75" customHeight="1" s="57"/>
    <row r="131" ht="15.75" customHeight="1" s="57"/>
    <row r="132" ht="15.75" customHeight="1" s="57"/>
    <row r="133" ht="15.75" customHeight="1" s="57"/>
    <row r="134" ht="15.75" customHeight="1" s="57"/>
    <row r="135" ht="15.75" customHeight="1" s="57"/>
    <row r="136" ht="15.75" customHeight="1" s="57"/>
    <row r="137" ht="15.75" customHeight="1" s="57"/>
    <row r="138" ht="15.75" customHeight="1" s="57"/>
    <row r="139" ht="15.75" customHeight="1" s="57"/>
    <row r="140" ht="15.75" customHeight="1" s="57"/>
    <row r="141" ht="15.75" customHeight="1" s="57"/>
    <row r="142" ht="15.75" customHeight="1" s="57"/>
    <row r="143" ht="15.75" customHeight="1" s="57"/>
    <row r="144" ht="15.75" customHeight="1" s="57"/>
    <row r="145" ht="15.75" customHeight="1" s="57"/>
    <row r="146" ht="15.75" customHeight="1" s="57"/>
    <row r="147" ht="15.75" customHeight="1" s="57"/>
    <row r="148" ht="15.75" customHeight="1" s="57"/>
    <row r="149" ht="15.75" customHeight="1" s="57"/>
    <row r="150" ht="15.75" customHeight="1" s="57"/>
    <row r="151" ht="15.75" customHeight="1" s="57"/>
    <row r="152" ht="15.75" customHeight="1" s="57"/>
    <row r="153" ht="15.75" customHeight="1" s="57"/>
    <row r="154" ht="15.75" customHeight="1" s="57"/>
    <row r="155" ht="15.75" customHeight="1" s="57"/>
    <row r="156" ht="15.75" customHeight="1" s="57"/>
    <row r="157" ht="15.75" customHeight="1" s="57"/>
    <row r="158" ht="15.75" customHeight="1" s="57"/>
    <row r="159" ht="15.75" customHeight="1" s="57"/>
    <row r="160" ht="15.75" customHeight="1" s="57"/>
    <row r="161" ht="15.75" customHeight="1" s="57"/>
    <row r="162" ht="15.75" customHeight="1" s="57"/>
    <row r="163" ht="15.75" customHeight="1" s="57"/>
    <row r="164" ht="15.75" customHeight="1" s="57"/>
    <row r="165" ht="15.75" customHeight="1" s="57"/>
    <row r="166" ht="15.75" customHeight="1" s="57"/>
    <row r="167" ht="15.75" customHeight="1" s="57"/>
    <row r="168" ht="15.75" customHeight="1" s="57"/>
    <row r="169" ht="15.75" customHeight="1" s="57"/>
    <row r="170" ht="15.75" customHeight="1" s="57"/>
    <row r="171" ht="15.75" customHeight="1" s="57"/>
    <row r="172" ht="15.75" customHeight="1" s="57"/>
    <row r="173" ht="15.75" customHeight="1" s="57"/>
    <row r="174" ht="15.75" customHeight="1" s="57"/>
    <row r="175" ht="15.75" customHeight="1" s="57"/>
    <row r="176" ht="15.75" customHeight="1" s="57"/>
    <row r="177" ht="15.75" customHeight="1" s="57"/>
    <row r="178" ht="15.75" customHeight="1" s="57"/>
    <row r="179" ht="15.75" customHeight="1" s="57"/>
    <row r="180" ht="15.75" customHeight="1" s="57"/>
    <row r="181" ht="15.75" customHeight="1" s="57"/>
    <row r="182" ht="15.75" customHeight="1" s="57"/>
    <row r="183" ht="15.75" customHeight="1" s="57"/>
    <row r="184" ht="15.75" customHeight="1" s="57"/>
    <row r="185" ht="15.75" customHeight="1" s="57"/>
    <row r="186" ht="15.75" customHeight="1" s="57"/>
    <row r="187" ht="15.75" customHeight="1" s="57"/>
    <row r="188" ht="15.75" customHeight="1" s="57"/>
    <row r="189" ht="15.75" customHeight="1" s="57"/>
    <row r="190" ht="15.75" customHeight="1" s="57"/>
    <row r="191" ht="15.75" customHeight="1" s="57"/>
    <row r="192" ht="15.75" customHeight="1" s="57"/>
    <row r="193" ht="15.75" customHeight="1" s="57"/>
    <row r="194" ht="15.75" customHeight="1" s="57"/>
    <row r="195" ht="15.75" customHeight="1" s="57"/>
    <row r="196" ht="15.75" customHeight="1" s="57"/>
    <row r="197" ht="15.75" customHeight="1" s="57"/>
    <row r="198" ht="15.75" customHeight="1" s="57"/>
    <row r="199" ht="15.75" customHeight="1" s="57"/>
    <row r="200" ht="15.75" customHeight="1" s="57"/>
    <row r="201" ht="15.75" customHeight="1" s="57"/>
    <row r="202" ht="15.75" customHeight="1" s="57"/>
    <row r="203" ht="15.75" customHeight="1" s="57"/>
    <row r="204" ht="15.75" customHeight="1" s="57"/>
    <row r="205" ht="15.75" customHeight="1" s="57"/>
    <row r="206" ht="15.75" customHeight="1" s="57"/>
    <row r="207" ht="15.75" customHeight="1" s="57"/>
    <row r="208" ht="15.75" customHeight="1" s="57"/>
    <row r="209" ht="15.75" customHeight="1" s="57"/>
    <row r="210" ht="15.75" customHeight="1" s="57"/>
    <row r="211" ht="15.75" customHeight="1" s="57"/>
    <row r="212" ht="15.75" customHeight="1" s="57"/>
    <row r="213" ht="15.75" customHeight="1" s="57"/>
    <row r="214" ht="15.75" customHeight="1" s="57"/>
    <row r="215" ht="15.75" customHeight="1" s="57"/>
    <row r="216" ht="15.75" customHeight="1" s="57"/>
    <row r="217" ht="15.75" customHeight="1" s="57"/>
    <row r="218" ht="15.75" customHeight="1" s="57"/>
    <row r="219" ht="15.75" customHeight="1" s="57"/>
    <row r="220" ht="15.75" customHeight="1" s="57"/>
    <row r="221" ht="15.75" customHeight="1" s="57"/>
    <row r="222" ht="15.75" customHeight="1" s="57"/>
    <row r="223" ht="15.75" customHeight="1" s="57"/>
    <row r="224" ht="15.75" customHeight="1" s="57"/>
    <row r="225" ht="15.75" customHeight="1" s="57"/>
    <row r="226" ht="15.75" customHeight="1" s="57"/>
    <row r="227" ht="15.75" customHeight="1" s="57"/>
    <row r="228" ht="15.75" customHeight="1" s="57"/>
    <row r="229" ht="15.75" customHeight="1" s="57"/>
    <row r="230" ht="15.75" customHeight="1" s="57"/>
    <row r="231" ht="15.75" customHeight="1" s="57"/>
    <row r="232" ht="15.75" customHeight="1" s="57"/>
    <row r="233" ht="15.75" customHeight="1" s="57"/>
    <row r="234" ht="15.75" customHeight="1" s="57"/>
    <row r="235" ht="15.75" customHeight="1" s="57"/>
    <row r="236" ht="15.75" customHeight="1" s="57"/>
    <row r="237" ht="15.75" customHeight="1" s="57"/>
    <row r="238" ht="15.75" customHeight="1" s="57"/>
    <row r="239" ht="15.75" customHeight="1" s="57"/>
    <row r="240" ht="15.75" customHeight="1" s="57"/>
    <row r="241" ht="15.75" customHeight="1" s="57"/>
    <row r="242" ht="15.75" customHeight="1" s="57"/>
    <row r="243" ht="15.75" customHeight="1" s="57"/>
    <row r="244" ht="15.75" customHeight="1" s="57"/>
    <row r="245" ht="15.75" customHeight="1" s="57"/>
    <row r="246" ht="15.75" customHeight="1" s="57"/>
    <row r="247" ht="15.75" customHeight="1" s="57"/>
    <row r="248" ht="15.75" customHeight="1" s="57"/>
    <row r="249" ht="15.75" customHeight="1" s="57"/>
    <row r="250" ht="15.75" customHeight="1" s="57"/>
    <row r="251" ht="15.75" customHeight="1" s="57"/>
    <row r="252" ht="15.75" customHeight="1" s="57"/>
    <row r="253" ht="15.75" customHeight="1" s="57"/>
    <row r="254" ht="15.75" customHeight="1" s="57"/>
    <row r="255" ht="15.75" customHeight="1" s="57"/>
    <row r="256" ht="15.75" customHeight="1" s="57"/>
    <row r="257" ht="15.75" customHeight="1" s="57"/>
    <row r="258" ht="15.75" customHeight="1" s="57"/>
    <row r="259" ht="15.75" customHeight="1" s="57"/>
    <row r="260" ht="15.75" customHeight="1" s="57"/>
    <row r="261" ht="15.75" customHeight="1" s="57"/>
    <row r="262" ht="15.75" customHeight="1" s="57"/>
    <row r="263" ht="15.75" customHeight="1" s="57"/>
    <row r="264" ht="15.75" customHeight="1" s="57"/>
    <row r="265" ht="15.75" customHeight="1" s="57"/>
    <row r="266" ht="15.75" customHeight="1" s="57"/>
    <row r="267" ht="15.75" customHeight="1" s="57"/>
    <row r="268" ht="15.75" customHeight="1" s="57"/>
    <row r="269" ht="15.75" customHeight="1" s="57"/>
    <row r="270" ht="15.75" customHeight="1" s="57"/>
    <row r="271" ht="15.75" customHeight="1" s="57"/>
    <row r="272" ht="15.75" customHeight="1" s="57"/>
    <row r="273" ht="15.75" customHeight="1" s="57"/>
    <row r="274" ht="15.75" customHeight="1" s="57"/>
    <row r="275" ht="15.75" customHeight="1" s="57"/>
    <row r="276" ht="15.75" customHeight="1" s="57"/>
    <row r="277" ht="15.75" customHeight="1" s="57"/>
    <row r="278" ht="15.75" customHeight="1" s="57"/>
    <row r="279" ht="15.75" customHeight="1" s="57"/>
    <row r="280" ht="15.75" customHeight="1" s="57"/>
    <row r="281" ht="15.75" customHeight="1" s="57"/>
    <row r="282" ht="15.75" customHeight="1" s="57"/>
    <row r="283" ht="15.75" customHeight="1" s="57"/>
    <row r="284" ht="15.75" customHeight="1" s="57"/>
    <row r="285" ht="15.75" customHeight="1" s="57"/>
    <row r="286" ht="15.75" customHeight="1" s="57"/>
    <row r="287" ht="15.75" customHeight="1" s="57"/>
    <row r="288" ht="15.75" customHeight="1" s="57"/>
    <row r="289" ht="15.75" customHeight="1" s="57"/>
    <row r="290" ht="15.75" customHeight="1" s="57"/>
    <row r="291" ht="15.75" customHeight="1" s="57"/>
    <row r="292" ht="15.75" customHeight="1" s="57"/>
    <row r="293" ht="15.75" customHeight="1" s="57"/>
    <row r="294" ht="15.75" customHeight="1" s="57"/>
    <row r="295" ht="15.75" customHeight="1" s="57"/>
    <row r="296" ht="15.75" customHeight="1" s="57"/>
    <row r="297" ht="15.75" customHeight="1" s="57"/>
    <row r="298" ht="15.75" customHeight="1" s="57"/>
    <row r="299" ht="15.75" customHeight="1" s="57"/>
    <row r="300" ht="15.75" customHeight="1" s="57"/>
    <row r="301" ht="15.75" customHeight="1" s="57"/>
    <row r="302" ht="15.75" customHeight="1" s="57"/>
    <row r="303" ht="15.75" customHeight="1" s="57"/>
    <row r="304" ht="15.75" customHeight="1" s="57"/>
    <row r="305" ht="15.75" customHeight="1" s="57"/>
    <row r="306" ht="15.75" customHeight="1" s="57"/>
    <row r="307" ht="15.75" customHeight="1" s="57"/>
    <row r="308" ht="15.75" customHeight="1" s="57"/>
    <row r="309" ht="15.75" customHeight="1" s="57"/>
    <row r="310" ht="15.75" customHeight="1" s="57"/>
    <row r="311" ht="15.75" customHeight="1" s="57"/>
    <row r="312" ht="15.75" customHeight="1" s="57"/>
    <row r="313" ht="15.75" customHeight="1" s="57"/>
    <row r="314" ht="15.75" customHeight="1" s="57"/>
    <row r="315" ht="15.75" customHeight="1" s="57"/>
    <row r="316" ht="15.75" customHeight="1" s="57"/>
    <row r="317" ht="15.75" customHeight="1" s="57"/>
    <row r="318" ht="15.75" customHeight="1" s="57"/>
    <row r="319" ht="15.75" customHeight="1" s="57"/>
    <row r="320" ht="15.75" customHeight="1" s="57"/>
    <row r="321" ht="15.75" customHeight="1" s="57"/>
    <row r="322" ht="15.75" customHeight="1" s="57"/>
    <row r="323" ht="15.75" customHeight="1" s="57"/>
    <row r="324" ht="15.75" customHeight="1" s="57"/>
    <row r="325" ht="15.75" customHeight="1" s="57"/>
    <row r="326" ht="15.75" customHeight="1" s="57"/>
    <row r="327" ht="15.75" customHeight="1" s="57"/>
    <row r="328" ht="15.75" customHeight="1" s="57"/>
    <row r="329" ht="15.75" customHeight="1" s="57"/>
    <row r="330" ht="15.75" customHeight="1" s="57"/>
    <row r="331" ht="15.75" customHeight="1" s="57"/>
    <row r="332" ht="15.75" customHeight="1" s="57"/>
    <row r="333" ht="15.75" customHeight="1" s="57"/>
    <row r="334" ht="15.75" customHeight="1" s="57"/>
    <row r="335" ht="15.75" customHeight="1" s="57"/>
    <row r="336" ht="15.75" customHeight="1" s="57"/>
    <row r="337" ht="15.75" customHeight="1" s="57"/>
    <row r="338" ht="15.75" customHeight="1" s="57"/>
    <row r="339" ht="15.75" customHeight="1" s="57"/>
    <row r="340" ht="15.75" customHeight="1" s="57"/>
    <row r="341" ht="15.75" customHeight="1" s="57"/>
    <row r="342" ht="15.75" customHeight="1" s="57"/>
    <row r="343" ht="15.75" customHeight="1" s="57"/>
    <row r="344" ht="15.75" customHeight="1" s="57"/>
    <row r="345" ht="15.75" customHeight="1" s="57"/>
    <row r="346" ht="15.75" customHeight="1" s="57"/>
    <row r="347" ht="15.75" customHeight="1" s="57"/>
    <row r="348" ht="15.75" customHeight="1" s="57"/>
    <row r="349" ht="15.75" customHeight="1" s="57"/>
    <row r="350" ht="15.75" customHeight="1" s="57"/>
    <row r="351" ht="15.75" customHeight="1" s="57"/>
    <row r="352" ht="15.75" customHeight="1" s="57"/>
    <row r="353" ht="15.75" customHeight="1" s="57"/>
    <row r="354" ht="15.75" customHeight="1" s="57"/>
    <row r="355" ht="15.75" customHeight="1" s="57"/>
    <row r="356" ht="15.75" customHeight="1" s="57"/>
    <row r="357" ht="15.75" customHeight="1" s="57"/>
    <row r="358" ht="15.75" customHeight="1" s="57"/>
    <row r="359" ht="15.75" customHeight="1" s="57"/>
    <row r="360" ht="15.75" customHeight="1" s="57"/>
    <row r="361" ht="15.75" customHeight="1" s="57"/>
    <row r="362" ht="15.75" customHeight="1" s="57"/>
    <row r="363" ht="15.75" customHeight="1" s="57"/>
    <row r="364" ht="15.75" customHeight="1" s="57"/>
    <row r="365" ht="15.75" customHeight="1" s="57"/>
    <row r="366" ht="15.75" customHeight="1" s="57"/>
    <row r="367" ht="15.75" customHeight="1" s="57"/>
    <row r="368" ht="15.75" customHeight="1" s="57"/>
    <row r="369" ht="15.75" customHeight="1" s="57"/>
    <row r="370" ht="15.75" customHeight="1" s="57"/>
    <row r="371" ht="15.75" customHeight="1" s="57"/>
    <row r="372" ht="15.75" customHeight="1" s="57"/>
    <row r="373" ht="15.75" customHeight="1" s="57"/>
    <row r="374" ht="15.75" customHeight="1" s="57"/>
    <row r="375" ht="15.75" customHeight="1" s="57"/>
    <row r="376" ht="15.75" customHeight="1" s="57"/>
    <row r="377" ht="15.75" customHeight="1" s="57"/>
    <row r="378" ht="15.75" customHeight="1" s="57"/>
    <row r="379" ht="15.75" customHeight="1" s="57"/>
    <row r="380" ht="15.75" customHeight="1" s="57"/>
    <row r="381" ht="15.75" customHeight="1" s="57"/>
    <row r="382" ht="15.75" customHeight="1" s="57"/>
    <row r="383" ht="15.75" customHeight="1" s="57"/>
    <row r="384" ht="15.75" customHeight="1" s="57"/>
    <row r="385" ht="15.75" customHeight="1" s="57"/>
    <row r="386" ht="15.75" customHeight="1" s="57"/>
    <row r="387" ht="15.75" customHeight="1" s="57"/>
    <row r="388" ht="15.75" customHeight="1" s="57"/>
    <row r="389" ht="15.75" customHeight="1" s="57"/>
    <row r="390" ht="15.75" customHeight="1" s="57"/>
    <row r="391" ht="15.75" customHeight="1" s="57"/>
    <row r="392" ht="15.75" customHeight="1" s="57"/>
    <row r="393" ht="15.75" customHeight="1" s="57"/>
    <row r="394" ht="15.75" customHeight="1" s="57"/>
    <row r="395" ht="15.75" customHeight="1" s="57"/>
    <row r="396" ht="15.75" customHeight="1" s="57"/>
    <row r="397" ht="15.75" customHeight="1" s="57"/>
    <row r="398" ht="15.75" customHeight="1" s="57"/>
    <row r="399" ht="15.75" customHeight="1" s="57"/>
    <row r="400" ht="15.75" customHeight="1" s="57"/>
    <row r="401" ht="15.75" customHeight="1" s="57"/>
    <row r="402" ht="15.75" customHeight="1" s="57"/>
    <row r="403" ht="15.75" customHeight="1" s="57"/>
    <row r="404" ht="15.75" customHeight="1" s="57"/>
    <row r="405" ht="15.75" customHeight="1" s="57"/>
    <row r="406" ht="15.75" customHeight="1" s="57"/>
    <row r="407" ht="15.75" customHeight="1" s="57"/>
    <row r="408" ht="15.75" customHeight="1" s="57"/>
    <row r="409" ht="15.75" customHeight="1" s="57"/>
    <row r="410" ht="15.75" customHeight="1" s="57"/>
    <row r="411" ht="15.75" customHeight="1" s="57"/>
    <row r="412" ht="15.75" customHeight="1" s="57"/>
    <row r="413" ht="15.75" customHeight="1" s="57"/>
    <row r="414" ht="15.75" customHeight="1" s="57"/>
    <row r="415" ht="15.75" customHeight="1" s="57"/>
    <row r="416" ht="15.75" customHeight="1" s="57"/>
    <row r="417" ht="15.75" customHeight="1" s="57"/>
    <row r="418" ht="15.75" customHeight="1" s="57"/>
    <row r="419" ht="15.75" customHeight="1" s="57"/>
    <row r="420" ht="15.75" customHeight="1" s="57"/>
    <row r="421" ht="15.75" customHeight="1" s="57"/>
    <row r="422" ht="15.75" customHeight="1" s="57"/>
    <row r="423" ht="15.75" customHeight="1" s="57"/>
    <row r="424" ht="15.75" customHeight="1" s="57"/>
    <row r="425" ht="15.75" customHeight="1" s="57"/>
    <row r="426" ht="15.75" customHeight="1" s="57"/>
    <row r="427" ht="15.75" customHeight="1" s="57"/>
    <row r="428" ht="15.75" customHeight="1" s="57"/>
    <row r="429" ht="15.75" customHeight="1" s="57"/>
    <row r="430" ht="15.75" customHeight="1" s="57"/>
    <row r="431" ht="15.75" customHeight="1" s="57"/>
    <row r="432" ht="15.75" customHeight="1" s="57"/>
    <row r="433" ht="15.75" customHeight="1" s="57"/>
    <row r="434" ht="15.75" customHeight="1" s="57"/>
    <row r="435" ht="15.75" customHeight="1" s="57"/>
    <row r="436" ht="15.75" customHeight="1" s="57"/>
    <row r="437" ht="15.75" customHeight="1" s="57"/>
    <row r="438" ht="15.75" customHeight="1" s="57"/>
    <row r="439" ht="15.75" customHeight="1" s="57"/>
    <row r="440" ht="15.75" customHeight="1" s="57"/>
    <row r="441" ht="15.75" customHeight="1" s="57"/>
    <row r="442" ht="15.75" customHeight="1" s="57"/>
    <row r="443" ht="15.75" customHeight="1" s="57"/>
    <row r="444" ht="15.75" customHeight="1" s="57"/>
    <row r="445" ht="15.75" customHeight="1" s="57"/>
    <row r="446" ht="15.75" customHeight="1" s="57"/>
    <row r="447" ht="15.75" customHeight="1" s="57"/>
    <row r="448" ht="15.75" customHeight="1" s="57"/>
    <row r="449" ht="15.75" customHeight="1" s="57"/>
    <row r="450" ht="15.75" customHeight="1" s="57"/>
    <row r="451" ht="15.75" customHeight="1" s="57"/>
    <row r="452" ht="15.75" customHeight="1" s="57"/>
    <row r="453" ht="15.75" customHeight="1" s="57"/>
    <row r="454" ht="15.75" customHeight="1" s="57"/>
    <row r="455" ht="15.75" customHeight="1" s="57"/>
    <row r="456" ht="15.75" customHeight="1" s="57"/>
    <row r="457" ht="15.75" customHeight="1" s="57"/>
    <row r="458" ht="15.75" customHeight="1" s="57"/>
    <row r="459" ht="15.75" customHeight="1" s="57"/>
    <row r="460" ht="15.75" customHeight="1" s="57"/>
    <row r="461" ht="15.75" customHeight="1" s="57"/>
    <row r="462" ht="15.75" customHeight="1" s="57"/>
    <row r="463" ht="15.75" customHeight="1" s="57"/>
    <row r="464" ht="15.75" customHeight="1" s="57"/>
    <row r="465" ht="15.75" customHeight="1" s="57"/>
    <row r="466" ht="15.75" customHeight="1" s="57"/>
    <row r="467" ht="15.75" customHeight="1" s="57"/>
    <row r="468" ht="15.75" customHeight="1" s="57"/>
    <row r="469" ht="15.75" customHeight="1" s="57"/>
    <row r="470" ht="15.75" customHeight="1" s="57"/>
    <row r="471" ht="15.75" customHeight="1" s="57"/>
    <row r="472" ht="15.75" customHeight="1" s="57"/>
    <row r="473" ht="15.75" customHeight="1" s="57"/>
    <row r="474" ht="15.75" customHeight="1" s="57"/>
    <row r="475" ht="15.75" customHeight="1" s="57"/>
    <row r="476" ht="15.75" customHeight="1" s="57"/>
    <row r="477" ht="15.75" customHeight="1" s="57"/>
    <row r="478" ht="15.75" customHeight="1" s="57"/>
    <row r="479" ht="15.75" customHeight="1" s="57"/>
    <row r="480" ht="15.75" customHeight="1" s="57"/>
    <row r="481" ht="15.75" customHeight="1" s="57"/>
    <row r="482" ht="15.75" customHeight="1" s="57"/>
    <row r="483" ht="15.75" customHeight="1" s="57"/>
    <row r="484" ht="15.75" customHeight="1" s="57"/>
    <row r="485" ht="15.75" customHeight="1" s="57"/>
    <row r="486" ht="15.75" customHeight="1" s="57"/>
    <row r="487" ht="15.75" customHeight="1" s="57"/>
    <row r="488" ht="15.75" customHeight="1" s="57"/>
    <row r="489" ht="15.75" customHeight="1" s="57"/>
    <row r="490" ht="15.75" customHeight="1" s="57"/>
    <row r="491" ht="15.75" customHeight="1" s="57"/>
    <row r="492" ht="15.75" customHeight="1" s="57"/>
    <row r="493" ht="15.75" customHeight="1" s="57"/>
    <row r="494" ht="15.75" customHeight="1" s="57"/>
    <row r="495" ht="15.75" customHeight="1" s="57"/>
    <row r="496" ht="15.75" customHeight="1" s="57"/>
    <row r="497" ht="15.75" customHeight="1" s="57"/>
    <row r="498" ht="15.75" customHeight="1" s="57"/>
    <row r="499" ht="15.75" customHeight="1" s="57"/>
    <row r="500" ht="15.75" customHeight="1" s="57"/>
    <row r="501" ht="15.75" customHeight="1" s="57"/>
    <row r="502" ht="15.75" customHeight="1" s="57"/>
    <row r="503" ht="15.75" customHeight="1" s="57"/>
    <row r="504" ht="15.75" customHeight="1" s="57"/>
    <row r="505" ht="15.75" customHeight="1" s="57"/>
    <row r="506" ht="15.75" customHeight="1" s="57"/>
    <row r="507" ht="15.75" customHeight="1" s="57"/>
    <row r="508" ht="15.75" customHeight="1" s="57"/>
    <row r="509" ht="15.75" customHeight="1" s="57"/>
    <row r="510" ht="15.75" customHeight="1" s="57"/>
    <row r="511" ht="15.75" customHeight="1" s="57"/>
    <row r="512" ht="15.75" customHeight="1" s="57"/>
    <row r="513" ht="15.75" customHeight="1" s="57"/>
    <row r="514" ht="15.75" customHeight="1" s="57"/>
    <row r="515" ht="15.75" customHeight="1" s="57"/>
    <row r="516" ht="15.75" customHeight="1" s="57"/>
    <row r="517" ht="15.75" customHeight="1" s="57"/>
    <row r="518" ht="15.75" customHeight="1" s="57"/>
    <row r="519" ht="15.75" customHeight="1" s="57"/>
    <row r="520" ht="15.75" customHeight="1" s="57"/>
    <row r="521" ht="15.75" customHeight="1" s="57"/>
    <row r="522" ht="15.75" customHeight="1" s="57"/>
    <row r="523" ht="15.75" customHeight="1" s="57"/>
    <row r="524" ht="15.75" customHeight="1" s="57"/>
    <row r="525" ht="15.75" customHeight="1" s="57"/>
    <row r="526" ht="15.75" customHeight="1" s="57"/>
    <row r="527" ht="15.75" customHeight="1" s="57"/>
    <row r="528" ht="15.75" customHeight="1" s="57"/>
    <row r="529" ht="15.75" customHeight="1" s="57"/>
    <row r="530" ht="15.75" customHeight="1" s="57"/>
    <row r="531" ht="15.75" customHeight="1" s="57"/>
    <row r="532" ht="15.75" customHeight="1" s="57"/>
    <row r="533" ht="15.75" customHeight="1" s="57"/>
    <row r="534" ht="15.75" customHeight="1" s="57"/>
    <row r="535" ht="15.75" customHeight="1" s="57"/>
    <row r="536" ht="15.75" customHeight="1" s="57"/>
    <row r="537" ht="15.75" customHeight="1" s="57"/>
    <row r="538" ht="15.75" customHeight="1" s="57"/>
    <row r="539" ht="15.75" customHeight="1" s="57"/>
    <row r="540" ht="15.75" customHeight="1" s="57"/>
    <row r="541" ht="15.75" customHeight="1" s="57"/>
    <row r="542" ht="15.75" customHeight="1" s="57"/>
    <row r="543" ht="15.75" customHeight="1" s="57"/>
    <row r="544" ht="15.75" customHeight="1" s="57"/>
    <row r="545" ht="15.75" customHeight="1" s="57"/>
    <row r="546" ht="15.75" customHeight="1" s="57"/>
    <row r="547" ht="15.75" customHeight="1" s="57"/>
    <row r="548" ht="15.75" customHeight="1" s="57"/>
    <row r="549" ht="15.75" customHeight="1" s="57"/>
    <row r="550" ht="15.75" customHeight="1" s="57"/>
    <row r="551" ht="15.75" customHeight="1" s="57"/>
    <row r="552" ht="15.75" customHeight="1" s="57"/>
    <row r="553" ht="15.75" customHeight="1" s="57"/>
    <row r="554" ht="15.75" customHeight="1" s="57"/>
    <row r="555" ht="15.75" customHeight="1" s="57"/>
    <row r="556" ht="15.75" customHeight="1" s="57"/>
    <row r="557" ht="15.75" customHeight="1" s="57"/>
    <row r="558" ht="15.75" customHeight="1" s="57"/>
    <row r="559" ht="15.75" customHeight="1" s="57"/>
    <row r="560" ht="15.75" customHeight="1" s="57"/>
    <row r="561" ht="15.75" customHeight="1" s="57"/>
    <row r="562" ht="15.75" customHeight="1" s="57"/>
    <row r="563" ht="15.75" customHeight="1" s="57"/>
    <row r="564" ht="15.75" customHeight="1" s="57"/>
    <row r="565" ht="15.75" customHeight="1" s="57"/>
    <row r="566" ht="15.75" customHeight="1" s="57"/>
    <row r="567" ht="15.75" customHeight="1" s="57"/>
    <row r="568" ht="15.75" customHeight="1" s="57"/>
    <row r="569" ht="15.75" customHeight="1" s="57"/>
    <row r="570" ht="15.75" customHeight="1" s="57"/>
    <row r="571" ht="15.75" customHeight="1" s="57"/>
    <row r="572" ht="15.75" customHeight="1" s="57"/>
    <row r="573" ht="15.75" customHeight="1" s="57"/>
    <row r="574" ht="15.75" customHeight="1" s="57"/>
    <row r="575" ht="15.75" customHeight="1" s="57"/>
    <row r="576" ht="15.75" customHeight="1" s="57"/>
    <row r="577" ht="15.75" customHeight="1" s="57"/>
    <row r="578" ht="15.75" customHeight="1" s="57"/>
    <row r="579" ht="15.75" customHeight="1" s="57"/>
    <row r="580" ht="15.75" customHeight="1" s="57"/>
    <row r="581" ht="15.75" customHeight="1" s="57"/>
    <row r="582" ht="15.75" customHeight="1" s="57"/>
    <row r="583" ht="15.75" customHeight="1" s="57"/>
    <row r="584" ht="15.75" customHeight="1" s="57"/>
    <row r="585" ht="15.75" customHeight="1" s="57"/>
    <row r="586" ht="15.75" customHeight="1" s="57"/>
    <row r="587" ht="15.75" customHeight="1" s="57"/>
    <row r="588" ht="15.75" customHeight="1" s="57"/>
    <row r="589" ht="15.75" customHeight="1" s="57"/>
    <row r="590" ht="15.75" customHeight="1" s="57"/>
    <row r="591" ht="15.75" customHeight="1" s="57"/>
    <row r="592" ht="15.75" customHeight="1" s="57"/>
    <row r="593" ht="15.75" customHeight="1" s="57"/>
    <row r="594" ht="15.75" customHeight="1" s="57"/>
    <row r="595" ht="15.75" customHeight="1" s="57"/>
    <row r="596" ht="15.75" customHeight="1" s="57"/>
    <row r="597" ht="15.75" customHeight="1" s="57"/>
    <row r="598" ht="15.75" customHeight="1" s="57"/>
    <row r="599" ht="15.75" customHeight="1" s="57"/>
    <row r="600" ht="15.75" customHeight="1" s="57"/>
    <row r="601" ht="15.75" customHeight="1" s="57"/>
    <row r="602" ht="15.75" customHeight="1" s="57"/>
    <row r="603" ht="15.75" customHeight="1" s="57"/>
    <row r="604" ht="15.75" customHeight="1" s="57"/>
    <row r="605" ht="15.75" customHeight="1" s="57"/>
    <row r="606" ht="15.75" customHeight="1" s="57"/>
    <row r="607" ht="15.75" customHeight="1" s="57"/>
    <row r="608" ht="15.75" customHeight="1" s="57"/>
    <row r="609" ht="15.75" customHeight="1" s="57"/>
    <row r="610" ht="15.75" customHeight="1" s="57"/>
    <row r="611" ht="15.75" customHeight="1" s="57"/>
    <row r="612" ht="15.75" customHeight="1" s="57"/>
    <row r="613" ht="15.75" customHeight="1" s="57"/>
    <row r="614" ht="15.75" customHeight="1" s="57"/>
    <row r="615" ht="15.75" customHeight="1" s="57"/>
    <row r="616" ht="15.75" customHeight="1" s="57"/>
    <row r="617" ht="15.75" customHeight="1" s="57"/>
    <row r="618" ht="15.75" customHeight="1" s="57"/>
    <row r="619" ht="15.75" customHeight="1" s="57"/>
    <row r="620" ht="15.75" customHeight="1" s="57"/>
    <row r="621" ht="15.75" customHeight="1" s="57"/>
    <row r="622" ht="15.75" customHeight="1" s="57"/>
    <row r="623" ht="15.75" customHeight="1" s="57"/>
    <row r="624" ht="15.75" customHeight="1" s="57"/>
    <row r="625" ht="15.75" customHeight="1" s="57"/>
    <row r="626" ht="15.75" customHeight="1" s="57"/>
    <row r="627" ht="15.75" customHeight="1" s="57"/>
    <row r="628" ht="15.75" customHeight="1" s="57"/>
    <row r="629" ht="15.75" customHeight="1" s="57"/>
    <row r="630" ht="15.75" customHeight="1" s="57"/>
    <row r="631" ht="15.75" customHeight="1" s="57"/>
    <row r="632" ht="15.75" customHeight="1" s="57"/>
    <row r="633" ht="15.75" customHeight="1" s="57"/>
    <row r="634" ht="15.75" customHeight="1" s="57"/>
    <row r="635" ht="15.75" customHeight="1" s="57"/>
    <row r="636" ht="15.75" customHeight="1" s="57"/>
    <row r="637" ht="15.75" customHeight="1" s="57"/>
    <row r="638" ht="15.75" customHeight="1" s="57"/>
    <row r="639" ht="15.75" customHeight="1" s="57"/>
    <row r="640" ht="15.75" customHeight="1" s="57"/>
    <row r="641" ht="15.75" customHeight="1" s="57"/>
    <row r="642" ht="15.75" customHeight="1" s="57"/>
    <row r="643" ht="15.75" customHeight="1" s="57"/>
    <row r="644" ht="15.75" customHeight="1" s="57"/>
    <row r="645" ht="15.75" customHeight="1" s="57"/>
    <row r="646" ht="15.75" customHeight="1" s="57"/>
    <row r="647" ht="15.75" customHeight="1" s="57"/>
    <row r="648" ht="15.75" customHeight="1" s="57"/>
    <row r="649" ht="15.75" customHeight="1" s="57"/>
    <row r="650" ht="15.75" customHeight="1" s="57"/>
    <row r="651" ht="15.75" customHeight="1" s="57"/>
    <row r="652" ht="15.75" customHeight="1" s="57"/>
    <row r="653" ht="15.75" customHeight="1" s="57"/>
    <row r="654" ht="15.75" customHeight="1" s="57"/>
    <row r="655" ht="15.75" customHeight="1" s="57"/>
    <row r="656" ht="15.75" customHeight="1" s="57"/>
    <row r="657" ht="15.75" customHeight="1" s="57"/>
    <row r="658" ht="15.75" customHeight="1" s="57"/>
    <row r="659" ht="15.75" customHeight="1" s="57"/>
    <row r="660" ht="15.75" customHeight="1" s="57"/>
    <row r="661" ht="15.75" customHeight="1" s="57"/>
    <row r="662" ht="15.75" customHeight="1" s="57"/>
    <row r="663" ht="15.75" customHeight="1" s="57"/>
    <row r="664" ht="15.75" customHeight="1" s="57"/>
    <row r="665" ht="15.75" customHeight="1" s="57"/>
    <row r="666" ht="15.75" customHeight="1" s="57"/>
    <row r="667" ht="15.75" customHeight="1" s="57"/>
    <row r="668" ht="15.75" customHeight="1" s="57"/>
    <row r="669" ht="15.75" customHeight="1" s="57"/>
    <row r="670" ht="15.75" customHeight="1" s="57"/>
    <row r="671" ht="15.75" customHeight="1" s="57"/>
    <row r="672" ht="15.75" customHeight="1" s="57"/>
    <row r="673" ht="15.75" customHeight="1" s="57"/>
    <row r="674" ht="15.75" customHeight="1" s="57"/>
    <row r="675" ht="15.75" customHeight="1" s="57"/>
    <row r="676" ht="15.75" customHeight="1" s="57"/>
    <row r="677" ht="15.75" customHeight="1" s="57"/>
    <row r="678" ht="15.75" customHeight="1" s="57"/>
    <row r="679" ht="15.75" customHeight="1" s="57"/>
    <row r="680" ht="15.75" customHeight="1" s="57"/>
    <row r="681" ht="15.75" customHeight="1" s="57"/>
    <row r="682" ht="15.75" customHeight="1" s="57"/>
    <row r="683" ht="15.75" customHeight="1" s="57"/>
    <row r="684" ht="15.75" customHeight="1" s="57"/>
    <row r="685" ht="15.75" customHeight="1" s="57"/>
    <row r="686" ht="15.75" customHeight="1" s="57"/>
    <row r="687" ht="15.75" customHeight="1" s="57"/>
    <row r="688" ht="15.75" customHeight="1" s="57"/>
    <row r="689" ht="15.75" customHeight="1" s="57"/>
    <row r="690" ht="15.75" customHeight="1" s="57"/>
    <row r="691" ht="15.75" customHeight="1" s="57"/>
    <row r="692" ht="15.75" customHeight="1" s="57"/>
    <row r="693" ht="15.75" customHeight="1" s="57"/>
    <row r="694" ht="15.75" customHeight="1" s="57"/>
    <row r="695" ht="15.75" customHeight="1" s="57"/>
    <row r="696" ht="15.75" customHeight="1" s="57"/>
    <row r="697" ht="15.75" customHeight="1" s="57"/>
    <row r="698" ht="15.75" customHeight="1" s="57"/>
    <row r="699" ht="15.75" customHeight="1" s="57"/>
    <row r="700" ht="15.75" customHeight="1" s="57"/>
    <row r="701" ht="15.75" customHeight="1" s="57"/>
    <row r="702" ht="15.75" customHeight="1" s="57"/>
    <row r="703" ht="15.75" customHeight="1" s="57"/>
    <row r="704" ht="15.75" customHeight="1" s="57"/>
    <row r="705" ht="15.75" customHeight="1" s="57"/>
    <row r="706" ht="15.75" customHeight="1" s="57"/>
    <row r="707" ht="15.75" customHeight="1" s="57"/>
    <row r="708" ht="15.75" customHeight="1" s="57"/>
    <row r="709" ht="15.75" customHeight="1" s="57"/>
    <row r="710" ht="15.75" customHeight="1" s="57"/>
    <row r="711" ht="15.75" customHeight="1" s="57"/>
    <row r="712" ht="15.75" customHeight="1" s="57"/>
    <row r="713" ht="15.75" customHeight="1" s="57"/>
    <row r="714" ht="15.75" customHeight="1" s="57"/>
    <row r="715" ht="15.75" customHeight="1" s="57"/>
    <row r="716" ht="15.75" customHeight="1" s="57"/>
    <row r="717" ht="15.75" customHeight="1" s="57"/>
    <row r="718" ht="15.75" customHeight="1" s="57"/>
    <row r="719" ht="15.75" customHeight="1" s="57"/>
    <row r="720" ht="15.75" customHeight="1" s="57"/>
    <row r="721" ht="15.75" customHeight="1" s="57"/>
    <row r="722" ht="15.75" customHeight="1" s="57"/>
    <row r="723" ht="15.75" customHeight="1" s="57"/>
    <row r="724" ht="15.75" customHeight="1" s="57"/>
    <row r="725" ht="15.75" customHeight="1" s="57"/>
    <row r="726" ht="15.75" customHeight="1" s="57"/>
    <row r="727" ht="15.75" customHeight="1" s="57"/>
    <row r="728" ht="15.75" customHeight="1" s="57"/>
    <row r="729" ht="15.75" customHeight="1" s="57"/>
    <row r="730" ht="15.75" customHeight="1" s="57"/>
    <row r="731" ht="15.75" customHeight="1" s="57"/>
    <row r="732" ht="15.75" customHeight="1" s="57"/>
    <row r="733" ht="15.75" customHeight="1" s="57"/>
    <row r="734" ht="15.75" customHeight="1" s="57"/>
    <row r="735" ht="15.75" customHeight="1" s="57"/>
    <row r="736" ht="15.75" customHeight="1" s="57"/>
    <row r="737" ht="15.75" customHeight="1" s="57"/>
    <row r="738" ht="15.75" customHeight="1" s="57"/>
    <row r="739" ht="15.75" customHeight="1" s="57"/>
    <row r="740" ht="15.75" customHeight="1" s="57"/>
    <row r="741" ht="15.75" customHeight="1" s="57"/>
    <row r="742" ht="15.75" customHeight="1" s="57"/>
    <row r="743" ht="15.75" customHeight="1" s="57"/>
    <row r="744" ht="15.75" customHeight="1" s="57"/>
    <row r="745" ht="15.75" customHeight="1" s="57"/>
    <row r="746" ht="15.75" customHeight="1" s="57"/>
    <row r="747" ht="15.75" customHeight="1" s="57"/>
    <row r="748" ht="15.75" customHeight="1" s="57"/>
    <row r="749" ht="15.75" customHeight="1" s="57"/>
    <row r="750" ht="15.75" customHeight="1" s="57"/>
    <row r="751" ht="15.75" customHeight="1" s="57"/>
    <row r="752" ht="15.75" customHeight="1" s="57"/>
    <row r="753" ht="15.75" customHeight="1" s="57"/>
    <row r="754" ht="15.75" customHeight="1" s="57"/>
    <row r="755" ht="15.75" customHeight="1" s="57"/>
    <row r="756" ht="15.75" customHeight="1" s="57"/>
    <row r="757" ht="15.75" customHeight="1" s="57"/>
    <row r="758" ht="15.75" customHeight="1" s="57"/>
    <row r="759" ht="15.75" customHeight="1" s="57"/>
    <row r="760" ht="15.75" customHeight="1" s="57"/>
    <row r="761" ht="15.75" customHeight="1" s="57"/>
    <row r="762" ht="15.75" customHeight="1" s="57"/>
    <row r="763" ht="15.75" customHeight="1" s="57"/>
    <row r="764" ht="15.75" customHeight="1" s="57"/>
    <row r="765" ht="15.75" customHeight="1" s="57"/>
    <row r="766" ht="15.75" customHeight="1" s="57"/>
    <row r="767" ht="15.75" customHeight="1" s="57"/>
    <row r="768" ht="15.75" customHeight="1" s="57"/>
    <row r="769" ht="15.75" customHeight="1" s="57"/>
    <row r="770" ht="15.75" customHeight="1" s="57"/>
    <row r="771" ht="15.75" customHeight="1" s="57"/>
    <row r="772" ht="15.75" customHeight="1" s="57"/>
    <row r="773" ht="15.75" customHeight="1" s="57"/>
    <row r="774" ht="15.75" customHeight="1" s="57"/>
    <row r="775" ht="15.75" customHeight="1" s="57"/>
    <row r="776" ht="15.75" customHeight="1" s="57"/>
    <row r="777" ht="15.75" customHeight="1" s="57"/>
    <row r="778" ht="15.75" customHeight="1" s="57"/>
    <row r="779" ht="15.75" customHeight="1" s="57"/>
    <row r="780" ht="15.75" customHeight="1" s="57"/>
    <row r="781" ht="15.75" customHeight="1" s="57"/>
    <row r="782" ht="15.75" customHeight="1" s="57"/>
    <row r="783" ht="15.75" customHeight="1" s="57"/>
    <row r="784" ht="15.75" customHeight="1" s="57"/>
    <row r="785" ht="15.75" customHeight="1" s="57"/>
    <row r="786" ht="15.75" customHeight="1" s="57"/>
    <row r="787" ht="15.75" customHeight="1" s="57"/>
    <row r="788" ht="15.75" customHeight="1" s="57"/>
    <row r="789" ht="15.75" customHeight="1" s="57"/>
    <row r="790" ht="15.75" customHeight="1" s="57"/>
    <row r="791" ht="15.75" customHeight="1" s="57"/>
    <row r="792" ht="15.75" customHeight="1" s="57"/>
    <row r="793" ht="15.75" customHeight="1" s="57"/>
    <row r="794" ht="15.75" customHeight="1" s="57"/>
    <row r="795" ht="15.75" customHeight="1" s="57"/>
    <row r="796" ht="15.75" customHeight="1" s="57"/>
    <row r="797" ht="15.75" customHeight="1" s="57"/>
    <row r="798" ht="15.75" customHeight="1" s="57"/>
    <row r="799" ht="15.75" customHeight="1" s="57"/>
    <row r="800" ht="15.75" customHeight="1" s="57"/>
    <row r="801" ht="15.75" customHeight="1" s="57"/>
    <row r="802" ht="15.75" customHeight="1" s="57"/>
    <row r="803" ht="15.75" customHeight="1" s="57"/>
    <row r="804" ht="15.75" customHeight="1" s="57"/>
    <row r="805" ht="15.75" customHeight="1" s="57"/>
    <row r="806" ht="15.75" customHeight="1" s="57"/>
    <row r="807" ht="15.75" customHeight="1" s="57"/>
    <row r="808" ht="15.75" customHeight="1" s="57"/>
    <row r="809" ht="15.75" customHeight="1" s="57"/>
    <row r="810" ht="15.75" customHeight="1" s="57"/>
    <row r="811" ht="15.75" customHeight="1" s="57"/>
    <row r="812" ht="15.75" customHeight="1" s="57"/>
    <row r="813" ht="15.75" customHeight="1" s="57"/>
    <row r="814" ht="15.75" customHeight="1" s="57"/>
    <row r="815" ht="15.75" customHeight="1" s="57"/>
    <row r="816" ht="15.75" customHeight="1" s="57"/>
    <row r="817" ht="15.75" customHeight="1" s="57"/>
    <row r="818" ht="15.75" customHeight="1" s="57"/>
    <row r="819" ht="15.75" customHeight="1" s="57"/>
    <row r="820" ht="15.75" customHeight="1" s="57"/>
    <row r="821" ht="15.75" customHeight="1" s="57"/>
    <row r="822" ht="15.75" customHeight="1" s="57"/>
    <row r="823" ht="15.75" customHeight="1" s="57"/>
    <row r="824" ht="15.75" customHeight="1" s="57"/>
    <row r="825" ht="15.75" customHeight="1" s="57"/>
    <row r="826" ht="15.75" customHeight="1" s="57"/>
    <row r="827" ht="15.75" customHeight="1" s="57"/>
    <row r="828" ht="15.75" customHeight="1" s="57"/>
    <row r="829" ht="15.75" customHeight="1" s="57"/>
    <row r="830" ht="15.75" customHeight="1" s="57"/>
    <row r="831" ht="15.75" customHeight="1" s="57"/>
    <row r="832" ht="15.75" customHeight="1" s="57"/>
    <row r="833" ht="15.75" customHeight="1" s="57"/>
    <row r="834" ht="15.75" customHeight="1" s="57"/>
    <row r="835" ht="15.75" customHeight="1" s="57"/>
    <row r="836" ht="15.75" customHeight="1" s="57"/>
    <row r="837" ht="15.75" customHeight="1" s="57"/>
    <row r="838" ht="15.75" customHeight="1" s="57"/>
    <row r="839" ht="15.75" customHeight="1" s="57"/>
    <row r="840" ht="15.75" customHeight="1" s="57"/>
    <row r="841" ht="15.75" customHeight="1" s="57"/>
    <row r="842" ht="15.75" customHeight="1" s="57"/>
    <row r="843" ht="15.75" customHeight="1" s="57"/>
    <row r="844" ht="15.75" customHeight="1" s="57"/>
    <row r="845" ht="15.75" customHeight="1" s="57"/>
    <row r="846" ht="15.75" customHeight="1" s="57"/>
    <row r="847" ht="15.75" customHeight="1" s="57"/>
    <row r="848" ht="15.75" customHeight="1" s="57"/>
    <row r="849" ht="15.75" customHeight="1" s="57"/>
    <row r="850" ht="15.75" customHeight="1" s="57"/>
    <row r="851" ht="15.75" customHeight="1" s="57"/>
    <row r="852" ht="15.75" customHeight="1" s="57"/>
    <row r="853" ht="15.75" customHeight="1" s="57"/>
    <row r="854" ht="15.75" customHeight="1" s="57"/>
    <row r="855" ht="15.75" customHeight="1" s="57"/>
    <row r="856" ht="15.75" customHeight="1" s="57"/>
    <row r="857" ht="15.75" customHeight="1" s="57"/>
    <row r="858" ht="15.75" customHeight="1" s="57"/>
    <row r="859" ht="15.75" customHeight="1" s="57"/>
    <row r="860" ht="15.75" customHeight="1" s="57"/>
    <row r="861" ht="15.75" customHeight="1" s="57"/>
    <row r="862" ht="15.75" customHeight="1" s="57"/>
    <row r="863" ht="15.75" customHeight="1" s="57"/>
    <row r="864" ht="15.75" customHeight="1" s="57"/>
    <row r="865" ht="15.75" customHeight="1" s="57"/>
    <row r="866" ht="15.75" customHeight="1" s="57"/>
    <row r="867" ht="15.75" customHeight="1" s="57"/>
    <row r="868" ht="15.75" customHeight="1" s="57"/>
    <row r="869" ht="15.75" customHeight="1" s="57"/>
    <row r="870" ht="15.75" customHeight="1" s="57"/>
    <row r="871" ht="15.75" customHeight="1" s="57"/>
    <row r="872" ht="15.75" customHeight="1" s="57"/>
    <row r="873" ht="15.75" customHeight="1" s="57"/>
    <row r="874" ht="15.75" customHeight="1" s="57"/>
    <row r="875" ht="15.75" customHeight="1" s="57"/>
    <row r="876" ht="15.75" customHeight="1" s="57"/>
    <row r="877" ht="15.75" customHeight="1" s="57"/>
    <row r="878" ht="15.75" customHeight="1" s="57"/>
    <row r="879" ht="15.75" customHeight="1" s="57"/>
    <row r="880" ht="15.75" customHeight="1" s="57"/>
    <row r="881" ht="15.75" customHeight="1" s="57"/>
    <row r="882" ht="15.75" customHeight="1" s="57"/>
    <row r="883" ht="15.75" customHeight="1" s="57"/>
    <row r="884" ht="15.75" customHeight="1" s="57"/>
    <row r="885" ht="15.75" customHeight="1" s="57"/>
    <row r="886" ht="15.75" customHeight="1" s="57"/>
    <row r="887" ht="15.75" customHeight="1" s="57"/>
    <row r="888" ht="15.75" customHeight="1" s="57"/>
    <row r="889" ht="15.75" customHeight="1" s="57"/>
    <row r="890" ht="15.75" customHeight="1" s="57"/>
    <row r="891" ht="15.75" customHeight="1" s="57"/>
    <row r="892" ht="15.75" customHeight="1" s="57"/>
    <row r="893" ht="15.75" customHeight="1" s="57"/>
    <row r="894" ht="15.75" customHeight="1" s="57"/>
    <row r="895" ht="15.75" customHeight="1" s="57"/>
    <row r="896" ht="15.75" customHeight="1" s="57"/>
    <row r="897" ht="15.75" customHeight="1" s="57"/>
    <row r="898" ht="15.75" customHeight="1" s="57"/>
    <row r="899" ht="15.75" customHeight="1" s="57"/>
    <row r="900" ht="15.75" customHeight="1" s="57"/>
    <row r="901" ht="15.75" customHeight="1" s="57"/>
    <row r="902" ht="15.75" customHeight="1" s="57"/>
    <row r="903" ht="15.75" customHeight="1" s="57"/>
    <row r="904" ht="15.75" customHeight="1" s="57"/>
    <row r="905" ht="15.75" customHeight="1" s="57"/>
    <row r="906" ht="15.75" customHeight="1" s="57"/>
    <row r="907" ht="15.75" customHeight="1" s="57"/>
    <row r="908" ht="15.75" customHeight="1" s="57"/>
    <row r="909" ht="15.75" customHeight="1" s="57"/>
    <row r="910" ht="15.75" customHeight="1" s="57"/>
    <row r="911" ht="15.75" customHeight="1" s="57"/>
    <row r="912" ht="15.75" customHeight="1" s="57"/>
    <row r="913" ht="15.75" customHeight="1" s="57"/>
    <row r="914" ht="15.75" customHeight="1" s="57"/>
    <row r="915" ht="15.75" customHeight="1" s="57"/>
    <row r="916" ht="15.75" customHeight="1" s="57"/>
    <row r="917" ht="15.75" customHeight="1" s="57"/>
    <row r="918" ht="15.75" customHeight="1" s="57"/>
    <row r="919" ht="15.75" customHeight="1" s="57"/>
    <row r="920" ht="15.75" customHeight="1" s="57"/>
    <row r="921" ht="15.75" customHeight="1" s="57"/>
    <row r="922" ht="15.75" customHeight="1" s="57"/>
    <row r="923" ht="15.75" customHeight="1" s="57"/>
    <row r="924" ht="15.75" customHeight="1" s="57"/>
    <row r="925" ht="15.75" customHeight="1" s="57"/>
    <row r="926" ht="15.75" customHeight="1" s="57"/>
    <row r="927" ht="15.75" customHeight="1" s="57"/>
    <row r="928" ht="15.75" customHeight="1" s="57"/>
    <row r="929" ht="15.75" customHeight="1" s="57"/>
    <row r="930" ht="15.75" customHeight="1" s="57"/>
    <row r="931" ht="15.75" customHeight="1" s="57"/>
    <row r="932" ht="15.75" customHeight="1" s="57"/>
    <row r="933" ht="15.75" customHeight="1" s="57"/>
    <row r="934" ht="15.75" customHeight="1" s="57"/>
    <row r="935" ht="15.75" customHeight="1" s="57"/>
    <row r="936" ht="15.75" customHeight="1" s="57"/>
    <row r="937" ht="15.75" customHeight="1" s="57"/>
    <row r="938" ht="15.75" customHeight="1" s="57"/>
    <row r="939" ht="15.75" customHeight="1" s="57"/>
    <row r="940" ht="15.75" customHeight="1" s="57"/>
    <row r="941" ht="15.75" customHeight="1" s="57"/>
    <row r="942" ht="15.75" customHeight="1" s="57"/>
    <row r="943" ht="15.75" customHeight="1" s="57"/>
    <row r="944" ht="15.75" customHeight="1" s="57"/>
    <row r="945" ht="15.75" customHeight="1" s="57"/>
    <row r="946" ht="15.75" customHeight="1" s="57"/>
    <row r="947" ht="15.75" customHeight="1" s="57"/>
    <row r="948" ht="15.75" customHeight="1" s="57"/>
    <row r="949" ht="15.75" customHeight="1" s="57"/>
    <row r="950" ht="15.75" customHeight="1" s="57"/>
    <row r="951" ht="15.75" customHeight="1" s="57"/>
    <row r="952" ht="15.75" customHeight="1" s="57"/>
    <row r="953" ht="15.75" customHeight="1" s="57"/>
    <row r="954" ht="15.75" customHeight="1" s="57"/>
    <row r="955" ht="15.75" customHeight="1" s="57"/>
    <row r="956" ht="15.75" customHeight="1" s="57"/>
    <row r="957" ht="15.75" customHeight="1" s="57"/>
    <row r="958" ht="15.75" customHeight="1" s="57"/>
    <row r="959" ht="15.75" customHeight="1" s="57"/>
    <row r="960" ht="15.75" customHeight="1" s="57"/>
    <row r="961" ht="15.75" customHeight="1" s="57"/>
    <row r="962" ht="15.75" customHeight="1" s="57"/>
    <row r="963" ht="15.75" customHeight="1" s="57"/>
    <row r="964" ht="15.75" customHeight="1" s="57"/>
    <row r="965" ht="15.75" customHeight="1" s="57"/>
    <row r="966" ht="15.75" customHeight="1" s="57"/>
    <row r="967" ht="15.75" customHeight="1" s="57"/>
    <row r="968" ht="15.75" customHeight="1" s="57"/>
    <row r="969" ht="15.75" customHeight="1" s="57"/>
    <row r="970" ht="15.75" customHeight="1" s="57"/>
    <row r="971" ht="15.75" customHeight="1" s="57"/>
    <row r="972" ht="15.75" customHeight="1" s="57"/>
    <row r="973" ht="15.75" customHeight="1" s="57"/>
    <row r="974" ht="15.75" customHeight="1" s="57"/>
    <row r="975" ht="15.75" customHeight="1" s="57"/>
    <row r="976" ht="15.75" customHeight="1" s="57"/>
    <row r="977" ht="15.75" customHeight="1" s="57"/>
    <row r="978" ht="15.75" customHeight="1" s="57"/>
    <row r="979" ht="15.75" customHeight="1" s="57"/>
    <row r="980" ht="15.75" customHeight="1" s="57"/>
    <row r="981" ht="15.75" customHeight="1" s="57"/>
    <row r="982" ht="15.75" customHeight="1" s="57"/>
    <row r="983" ht="15.75" customHeight="1" s="57"/>
    <row r="984" ht="15.75" customHeight="1" s="57"/>
    <row r="985" ht="15.75" customHeight="1" s="57"/>
    <row r="986" ht="15.75" customHeight="1" s="57"/>
    <row r="987" ht="15.75" customHeight="1" s="57"/>
    <row r="988" ht="15.75" customHeight="1" s="57"/>
    <row r="989" ht="15.75" customHeight="1" s="57"/>
    <row r="990" ht="15.75" customHeight="1" s="57"/>
    <row r="991" ht="15.75" customHeight="1" s="57"/>
    <row r="992" ht="15.75" customHeight="1" s="57"/>
    <row r="993" ht="15.75" customHeight="1" s="57"/>
    <row r="994" ht="15.75" customHeight="1" s="57"/>
    <row r="995" ht="15.75" customHeight="1" s="57"/>
    <row r="996" ht="15.75" customHeight="1" s="57"/>
    <row r="997" ht="15.75" customHeight="1" s="57"/>
    <row r="998" ht="15.75" customHeight="1" s="57"/>
    <row r="999" ht="15.75" customHeight="1" s="57"/>
    <row r="1000" ht="15.75" customHeight="1" s="57"/>
  </sheetData>
  <mergeCells count="18">
    <mergeCell ref="A4:B4"/>
    <mergeCell ref="A16:B16"/>
    <mergeCell ref="A2:B2"/>
    <mergeCell ref="A15:B15"/>
    <mergeCell ref="A7:B7"/>
    <mergeCell ref="A19:B19"/>
    <mergeCell ref="A11:B11"/>
    <mergeCell ref="A10:B10"/>
    <mergeCell ref="A5:B5"/>
    <mergeCell ref="A13:B13"/>
    <mergeCell ref="A14:B14"/>
    <mergeCell ref="A1:B1"/>
    <mergeCell ref="A17:B17"/>
    <mergeCell ref="A9:B9"/>
    <mergeCell ref="A18:B18"/>
    <mergeCell ref="A8:B8"/>
    <mergeCell ref="A6:B6"/>
    <mergeCell ref="A12:B12"/>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A987"/>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19" customWidth="1" style="57" min="1" max="1"/>
    <col width="17" customWidth="1" style="57" min="2" max="2"/>
    <col width="14" customWidth="1" style="57" min="3" max="3"/>
    <col width="15" customWidth="1" style="57" min="4" max="5"/>
    <col width="16" customWidth="1" style="57" min="6" max="6"/>
    <col width="15" customWidth="1" style="57" min="7" max="7"/>
    <col width="17" customWidth="1" style="57" min="8" max="8"/>
    <col width="16" customWidth="1" style="57" min="9" max="9"/>
    <col width="26" customWidth="1" style="57" min="10" max="10"/>
    <col width="14" customWidth="1" style="57" min="11" max="11"/>
    <col width="26" customWidth="1" style="57" min="12" max="13"/>
    <col width="16" customWidth="1" style="57" min="14" max="15"/>
    <col width="26" customWidth="1" style="57" min="16" max="16"/>
    <col width="7" customWidth="1" style="57" min="17" max="17"/>
    <col width="11" customWidth="1" style="57" min="18" max="18"/>
    <col width="18" customWidth="1" style="57" min="19" max="20"/>
    <col width="13" customWidth="1" style="57" min="21" max="21"/>
    <col width="22" customWidth="1" style="57" min="22" max="23"/>
    <col width="20" customWidth="1" style="57" min="24" max="24"/>
    <col width="18" customWidth="1" style="57" min="25" max="25"/>
    <col width="14" customWidth="1" style="57" min="26" max="26"/>
    <col width="13" customWidth="1" style="57" min="27" max="27"/>
    <col width="20" customWidth="1" style="57" min="28" max="28"/>
    <col width="24" customWidth="1" style="57" min="29" max="29"/>
    <col width="42" customWidth="1" style="57" min="30" max="30"/>
    <col width="17" customWidth="1" style="57" min="31" max="31"/>
    <col width="9" customWidth="1" style="57" min="32" max="32"/>
    <col width="11" customWidth="1" style="57" min="33" max="33"/>
    <col width="17" customWidth="1" style="57" min="34" max="34"/>
    <col width="18" customWidth="1" style="57" min="35" max="35"/>
    <col width="12" customWidth="1" style="57" min="36" max="36"/>
    <col width="17" customWidth="1" style="57" min="37" max="37"/>
    <col width="31.14" customWidth="1" style="57" min="38" max="38"/>
    <col width="26" customWidth="1" style="57" min="39" max="39"/>
    <col width="16" customWidth="1" style="57" min="40" max="40"/>
    <col width="15" customWidth="1" style="57" min="41" max="41"/>
    <col width="44" customWidth="1" style="57" min="42" max="42"/>
    <col width="17" customWidth="1" style="57" min="43" max="43"/>
    <col width="44" customWidth="1" style="57" min="44" max="44"/>
    <col width="17" customWidth="1" style="57" min="45" max="45"/>
    <col width="16" customWidth="1" style="57" min="46" max="46"/>
    <col width="21.71" customWidth="1" style="57" min="47" max="47"/>
    <col width="16.57" customWidth="1" style="57" min="48" max="50"/>
    <col width="31.29" customWidth="1" style="57" min="51" max="51"/>
    <col width="16" customWidth="1" style="57" min="52" max="52"/>
    <col width="24.71" customWidth="1" style="57" min="53" max="53"/>
  </cols>
  <sheetData>
    <row r="1" ht="30" customHeight="1" s="57">
      <c r="A1" s="58" t="inlineStr">
        <is>
          <t>🗂 CONSOLIDADO DE PQRS — base de datos del sistema</t>
        </is>
      </c>
    </row>
    <row r="2">
      <c r="A2" s="3" t="inlineStr">
        <is>
          <t>La gestión se hace en la plataforma web. Esta hoja es el respaldo: evita editarla a mano.</t>
        </is>
      </c>
    </row>
    <row r="3" ht="18" customHeight="1" s="57">
      <c r="A3" s="59" t="inlineStr">
        <is>
          <t>IDENTIFICACIÓN Y FECHAS</t>
        </is>
      </c>
      <c r="B3" s="60" t="n"/>
      <c r="C3" s="60" t="n"/>
      <c r="D3" s="60" t="n"/>
      <c r="E3" s="60" t="n"/>
      <c r="F3" s="61" t="n"/>
      <c r="G3" s="62" t="inlineStr">
        <is>
          <t>SOLICITANTE</t>
        </is>
      </c>
      <c r="H3" s="60" t="n"/>
      <c r="I3" s="60" t="n"/>
      <c r="J3" s="60" t="n"/>
      <c r="K3" s="60" t="n"/>
      <c r="L3" s="60" t="n"/>
      <c r="M3" s="61" t="n"/>
      <c r="N3" s="63" t="inlineStr">
        <is>
          <t>AFILIADO / PACIENTE</t>
        </is>
      </c>
      <c r="O3" s="60" t="n"/>
      <c r="P3" s="60" t="n"/>
      <c r="Q3" s="60" t="n"/>
      <c r="R3" s="60" t="n"/>
      <c r="S3" s="60" t="n"/>
      <c r="T3" s="60" t="n"/>
      <c r="U3" s="61" t="n"/>
      <c r="V3" s="64" t="inlineStr">
        <is>
          <t>HECHO</t>
        </is>
      </c>
      <c r="W3" s="60" t="n"/>
      <c r="X3" s="60" t="n"/>
      <c r="Y3" s="60" t="n"/>
      <c r="Z3" s="60" t="n"/>
      <c r="AA3" s="60" t="n"/>
      <c r="AB3" s="60" t="n"/>
      <c r="AC3" s="60" t="n"/>
      <c r="AD3" s="61" t="n"/>
      <c r="AE3" s="65" t="inlineStr">
        <is>
          <t>TÉRMINOS</t>
        </is>
      </c>
      <c r="AF3" s="60" t="n"/>
      <c r="AG3" s="60" t="n"/>
      <c r="AH3" s="60" t="n"/>
      <c r="AI3" s="60" t="n"/>
      <c r="AJ3" s="61" t="n"/>
      <c r="AK3" s="66" t="inlineStr">
        <is>
          <t>GESTIÓN</t>
        </is>
      </c>
      <c r="AL3" s="60" t="n"/>
      <c r="AM3" s="60" t="n"/>
      <c r="AN3" s="60" t="n"/>
      <c r="AO3" s="60" t="n"/>
      <c r="AP3" s="60" t="n"/>
      <c r="AQ3" s="60" t="n"/>
      <c r="AR3" s="60" t="n"/>
      <c r="AS3" s="60" t="n"/>
      <c r="AT3" s="61" t="n"/>
      <c r="AU3" s="67" t="inlineStr">
        <is>
          <t>NOTIFICACIONES Y CONTROL</t>
        </is>
      </c>
      <c r="AV3" s="60" t="n"/>
      <c r="AW3" s="60" t="n"/>
      <c r="AX3" s="60" t="n"/>
      <c r="AY3" s="60" t="n"/>
      <c r="AZ3" s="60" t="n"/>
      <c r="BA3" s="61" t="n"/>
    </row>
    <row r="4" ht="39.75" customHeight="1" s="57">
      <c r="A4" s="20" t="inlineStr">
        <is>
          <t>CÓDIGO DE RADICACIÓN</t>
        </is>
      </c>
      <c r="B4" s="20" t="inlineStr">
        <is>
          <t>CANAL DE RECEPCIÓN</t>
        </is>
      </c>
      <c r="C4" s="20" t="inlineStr">
        <is>
          <t>FECHA DE LA PQRS</t>
        </is>
      </c>
      <c r="D4" s="20" t="inlineStr">
        <is>
          <t>FECHA DE RECEPCIÓN</t>
        </is>
      </c>
      <c r="E4" s="20" t="inlineStr">
        <is>
          <t>FECHA DE RADICACIÓN</t>
        </is>
      </c>
      <c r="F4" s="20" t="inlineStr">
        <is>
          <t>MARCA TEMPORAL</t>
        </is>
      </c>
      <c r="G4" s="21" t="inlineStr">
        <is>
          <t>TIPO SOLICITANTE</t>
        </is>
      </c>
      <c r="H4" s="21" t="inlineStr">
        <is>
          <t>TIPO DOC SOLICITANTE</t>
        </is>
      </c>
      <c r="I4" s="21" t="inlineStr">
        <is>
          <t>N° DOC SOLICITANTE</t>
        </is>
      </c>
      <c r="J4" s="21" t="inlineStr">
        <is>
          <t>NOMBRE SOLICITANTE</t>
        </is>
      </c>
      <c r="K4" s="21" t="inlineStr">
        <is>
          <t>TELÉFONO</t>
        </is>
      </c>
      <c r="L4" s="21" t="inlineStr">
        <is>
          <t>CORREO ELECTRÓNICO</t>
        </is>
      </c>
      <c r="M4" s="21" t="inlineStr">
        <is>
          <t>DIRECCIÓN</t>
        </is>
      </c>
      <c r="N4" s="22" t="inlineStr">
        <is>
          <t>TIPO DOC AFILIADO</t>
        </is>
      </c>
      <c r="O4" s="22" t="inlineStr">
        <is>
          <t>N° DOC AFILIADO</t>
        </is>
      </c>
      <c r="P4" s="22" t="inlineStr">
        <is>
          <t>NOMBRE AFILIADO</t>
        </is>
      </c>
      <c r="Q4" s="22" t="inlineStr">
        <is>
          <t>EDAD</t>
        </is>
      </c>
      <c r="R4" s="22" t="inlineStr">
        <is>
          <t>SEXO</t>
        </is>
      </c>
      <c r="S4" s="22" t="inlineStr">
        <is>
          <t>POBLACIÓN DIFERENCIAL</t>
        </is>
      </c>
      <c r="T4" s="22" t="inlineStr">
        <is>
          <t>EPS / PRESTADOR</t>
        </is>
      </c>
      <c r="U4" s="22" t="inlineStr">
        <is>
          <t>RÉGIMEN</t>
        </is>
      </c>
      <c r="V4" s="23" t="inlineStr">
        <is>
          <t>SEDE</t>
        </is>
      </c>
      <c r="W4" s="23" t="inlineStr">
        <is>
          <t>SERVICIO DONDE OCURRE</t>
        </is>
      </c>
      <c r="X4" s="23" t="inlineStr">
        <is>
          <t>SERVICIO ESPECÍFICO</t>
        </is>
      </c>
      <c r="Y4" s="23" t="inlineStr">
        <is>
          <t>MODALIDAD DE ATENCIÓN</t>
        </is>
      </c>
      <c r="Z4" s="23" t="inlineStr">
        <is>
          <t>DEPARTAMENTO</t>
        </is>
      </c>
      <c r="AA4" s="23" t="inlineStr">
        <is>
          <t>TIPO DE PQRS</t>
        </is>
      </c>
      <c r="AB4" s="23" t="inlineStr">
        <is>
          <t>CLASIFICACIÓN INTERNA</t>
        </is>
      </c>
      <c r="AC4" s="23" t="inlineStr">
        <is>
          <t>TIPOLOGÍA</t>
        </is>
      </c>
      <c r="AD4" s="23" t="inlineStr">
        <is>
          <t>DESCRIPCIÓN</t>
        </is>
      </c>
      <c r="AE4" s="25" t="inlineStr">
        <is>
          <t>ENTIDAD PRESENTADA</t>
        </is>
      </c>
      <c r="AF4" s="25" t="inlineStr">
        <is>
          <t>TÉRMINO (días)</t>
        </is>
      </c>
      <c r="AG4" s="25" t="inlineStr">
        <is>
          <t>TIPO DE DÍA</t>
        </is>
      </c>
      <c r="AH4" s="25" t="inlineStr">
        <is>
          <t>FECHA MÁXIMA DE RESPUESTA</t>
        </is>
      </c>
      <c r="AI4" s="25" t="inlineStr">
        <is>
          <t>SEMÁFORO</t>
        </is>
      </c>
      <c r="AJ4" s="26" t="inlineStr">
        <is>
          <t>DÍAS TRANSCURRIDOS</t>
        </is>
      </c>
      <c r="AK4" s="27" t="inlineStr">
        <is>
          <t>ESTADO</t>
        </is>
      </c>
      <c r="AL4" s="27" t="inlineStr">
        <is>
          <t>RESPONSABLE ASIGNADO</t>
        </is>
      </c>
      <c r="AM4" s="27" t="inlineStr">
        <is>
          <t>CORREO RESPONSABLE</t>
        </is>
      </c>
      <c r="AN4" s="27" t="inlineStr">
        <is>
          <t>FECHA ENVÍO AL ÁREA</t>
        </is>
      </c>
      <c r="AO4" s="27" t="inlineStr">
        <is>
          <t>REDIRECCIONAMIENTOS</t>
        </is>
      </c>
      <c r="AP4" s="27" t="inlineStr">
        <is>
          <t>RESPUESTA DEL RESPONSABLE</t>
        </is>
      </c>
      <c r="AQ4" s="27" t="inlineStr">
        <is>
          <t>FECHA RESPUESTA DEL RESPONSABLE</t>
        </is>
      </c>
      <c r="AR4" s="27" t="inlineStr">
        <is>
          <t>RESPUESTA ENVIADA AL USUARIO</t>
        </is>
      </c>
      <c r="AS4" s="27" t="inlineStr">
        <is>
          <t>FECHA DE RESPUESTA AL USUARIO</t>
        </is>
      </c>
      <c r="AT4" s="27" t="inlineStr">
        <is>
          <t>ESTADO DE OPORTUNIDAD</t>
        </is>
      </c>
      <c r="AU4" s="28" t="inlineStr">
        <is>
          <t>FECHA NOTIF. RECEPCIÓN</t>
        </is>
      </c>
      <c r="AV4" s="28" t="inlineStr">
        <is>
          <t>FECHA NOTIF. AL ÁREA</t>
        </is>
      </c>
      <c r="AW4" s="28" t="inlineStr">
        <is>
          <t>FECHA NOTIF. EN GESTIÓN</t>
        </is>
      </c>
      <c r="AX4" s="28" t="inlineStr">
        <is>
          <t>FECHA NOTIF. CIERRE</t>
        </is>
      </c>
      <c r="AY4" s="28" t="inlineStr">
        <is>
          <t>OBSERVACIONES</t>
        </is>
      </c>
      <c r="AZ4" s="28" t="inlineStr">
        <is>
          <t>ID CORREO</t>
        </is>
      </c>
      <c r="BA4" s="28" t="inlineStr">
        <is>
          <t>REGISTRADO POR</t>
        </is>
      </c>
    </row>
    <row r="5">
      <c r="A5" s="29" t="n"/>
      <c r="B5" s="30" t="n"/>
      <c r="C5" s="39" t="n"/>
      <c r="D5" s="39" t="n"/>
      <c r="E5" s="39" t="n"/>
      <c r="F5" s="40" t="n"/>
      <c r="G5" s="30" t="n"/>
      <c r="H5" s="30" t="n"/>
      <c r="I5" s="30" t="n"/>
      <c r="J5" s="30" t="n"/>
      <c r="K5" s="30" t="n"/>
      <c r="L5" s="30" t="n"/>
      <c r="M5" s="30" t="n"/>
      <c r="N5" s="30" t="n"/>
      <c r="O5" s="30" t="n"/>
      <c r="P5" s="30" t="n"/>
      <c r="Q5" s="30" t="n"/>
      <c r="R5" s="30" t="n"/>
      <c r="S5" s="30" t="n"/>
      <c r="T5" s="30" t="n"/>
      <c r="U5" s="30" t="n"/>
      <c r="V5" s="30" t="n"/>
      <c r="W5" s="30" t="n"/>
      <c r="X5" s="30" t="n"/>
      <c r="Y5" s="30" t="n"/>
      <c r="Z5" s="30" t="n"/>
      <c r="AA5" s="30" t="n"/>
      <c r="AB5" s="30" t="n"/>
      <c r="AC5" s="30" t="n"/>
      <c r="AD5" s="41" t="n"/>
      <c r="AE5" s="30" t="n"/>
      <c r="AF5" s="42">
        <f>IF($AA18="","",IF(LEFT(UPPER(TRIM($AA18)),8)="FELICITA","N/A",IF($AE18="","",IFERROR(VLOOKUP(UPPER(TRIM($AE18)),Config!$A$6:$D$8,2,FALSE),IFERROR(VLOOKUP(IF(LEFT(UPPER(TRIM($AE18)),5)="SUPER","SUPER SALUD",IF(LEFT(UPPER(TRIM($AE18)),8)="SECRETAR","SECRETARIA DE SALUD",IF(LEFT(UPPER(TRIM($AE18)),4)="SEDE","SEDE",UPPER(TRIM($AE18))))),Config!$A$6:$D$8,2,FALSE),"⚠")))))</f>
        <v/>
      </c>
      <c r="AG5" s="30">
        <f>IF($AA18="","",IF(LEFT(UPPER(TRIM($AA18)),8)="FELICITA","N/A",IF($AE18="","",IFERROR(VLOOKUP(UPPER(TRIM($AE18)),Config!$A$6:$D$8,3,FALSE),IFERROR(VLOOKUP(IF(LEFT(UPPER(TRIM($AE18)),5)="SUPER","SUPER SALUD",IF(LEFT(UPPER(TRIM($AE18)),8)="SECRETAR","SECRETARIA DE SALUD",IF(LEFT(UPPER(TRIM($AE18)),4)="SEDE","SEDE",UPPER(TRIM($AE18))))),Config!$A$6:$D$8,3,FALSE),"")))))</f>
        <v/>
      </c>
      <c r="AH5" s="39">
        <f>IF(OR($E18="",NOT(ISNUMBER($E18)),$AF18="",$AF18="N/A",NOT(ISNUMBER($AF18))),"",IF($AG18="Hábiles",WORKDAY(INT($E18),$AF18,Config!$F$6:$F$39),INT($E18)+$AF18))</f>
        <v/>
      </c>
      <c r="AI5" s="30">
        <f>IF($E18="","",IF(LEFT(UPPER(TRIM($AA18)),8)="FELICITA","⭐ Felicitación",IF(NOT(ISNUMBER($E18)),"⚠ Revisar fecha",IF(UPPER(TRIM($AK18))="RESPONDIDA - CERRADA","✅ Cerrada",IF($AE18="","⚠ Falta entidad",IF($AH18="","⚠ Revisar término",IF(TODAY()&gt;$AH18,"🔴 Vencida",IF($AH18-TODAY()&lt;=Config!$B$12,"🟡 Próxima a vencer","🟢 En término"))))))))</f>
        <v/>
      </c>
      <c r="AJ5" s="42">
        <f>IF(OR($E18="",NOT(ISNUMBER($E18))),"",IF(ISNUMBER($AS18),MAX(0,INT($AS18)-INT($E18)),MAX(0,TODAY()-INT($E18))))</f>
        <v/>
      </c>
      <c r="AK5" s="30" t="n"/>
      <c r="AL5" s="30" t="n"/>
      <c r="AM5" s="30" t="n"/>
      <c r="AN5" s="39" t="n"/>
      <c r="AO5" s="30" t="n"/>
      <c r="AP5" s="30" t="n"/>
      <c r="AQ5" s="39" t="n"/>
      <c r="AR5" s="30" t="n"/>
      <c r="AS5" s="39" t="n"/>
      <c r="AT5" s="30">
        <f>IF(OR($AS18="",NOT(ISNUMBER($AS18)),$AH18=""),"",IF(INT($AS18)&lt;=$AH18,"A tiempo","Fuera de término"))</f>
        <v/>
      </c>
      <c r="AU5" s="40" t="n"/>
      <c r="AV5" s="40" t="n"/>
      <c r="AW5" s="40" t="n"/>
      <c r="AX5" s="40" t="n"/>
      <c r="AY5" s="30" t="n"/>
      <c r="AZ5" s="30" t="n"/>
      <c r="BA5" s="30" t="n"/>
    </row>
    <row r="6">
      <c r="A6" s="29" t="n"/>
      <c r="B6" s="30" t="n"/>
      <c r="C6" s="39" t="n"/>
      <c r="D6" s="39" t="n"/>
      <c r="E6" s="39" t="n"/>
      <c r="F6" s="40" t="n"/>
      <c r="G6" s="30" t="n"/>
      <c r="H6" s="30" t="n"/>
      <c r="I6" s="30" t="n"/>
      <c r="J6" s="30" t="n"/>
      <c r="K6" s="30" t="n"/>
      <c r="L6" s="30" t="n"/>
      <c r="M6" s="30" t="n"/>
      <c r="N6" s="30" t="n"/>
      <c r="O6" s="30" t="n"/>
      <c r="P6" s="30" t="n"/>
      <c r="Q6" s="30" t="n"/>
      <c r="R6" s="30" t="n"/>
      <c r="S6" s="30" t="n"/>
      <c r="T6" s="30" t="n"/>
      <c r="U6" s="30" t="n"/>
      <c r="V6" s="30" t="n"/>
      <c r="W6" s="30" t="n"/>
      <c r="X6" s="30" t="n"/>
      <c r="Y6" s="30" t="n"/>
      <c r="Z6" s="30" t="n"/>
      <c r="AA6" s="30" t="n"/>
      <c r="AB6" s="30" t="n"/>
      <c r="AC6" s="30" t="n"/>
      <c r="AD6" s="41" t="n"/>
      <c r="AE6" s="30" t="n"/>
      <c r="AF6" s="42">
        <f>IF($AA19="","",IF(LEFT(UPPER(TRIM($AA19)),8)="FELICITA","N/A",IF($AE19="","",IFERROR(VLOOKUP(UPPER(TRIM($AE19)),Config!$A$6:$D$8,2,FALSE),IFERROR(VLOOKUP(IF(LEFT(UPPER(TRIM($AE19)),5)="SUPER","SUPER SALUD",IF(LEFT(UPPER(TRIM($AE19)),8)="SECRETAR","SECRETARIA DE SALUD",IF(LEFT(UPPER(TRIM($AE19)),4)="SEDE","SEDE",UPPER(TRIM($AE19))))),Config!$A$6:$D$8,2,FALSE),"⚠")))))</f>
        <v/>
      </c>
      <c r="AG6" s="30">
        <f>IF($AA19="","",IF(LEFT(UPPER(TRIM($AA19)),8)="FELICITA","N/A",IF($AE19="","",IFERROR(VLOOKUP(UPPER(TRIM($AE19)),Config!$A$6:$D$8,3,FALSE),IFERROR(VLOOKUP(IF(LEFT(UPPER(TRIM($AE19)),5)="SUPER","SUPER SALUD",IF(LEFT(UPPER(TRIM($AE19)),8)="SECRETAR","SECRETARIA DE SALUD",IF(LEFT(UPPER(TRIM($AE19)),4)="SEDE","SEDE",UPPER(TRIM($AE19))))),Config!$A$6:$D$8,3,FALSE),"")))))</f>
        <v/>
      </c>
      <c r="AH6" s="39">
        <f>IF(OR($E19="",NOT(ISNUMBER($E19)),$AF19="",$AF19="N/A",NOT(ISNUMBER($AF19))),"",IF($AG19="Hábiles",WORKDAY(INT($E19),$AF19,Config!$F$6:$F$39),INT($E19)+$AF19))</f>
        <v/>
      </c>
      <c r="AI6" s="30">
        <f>IF($E19="","",IF(LEFT(UPPER(TRIM($AA19)),8)="FELICITA","⭐ Felicitación",IF(NOT(ISNUMBER($E19)),"⚠ Revisar fecha",IF(UPPER(TRIM($AK19))="RESPONDIDA - CERRADA","✅ Cerrada",IF($AE19="","⚠ Falta entidad",IF($AH19="","⚠ Revisar término",IF(TODAY()&gt;$AH19,"🔴 Vencida",IF($AH19-TODAY()&lt;=Config!$B$12,"🟡 Próxima a vencer","🟢 En término"))))))))</f>
        <v/>
      </c>
      <c r="AJ6" s="42">
        <f>IF(OR($E19="",NOT(ISNUMBER($E19))),"",IF(ISNUMBER($AS19),MAX(0,INT($AS19)-INT($E19)),MAX(0,TODAY()-INT($E19))))</f>
        <v/>
      </c>
      <c r="AK6" s="30" t="n"/>
      <c r="AL6" s="30" t="n"/>
      <c r="AM6" s="30" t="n"/>
      <c r="AN6" s="39" t="n"/>
      <c r="AO6" s="30" t="n"/>
      <c r="AP6" s="30" t="n"/>
      <c r="AQ6" s="39" t="n"/>
      <c r="AR6" s="30" t="n"/>
      <c r="AS6" s="39" t="n"/>
      <c r="AT6" s="30">
        <f>IF(OR($AS19="",NOT(ISNUMBER($AS19)),$AH19=""),"",IF(INT($AS19)&lt;=$AH19,"A tiempo","Fuera de término"))</f>
        <v/>
      </c>
      <c r="AU6" s="40" t="n"/>
      <c r="AV6" s="40" t="n"/>
      <c r="AW6" s="40" t="n"/>
      <c r="AX6" s="40" t="n"/>
      <c r="AY6" s="30" t="n"/>
      <c r="AZ6" s="30" t="n"/>
      <c r="BA6" s="30" t="n"/>
    </row>
    <row r="7">
      <c r="A7" s="29" t="n"/>
      <c r="B7" s="30" t="n"/>
      <c r="C7" s="39" t="n"/>
      <c r="D7" s="39" t="n"/>
      <c r="E7" s="39" t="n"/>
      <c r="F7" s="40" t="n"/>
      <c r="G7" s="30" t="n"/>
      <c r="H7" s="30" t="n"/>
      <c r="I7" s="30" t="n"/>
      <c r="J7" s="30" t="n"/>
      <c r="K7" s="30" t="n"/>
      <c r="L7" s="30" t="n"/>
      <c r="M7" s="30" t="n"/>
      <c r="N7" s="30" t="n"/>
      <c r="O7" s="30" t="n"/>
      <c r="P7" s="30" t="n"/>
      <c r="Q7" s="30" t="n"/>
      <c r="R7" s="30" t="n"/>
      <c r="S7" s="30" t="n"/>
      <c r="T7" s="30" t="n"/>
      <c r="U7" s="30" t="n"/>
      <c r="V7" s="30" t="n"/>
      <c r="W7" s="30" t="n"/>
      <c r="X7" s="30" t="n"/>
      <c r="Y7" s="30" t="n"/>
      <c r="Z7" s="30" t="n"/>
      <c r="AA7" s="30" t="n"/>
      <c r="AB7" s="30" t="n"/>
      <c r="AC7" s="30" t="n"/>
      <c r="AD7" s="41" t="n"/>
      <c r="AE7" s="30" t="n"/>
      <c r="AF7" s="42">
        <f>IF($AA20="","",IF(LEFT(UPPER(TRIM($AA20)),8)="FELICITA","N/A",IF($AE20="","",IFERROR(VLOOKUP(UPPER(TRIM($AE20)),Config!$A$6:$D$8,2,FALSE),IFERROR(VLOOKUP(IF(LEFT(UPPER(TRIM($AE20)),5)="SUPER","SUPER SALUD",IF(LEFT(UPPER(TRIM($AE20)),8)="SECRETAR","SECRETARIA DE SALUD",IF(LEFT(UPPER(TRIM($AE20)),4)="SEDE","SEDE",UPPER(TRIM($AE20))))),Config!$A$6:$D$8,2,FALSE),"⚠")))))</f>
        <v/>
      </c>
      <c r="AG7" s="30">
        <f>IF($AA20="","",IF(LEFT(UPPER(TRIM($AA20)),8)="FELICITA","N/A",IF($AE20="","",IFERROR(VLOOKUP(UPPER(TRIM($AE20)),Config!$A$6:$D$8,3,FALSE),IFERROR(VLOOKUP(IF(LEFT(UPPER(TRIM($AE20)),5)="SUPER","SUPER SALUD",IF(LEFT(UPPER(TRIM($AE20)),8)="SECRETAR","SECRETARIA DE SALUD",IF(LEFT(UPPER(TRIM($AE20)),4)="SEDE","SEDE",UPPER(TRIM($AE20))))),Config!$A$6:$D$8,3,FALSE),"")))))</f>
        <v/>
      </c>
      <c r="AH7" s="39">
        <f>IF(OR($E20="",NOT(ISNUMBER($E20)),$AF20="",$AF20="N/A",NOT(ISNUMBER($AF20))),"",IF($AG20="Hábiles",WORKDAY(INT($E20),$AF20,Config!$F$6:$F$39),INT($E20)+$AF20))</f>
        <v/>
      </c>
      <c r="AI7" s="30">
        <f>IF($E20="","",IF(LEFT(UPPER(TRIM($AA20)),8)="FELICITA","⭐ Felicitación",IF(NOT(ISNUMBER($E20)),"⚠ Revisar fecha",IF(UPPER(TRIM($AK20))="RESPONDIDA - CERRADA","✅ Cerrada",IF($AE20="","⚠ Falta entidad",IF($AH20="","⚠ Revisar término",IF(TODAY()&gt;$AH20,"🔴 Vencida",IF($AH20-TODAY()&lt;=Config!$B$12,"🟡 Próxima a vencer","🟢 En término"))))))))</f>
        <v/>
      </c>
      <c r="AJ7" s="42">
        <f>IF(OR($E20="",NOT(ISNUMBER($E20))),"",IF(ISNUMBER($AS20),MAX(0,INT($AS20)-INT($E20)),MAX(0,TODAY()-INT($E20))))</f>
        <v/>
      </c>
      <c r="AK7" s="30" t="n"/>
      <c r="AL7" s="30" t="n"/>
      <c r="AM7" s="30" t="n"/>
      <c r="AN7" s="39" t="n"/>
      <c r="AO7" s="30" t="n"/>
      <c r="AP7" s="30" t="n"/>
      <c r="AQ7" s="39" t="n"/>
      <c r="AR7" s="30" t="n"/>
      <c r="AS7" s="39" t="n"/>
      <c r="AT7" s="30">
        <f>IF(OR($AS20="",NOT(ISNUMBER($AS20)),$AH20=""),"",IF(INT($AS20)&lt;=$AH20,"A tiempo","Fuera de término"))</f>
        <v/>
      </c>
      <c r="AU7" s="40" t="n"/>
      <c r="AV7" s="40" t="n"/>
      <c r="AW7" s="40" t="n"/>
      <c r="AX7" s="40" t="n"/>
      <c r="AY7" s="30" t="n"/>
      <c r="AZ7" s="30" t="n"/>
      <c r="BA7" s="30" t="n"/>
    </row>
    <row r="8" ht="15.75" customHeight="1" s="57">
      <c r="A8" s="29" t="n"/>
      <c r="B8" s="30" t="n"/>
      <c r="C8" s="39" t="n"/>
      <c r="D8" s="39" t="n"/>
      <c r="E8" s="39" t="n"/>
      <c r="F8" s="40" t="n"/>
      <c r="G8" s="30" t="n"/>
      <c r="H8" s="30" t="n"/>
      <c r="I8" s="30" t="n"/>
      <c r="J8" s="30" t="n"/>
      <c r="K8" s="30" t="n"/>
      <c r="L8" s="30" t="n"/>
      <c r="M8" s="30" t="n"/>
      <c r="N8" s="30" t="n"/>
      <c r="O8" s="30" t="n"/>
      <c r="P8" s="30" t="n"/>
      <c r="Q8" s="30" t="n"/>
      <c r="R8" s="30" t="n"/>
      <c r="S8" s="30" t="n"/>
      <c r="T8" s="30" t="n"/>
      <c r="U8" s="30" t="n"/>
      <c r="V8" s="30" t="n"/>
      <c r="W8" s="30" t="n"/>
      <c r="X8" s="30" t="n"/>
      <c r="Y8" s="30" t="n"/>
      <c r="Z8" s="30" t="n"/>
      <c r="AA8" s="30" t="n"/>
      <c r="AB8" s="30" t="n"/>
      <c r="AC8" s="30" t="n"/>
      <c r="AD8" s="41" t="n"/>
      <c r="AE8" s="30" t="n"/>
      <c r="AF8" s="42">
        <f>IF($AA21="","",IF(LEFT(UPPER(TRIM($AA21)),8)="FELICITA","N/A",IF($AE21="","",IFERROR(VLOOKUP(UPPER(TRIM($AE21)),Config!$A$6:$D$8,2,FALSE),IFERROR(VLOOKUP(IF(LEFT(UPPER(TRIM($AE21)),5)="SUPER","SUPER SALUD",IF(LEFT(UPPER(TRIM($AE21)),8)="SECRETAR","SECRETARIA DE SALUD",IF(LEFT(UPPER(TRIM($AE21)),4)="SEDE","SEDE",UPPER(TRIM($AE21))))),Config!$A$6:$D$8,2,FALSE),"⚠")))))</f>
        <v/>
      </c>
      <c r="AG8" s="30">
        <f>IF($AA21="","",IF(LEFT(UPPER(TRIM($AA21)),8)="FELICITA","N/A",IF($AE21="","",IFERROR(VLOOKUP(UPPER(TRIM($AE21)),Config!$A$6:$D$8,3,FALSE),IFERROR(VLOOKUP(IF(LEFT(UPPER(TRIM($AE21)),5)="SUPER","SUPER SALUD",IF(LEFT(UPPER(TRIM($AE21)),8)="SECRETAR","SECRETARIA DE SALUD",IF(LEFT(UPPER(TRIM($AE21)),4)="SEDE","SEDE",UPPER(TRIM($AE21))))),Config!$A$6:$D$8,3,FALSE),"")))))</f>
        <v/>
      </c>
      <c r="AH8" s="39">
        <f>IF(OR($E21="",NOT(ISNUMBER($E21)),$AF21="",$AF21="N/A",NOT(ISNUMBER($AF21))),"",IF($AG21="Hábiles",WORKDAY(INT($E21),$AF21,Config!$F$6:$F$39),INT($E21)+$AF21))</f>
        <v/>
      </c>
      <c r="AI8" s="30">
        <f>IF($E21="","",IF(LEFT(UPPER(TRIM($AA21)),8)="FELICITA","⭐ Felicitación",IF(NOT(ISNUMBER($E21)),"⚠ Revisar fecha",IF(UPPER(TRIM($AK21))="RESPONDIDA - CERRADA","✅ Cerrada",IF($AE21="","⚠ Falta entidad",IF($AH21="","⚠ Revisar término",IF(TODAY()&gt;$AH21,"🔴 Vencida",IF($AH21-TODAY()&lt;=Config!$B$12,"🟡 Próxima a vencer","🟢 En término"))))))))</f>
        <v/>
      </c>
      <c r="AJ8" s="42">
        <f>IF(OR($E21="",NOT(ISNUMBER($E21))),"",IF(ISNUMBER($AS21),MAX(0,INT($AS21)-INT($E21)),MAX(0,TODAY()-INT($E21))))</f>
        <v/>
      </c>
      <c r="AK8" s="30" t="n"/>
      <c r="AL8" s="30" t="n"/>
      <c r="AM8" s="30" t="n"/>
      <c r="AN8" s="39" t="n"/>
      <c r="AO8" s="30" t="n"/>
      <c r="AP8" s="30" t="n"/>
      <c r="AQ8" s="39" t="n"/>
      <c r="AR8" s="30" t="n"/>
      <c r="AS8" s="39" t="n"/>
      <c r="AT8" s="30">
        <f>IF(OR($AS21="",NOT(ISNUMBER($AS21)),$AH21=""),"",IF(INT($AS21)&lt;=$AH21,"A tiempo","Fuera de término"))</f>
        <v/>
      </c>
      <c r="AU8" s="40" t="n"/>
      <c r="AV8" s="40" t="n"/>
      <c r="AW8" s="40" t="n"/>
      <c r="AX8" s="40" t="n"/>
      <c r="AY8" s="30" t="n"/>
      <c r="AZ8" s="30" t="n"/>
      <c r="BA8" s="30" t="n"/>
    </row>
    <row r="9" ht="15.75" customHeight="1" s="57">
      <c r="A9" s="29" t="n"/>
      <c r="B9" s="30" t="n"/>
      <c r="C9" s="39" t="n"/>
      <c r="D9" s="39" t="n"/>
      <c r="E9" s="39" t="n"/>
      <c r="F9" s="40" t="n"/>
      <c r="G9" s="30" t="n"/>
      <c r="H9" s="30" t="n"/>
      <c r="I9" s="30" t="n"/>
      <c r="J9" s="30" t="n"/>
      <c r="K9" s="30" t="n"/>
      <c r="L9" s="30" t="n"/>
      <c r="M9" s="30" t="n"/>
      <c r="N9" s="30" t="n"/>
      <c r="O9" s="30" t="n"/>
      <c r="P9" s="30" t="n"/>
      <c r="Q9" s="30" t="n"/>
      <c r="R9" s="30" t="n"/>
      <c r="S9" s="30" t="n"/>
      <c r="T9" s="30" t="n"/>
      <c r="U9" s="30" t="n"/>
      <c r="V9" s="30" t="n"/>
      <c r="W9" s="30" t="n"/>
      <c r="X9" s="30" t="n"/>
      <c r="Y9" s="30" t="n"/>
      <c r="Z9" s="30" t="n"/>
      <c r="AA9" s="30" t="n"/>
      <c r="AB9" s="30" t="n"/>
      <c r="AC9" s="30" t="n"/>
      <c r="AD9" s="41" t="n"/>
      <c r="AE9" s="30" t="n"/>
      <c r="AF9" s="42">
        <f>IF($AA22="","",IF(LEFT(UPPER(TRIM($AA22)),8)="FELICITA","N/A",IF($AE22="","",IFERROR(VLOOKUP(UPPER(TRIM($AE22)),Config!$A$6:$D$8,2,FALSE),IFERROR(VLOOKUP(IF(LEFT(UPPER(TRIM($AE22)),5)="SUPER","SUPER SALUD",IF(LEFT(UPPER(TRIM($AE22)),8)="SECRETAR","SECRETARIA DE SALUD",IF(LEFT(UPPER(TRIM($AE22)),4)="SEDE","SEDE",UPPER(TRIM($AE22))))),Config!$A$6:$D$8,2,FALSE),"⚠")))))</f>
        <v/>
      </c>
      <c r="AG9" s="30">
        <f>IF($AA22="","",IF(LEFT(UPPER(TRIM($AA22)),8)="FELICITA","N/A",IF($AE22="","",IFERROR(VLOOKUP(UPPER(TRIM($AE22)),Config!$A$6:$D$8,3,FALSE),IFERROR(VLOOKUP(IF(LEFT(UPPER(TRIM($AE22)),5)="SUPER","SUPER SALUD",IF(LEFT(UPPER(TRIM($AE22)),8)="SECRETAR","SECRETARIA DE SALUD",IF(LEFT(UPPER(TRIM($AE22)),4)="SEDE","SEDE",UPPER(TRIM($AE22))))),Config!$A$6:$D$8,3,FALSE),"")))))</f>
        <v/>
      </c>
      <c r="AH9" s="39">
        <f>IF(OR($E22="",NOT(ISNUMBER($E22)),$AF22="",$AF22="N/A",NOT(ISNUMBER($AF22))),"",IF($AG22="Hábiles",WORKDAY(INT($E22),$AF22,Config!$F$6:$F$39),INT($E22)+$AF22))</f>
        <v/>
      </c>
      <c r="AI9" s="30">
        <f>IF($E22="","",IF(LEFT(UPPER(TRIM($AA22)),8)="FELICITA","⭐ Felicitación",IF(NOT(ISNUMBER($E22)),"⚠ Revisar fecha",IF(UPPER(TRIM($AK22))="RESPONDIDA - CERRADA","✅ Cerrada",IF($AE22="","⚠ Falta entidad",IF($AH22="","⚠ Revisar término",IF(TODAY()&gt;$AH22,"🔴 Vencida",IF($AH22-TODAY()&lt;=Config!$B$12,"🟡 Próxima a vencer","🟢 En término"))))))))</f>
        <v/>
      </c>
      <c r="AJ9" s="42">
        <f>IF(OR($E22="",NOT(ISNUMBER($E22))),"",IF(ISNUMBER($AS22),MAX(0,INT($AS22)-INT($E22)),MAX(0,TODAY()-INT($E22))))</f>
        <v/>
      </c>
      <c r="AK9" s="30" t="n"/>
      <c r="AL9" s="30" t="n"/>
      <c r="AM9" s="30" t="n"/>
      <c r="AN9" s="39" t="n"/>
      <c r="AO9" s="30" t="n"/>
      <c r="AP9" s="30" t="n"/>
      <c r="AQ9" s="39" t="n"/>
      <c r="AR9" s="30" t="n"/>
      <c r="AS9" s="39" t="n"/>
      <c r="AT9" s="30">
        <f>IF(OR($AS22="",NOT(ISNUMBER($AS22)),$AH22=""),"",IF(INT($AS22)&lt;=$AH22,"A tiempo","Fuera de término"))</f>
        <v/>
      </c>
      <c r="AU9" s="40" t="n"/>
      <c r="AV9" s="40" t="n"/>
      <c r="AW9" s="40" t="n"/>
      <c r="AX9" s="40" t="n"/>
      <c r="AY9" s="30" t="n"/>
      <c r="AZ9" s="30" t="n"/>
      <c r="BA9" s="30" t="n"/>
    </row>
    <row r="10" ht="15.75" customHeight="1" s="57">
      <c r="A10" s="29" t="n"/>
      <c r="B10" s="30" t="n"/>
      <c r="C10" s="39" t="n"/>
      <c r="D10" s="39" t="n"/>
      <c r="E10" s="39" t="n"/>
      <c r="F10" s="40" t="n"/>
      <c r="G10" s="30" t="n"/>
      <c r="H10" s="30" t="n"/>
      <c r="I10" s="30" t="n"/>
      <c r="J10" s="30" t="n"/>
      <c r="K10" s="30" t="n"/>
      <c r="L10" s="30" t="n"/>
      <c r="M10" s="30" t="n"/>
      <c r="N10" s="30" t="n"/>
      <c r="O10" s="30" t="n"/>
      <c r="P10" s="30" t="n"/>
      <c r="Q10" s="30" t="n"/>
      <c r="R10" s="30" t="n"/>
      <c r="S10" s="30" t="n"/>
      <c r="T10" s="30" t="n"/>
      <c r="U10" s="30" t="n"/>
      <c r="V10" s="30" t="n"/>
      <c r="W10" s="30" t="n"/>
      <c r="X10" s="30" t="n"/>
      <c r="Y10" s="30" t="n"/>
      <c r="Z10" s="30" t="n"/>
      <c r="AA10" s="30" t="n"/>
      <c r="AB10" s="30" t="n"/>
      <c r="AC10" s="30" t="n"/>
      <c r="AD10" s="41" t="n"/>
      <c r="AE10" s="30" t="n"/>
      <c r="AF10" s="42">
        <f>IF($AA23="","",IF(LEFT(UPPER(TRIM($AA23)),8)="FELICITA","N/A",IF($AE23="","",IFERROR(VLOOKUP(UPPER(TRIM($AE23)),Config!$A$6:$D$8,2,FALSE),IFERROR(VLOOKUP(IF(LEFT(UPPER(TRIM($AE23)),5)="SUPER","SUPER SALUD",IF(LEFT(UPPER(TRIM($AE23)),8)="SECRETAR","SECRETARIA DE SALUD",IF(LEFT(UPPER(TRIM($AE23)),4)="SEDE","SEDE",UPPER(TRIM($AE23))))),Config!$A$6:$D$8,2,FALSE),"⚠")))))</f>
        <v/>
      </c>
      <c r="AG10" s="30">
        <f>IF($AA23="","",IF(LEFT(UPPER(TRIM($AA23)),8)="FELICITA","N/A",IF($AE23="","",IFERROR(VLOOKUP(UPPER(TRIM($AE23)),Config!$A$6:$D$8,3,FALSE),IFERROR(VLOOKUP(IF(LEFT(UPPER(TRIM($AE23)),5)="SUPER","SUPER SALUD",IF(LEFT(UPPER(TRIM($AE23)),8)="SECRETAR","SECRETARIA DE SALUD",IF(LEFT(UPPER(TRIM($AE23)),4)="SEDE","SEDE",UPPER(TRIM($AE23))))),Config!$A$6:$D$8,3,FALSE),"")))))</f>
        <v/>
      </c>
      <c r="AH10" s="39">
        <f>IF(OR($E23="",NOT(ISNUMBER($E23)),$AF23="",$AF23="N/A",NOT(ISNUMBER($AF23))),"",IF($AG23="Hábiles",WORKDAY(INT($E23),$AF23,Config!$F$6:$F$39),INT($E23)+$AF23))</f>
        <v/>
      </c>
      <c r="AI10" s="30">
        <f>IF($E23="","",IF(LEFT(UPPER(TRIM($AA23)),8)="FELICITA","⭐ Felicitación",IF(NOT(ISNUMBER($E23)),"⚠ Revisar fecha",IF(UPPER(TRIM($AK23))="RESPONDIDA - CERRADA","✅ Cerrada",IF($AE23="","⚠ Falta entidad",IF($AH23="","⚠ Revisar término",IF(TODAY()&gt;$AH23,"🔴 Vencida",IF($AH23-TODAY()&lt;=Config!$B$12,"🟡 Próxima a vencer","🟢 En término"))))))))</f>
        <v/>
      </c>
      <c r="AJ10" s="42">
        <f>IF(OR($E23="",NOT(ISNUMBER($E23))),"",IF(ISNUMBER($AS23),MAX(0,INT($AS23)-INT($E23)),MAX(0,TODAY()-INT($E23))))</f>
        <v/>
      </c>
      <c r="AK10" s="30" t="n"/>
      <c r="AL10" s="30" t="n"/>
      <c r="AM10" s="30" t="n"/>
      <c r="AN10" s="39" t="n"/>
      <c r="AO10" s="30" t="n"/>
      <c r="AP10" s="30" t="n"/>
      <c r="AQ10" s="39" t="n"/>
      <c r="AR10" s="30" t="n"/>
      <c r="AS10" s="39" t="n"/>
      <c r="AT10" s="30">
        <f>IF(OR($AS23="",NOT(ISNUMBER($AS23)),$AH23=""),"",IF(INT($AS23)&lt;=$AH23,"A tiempo","Fuera de término"))</f>
        <v/>
      </c>
      <c r="AU10" s="40" t="n"/>
      <c r="AV10" s="40" t="n"/>
      <c r="AW10" s="40" t="n"/>
      <c r="AX10" s="40" t="n"/>
      <c r="AY10" s="30" t="n"/>
      <c r="AZ10" s="30" t="n"/>
      <c r="BA10" s="30" t="n"/>
    </row>
    <row r="11" ht="15.75" customHeight="1" s="57">
      <c r="A11" s="29" t="n"/>
      <c r="B11" s="30" t="n"/>
      <c r="C11" s="39" t="n"/>
      <c r="D11" s="39" t="n"/>
      <c r="E11" s="39" t="n"/>
      <c r="F11" s="40" t="n"/>
      <c r="G11" s="30" t="n"/>
      <c r="H11" s="30" t="n"/>
      <c r="I11" s="30" t="n"/>
      <c r="J11" s="30" t="n"/>
      <c r="K11" s="30" t="n"/>
      <c r="L11" s="30" t="n"/>
      <c r="M11" s="30" t="n"/>
      <c r="N11" s="30" t="n"/>
      <c r="O11" s="30" t="n"/>
      <c r="P11" s="30" t="n"/>
      <c r="Q11" s="30" t="n"/>
      <c r="R11" s="30" t="n"/>
      <c r="S11" s="30" t="n"/>
      <c r="T11" s="30" t="n"/>
      <c r="U11" s="30" t="n"/>
      <c r="V11" s="30" t="n"/>
      <c r="W11" s="30" t="n"/>
      <c r="X11" s="30" t="n"/>
      <c r="Y11" s="30" t="n"/>
      <c r="Z11" s="30" t="n"/>
      <c r="AA11" s="30" t="n"/>
      <c r="AB11" s="30" t="n"/>
      <c r="AC11" s="30" t="n"/>
      <c r="AD11" s="41" t="n"/>
      <c r="AE11" s="30" t="n"/>
      <c r="AF11" s="42">
        <f>IF($AA24="","",IF(LEFT(UPPER(TRIM($AA24)),8)="FELICITA","N/A",IF($AE24="","",IFERROR(VLOOKUP(UPPER(TRIM($AE24)),Config!$A$6:$D$8,2,FALSE),IFERROR(VLOOKUP(IF(LEFT(UPPER(TRIM($AE24)),5)="SUPER","SUPER SALUD",IF(LEFT(UPPER(TRIM($AE24)),8)="SECRETAR","SECRETARIA DE SALUD",IF(LEFT(UPPER(TRIM($AE24)),4)="SEDE","SEDE",UPPER(TRIM($AE24))))),Config!$A$6:$D$8,2,FALSE),"⚠")))))</f>
        <v/>
      </c>
      <c r="AG11" s="30">
        <f>IF($AA24="","",IF(LEFT(UPPER(TRIM($AA24)),8)="FELICITA","N/A",IF($AE24="","",IFERROR(VLOOKUP(UPPER(TRIM($AE24)),Config!$A$6:$D$8,3,FALSE),IFERROR(VLOOKUP(IF(LEFT(UPPER(TRIM($AE24)),5)="SUPER","SUPER SALUD",IF(LEFT(UPPER(TRIM($AE24)),8)="SECRETAR","SECRETARIA DE SALUD",IF(LEFT(UPPER(TRIM($AE24)),4)="SEDE","SEDE",UPPER(TRIM($AE24))))),Config!$A$6:$D$8,3,FALSE),"")))))</f>
        <v/>
      </c>
      <c r="AH11" s="39">
        <f>IF(OR($E24="",NOT(ISNUMBER($E24)),$AF24="",$AF24="N/A",NOT(ISNUMBER($AF24))),"",IF($AG24="Hábiles",WORKDAY(INT($E24),$AF24,Config!$F$6:$F$39),INT($E24)+$AF24))</f>
        <v/>
      </c>
      <c r="AI11" s="30">
        <f>IF($E24="","",IF(LEFT(UPPER(TRIM($AA24)),8)="FELICITA","⭐ Felicitación",IF(NOT(ISNUMBER($E24)),"⚠ Revisar fecha",IF(UPPER(TRIM($AK24))="RESPONDIDA - CERRADA","✅ Cerrada",IF($AE24="","⚠ Falta entidad",IF($AH24="","⚠ Revisar término",IF(TODAY()&gt;$AH24,"🔴 Vencida",IF($AH24-TODAY()&lt;=Config!$B$12,"🟡 Próxima a vencer","🟢 En término"))))))))</f>
        <v/>
      </c>
      <c r="AJ11" s="42">
        <f>IF(OR($E24="",NOT(ISNUMBER($E24))),"",IF(ISNUMBER($AS24),MAX(0,INT($AS24)-INT($E24)),MAX(0,TODAY()-INT($E24))))</f>
        <v/>
      </c>
      <c r="AK11" s="30" t="n"/>
      <c r="AL11" s="30" t="n"/>
      <c r="AM11" s="30" t="n"/>
      <c r="AN11" s="39" t="n"/>
      <c r="AO11" s="30" t="n"/>
      <c r="AP11" s="30" t="n"/>
      <c r="AQ11" s="39" t="n"/>
      <c r="AR11" s="30" t="n"/>
      <c r="AS11" s="39" t="n"/>
      <c r="AT11" s="30">
        <f>IF(OR($AS24="",NOT(ISNUMBER($AS24)),$AH24=""),"",IF(INT($AS24)&lt;=$AH24,"A tiempo","Fuera de término"))</f>
        <v/>
      </c>
      <c r="AU11" s="40" t="n"/>
      <c r="AV11" s="40" t="n"/>
      <c r="AW11" s="40" t="n"/>
      <c r="AX11" s="40" t="n"/>
      <c r="AY11" s="30" t="n"/>
      <c r="AZ11" s="30" t="n"/>
      <c r="BA11" s="30" t="n"/>
    </row>
    <row r="12" ht="15.75" customHeight="1" s="57">
      <c r="A12" s="29" t="n"/>
      <c r="B12" s="30" t="n"/>
      <c r="C12" s="39" t="n"/>
      <c r="D12" s="39" t="n"/>
      <c r="E12" s="39" t="n"/>
      <c r="F12" s="40" t="n"/>
      <c r="G12" s="30" t="n"/>
      <c r="H12" s="30" t="n"/>
      <c r="I12" s="30" t="n"/>
      <c r="J12" s="30" t="n"/>
      <c r="K12" s="30" t="n"/>
      <c r="L12" s="30" t="n"/>
      <c r="M12" s="30" t="n"/>
      <c r="N12" s="30" t="n"/>
      <c r="O12" s="30" t="n"/>
      <c r="P12" s="30" t="n"/>
      <c r="Q12" s="30" t="n"/>
      <c r="R12" s="30" t="n"/>
      <c r="S12" s="30" t="n"/>
      <c r="T12" s="30" t="n"/>
      <c r="U12" s="30" t="n"/>
      <c r="V12" s="30" t="n"/>
      <c r="W12" s="30" t="n"/>
      <c r="X12" s="30" t="n"/>
      <c r="Y12" s="30" t="n"/>
      <c r="Z12" s="30" t="n"/>
      <c r="AA12" s="30" t="n"/>
      <c r="AB12" s="30" t="n"/>
      <c r="AC12" s="30" t="n"/>
      <c r="AD12" s="41" t="n"/>
      <c r="AE12" s="30" t="n"/>
      <c r="AF12" s="42">
        <f>IF($AA25="","",IF(LEFT(UPPER(TRIM($AA25)),8)="FELICITA","N/A",IF($AE25="","",IFERROR(VLOOKUP(UPPER(TRIM($AE25)),Config!$A$6:$D$8,2,FALSE),IFERROR(VLOOKUP(IF(LEFT(UPPER(TRIM($AE25)),5)="SUPER","SUPER SALUD",IF(LEFT(UPPER(TRIM($AE25)),8)="SECRETAR","SECRETARIA DE SALUD",IF(LEFT(UPPER(TRIM($AE25)),4)="SEDE","SEDE",UPPER(TRIM($AE25))))),Config!$A$6:$D$8,2,FALSE),"⚠")))))</f>
        <v/>
      </c>
      <c r="AG12" s="30">
        <f>IF($AA25="","",IF(LEFT(UPPER(TRIM($AA25)),8)="FELICITA","N/A",IF($AE25="","",IFERROR(VLOOKUP(UPPER(TRIM($AE25)),Config!$A$6:$D$8,3,FALSE),IFERROR(VLOOKUP(IF(LEFT(UPPER(TRIM($AE25)),5)="SUPER","SUPER SALUD",IF(LEFT(UPPER(TRIM($AE25)),8)="SECRETAR","SECRETARIA DE SALUD",IF(LEFT(UPPER(TRIM($AE25)),4)="SEDE","SEDE",UPPER(TRIM($AE25))))),Config!$A$6:$D$8,3,FALSE),"")))))</f>
        <v/>
      </c>
      <c r="AH12" s="39">
        <f>IF(OR($E25="",NOT(ISNUMBER($E25)),$AF25="",$AF25="N/A",NOT(ISNUMBER($AF25))),"",IF($AG25="Hábiles",WORKDAY(INT($E25),$AF25,Config!$F$6:$F$39),INT($E25)+$AF25))</f>
        <v/>
      </c>
      <c r="AI12" s="30">
        <f>IF($E25="","",IF(LEFT(UPPER(TRIM($AA25)),8)="FELICITA","⭐ Felicitación",IF(NOT(ISNUMBER($E25)),"⚠ Revisar fecha",IF(UPPER(TRIM($AK25))="RESPONDIDA - CERRADA","✅ Cerrada",IF($AE25="","⚠ Falta entidad",IF($AH25="","⚠ Revisar término",IF(TODAY()&gt;$AH25,"🔴 Vencida",IF($AH25-TODAY()&lt;=Config!$B$12,"🟡 Próxima a vencer","🟢 En término"))))))))</f>
        <v/>
      </c>
      <c r="AJ12" s="42">
        <f>IF(OR($E25="",NOT(ISNUMBER($E25))),"",IF(ISNUMBER($AS25),MAX(0,INT($AS25)-INT($E25)),MAX(0,TODAY()-INT($E25))))</f>
        <v/>
      </c>
      <c r="AK12" s="30" t="n"/>
      <c r="AL12" s="30" t="n"/>
      <c r="AM12" s="30" t="n"/>
      <c r="AN12" s="39" t="n"/>
      <c r="AO12" s="30" t="n"/>
      <c r="AP12" s="30" t="n"/>
      <c r="AQ12" s="39" t="n"/>
      <c r="AR12" s="30" t="n"/>
      <c r="AS12" s="39" t="n"/>
      <c r="AT12" s="30">
        <f>IF(OR($AS25="",NOT(ISNUMBER($AS25)),$AH25=""),"",IF(INT($AS25)&lt;=$AH25,"A tiempo","Fuera de término"))</f>
        <v/>
      </c>
      <c r="AU12" s="40" t="n"/>
      <c r="AV12" s="40" t="n"/>
      <c r="AW12" s="40" t="n"/>
      <c r="AX12" s="40" t="n"/>
      <c r="AY12" s="30" t="n"/>
      <c r="AZ12" s="30" t="n"/>
      <c r="BA12" s="30" t="n"/>
    </row>
    <row r="13" ht="15.75" customHeight="1" s="57">
      <c r="A13" s="29" t="n"/>
      <c r="B13" s="30" t="n"/>
      <c r="C13" s="39" t="n"/>
      <c r="D13" s="39" t="n"/>
      <c r="E13" s="39" t="n"/>
      <c r="F13" s="40" t="n"/>
      <c r="G13" s="30" t="n"/>
      <c r="H13" s="30" t="n"/>
      <c r="I13" s="30" t="n"/>
      <c r="J13" s="30" t="n"/>
      <c r="K13" s="30" t="n"/>
      <c r="L13" s="30" t="n"/>
      <c r="M13" s="30" t="n"/>
      <c r="N13" s="30" t="n"/>
      <c r="O13" s="30" t="n"/>
      <c r="P13" s="30" t="n"/>
      <c r="Q13" s="30" t="n"/>
      <c r="R13" s="30" t="n"/>
      <c r="S13" s="30" t="n"/>
      <c r="T13" s="30" t="n"/>
      <c r="U13" s="30" t="n"/>
      <c r="V13" s="30" t="n"/>
      <c r="W13" s="30" t="n"/>
      <c r="X13" s="30" t="n"/>
      <c r="Y13" s="30" t="n"/>
      <c r="Z13" s="30" t="n"/>
      <c r="AA13" s="30" t="n"/>
      <c r="AB13" s="30" t="n"/>
      <c r="AC13" s="30" t="n"/>
      <c r="AD13" s="41" t="n"/>
      <c r="AE13" s="30" t="n"/>
      <c r="AF13" s="42">
        <f>IF($AA26="","",IF(LEFT(UPPER(TRIM($AA26)),8)="FELICITA","N/A",IF($AE26="","",IFERROR(VLOOKUP(UPPER(TRIM($AE26)),Config!$A$6:$D$8,2,FALSE),IFERROR(VLOOKUP(IF(LEFT(UPPER(TRIM($AE26)),5)="SUPER","SUPER SALUD",IF(LEFT(UPPER(TRIM($AE26)),8)="SECRETAR","SECRETARIA DE SALUD",IF(LEFT(UPPER(TRIM($AE26)),4)="SEDE","SEDE",UPPER(TRIM($AE26))))),Config!$A$6:$D$8,2,FALSE),"⚠")))))</f>
        <v/>
      </c>
      <c r="AG13" s="30">
        <f>IF($AA26="","",IF(LEFT(UPPER(TRIM($AA26)),8)="FELICITA","N/A",IF($AE26="","",IFERROR(VLOOKUP(UPPER(TRIM($AE26)),Config!$A$6:$D$8,3,FALSE),IFERROR(VLOOKUP(IF(LEFT(UPPER(TRIM($AE26)),5)="SUPER","SUPER SALUD",IF(LEFT(UPPER(TRIM($AE26)),8)="SECRETAR","SECRETARIA DE SALUD",IF(LEFT(UPPER(TRIM($AE26)),4)="SEDE","SEDE",UPPER(TRIM($AE26))))),Config!$A$6:$D$8,3,FALSE),"")))))</f>
        <v/>
      </c>
      <c r="AH13" s="39">
        <f>IF(OR($E26="",NOT(ISNUMBER($E26)),$AF26="",$AF26="N/A",NOT(ISNUMBER($AF26))),"",IF($AG26="Hábiles",WORKDAY(INT($E26),$AF26,Config!$F$6:$F$39),INT($E26)+$AF26))</f>
        <v/>
      </c>
      <c r="AI13" s="30">
        <f>IF($E26="","",IF(LEFT(UPPER(TRIM($AA26)),8)="FELICITA","⭐ Felicitación",IF(NOT(ISNUMBER($E26)),"⚠ Revisar fecha",IF(UPPER(TRIM($AK26))="RESPONDIDA - CERRADA","✅ Cerrada",IF($AE26="","⚠ Falta entidad",IF($AH26="","⚠ Revisar término",IF(TODAY()&gt;$AH26,"🔴 Vencida",IF($AH26-TODAY()&lt;=Config!$B$12,"🟡 Próxima a vencer","🟢 En término"))))))))</f>
        <v/>
      </c>
      <c r="AJ13" s="42">
        <f>IF(OR($E26="",NOT(ISNUMBER($E26))),"",IF(ISNUMBER($AS26),MAX(0,INT($AS26)-INT($E26)),MAX(0,TODAY()-INT($E26))))</f>
        <v/>
      </c>
      <c r="AK13" s="30" t="n"/>
      <c r="AL13" s="30" t="n"/>
      <c r="AM13" s="30" t="n"/>
      <c r="AN13" s="39" t="n"/>
      <c r="AO13" s="30" t="n"/>
      <c r="AP13" s="30" t="n"/>
      <c r="AQ13" s="39" t="n"/>
      <c r="AR13" s="30" t="n"/>
      <c r="AS13" s="39" t="n"/>
      <c r="AT13" s="30">
        <f>IF(OR($AS26="",NOT(ISNUMBER($AS26)),$AH26=""),"",IF(INT($AS26)&lt;=$AH26,"A tiempo","Fuera de término"))</f>
        <v/>
      </c>
      <c r="AU13" s="40" t="n"/>
      <c r="AV13" s="40" t="n"/>
      <c r="AW13" s="40" t="n"/>
      <c r="AX13" s="40" t="n"/>
      <c r="AY13" s="30" t="n"/>
      <c r="AZ13" s="30" t="n"/>
      <c r="BA13" s="30" t="n"/>
    </row>
    <row r="14" ht="15.75" customHeight="1" s="57">
      <c r="A14" s="29" t="n"/>
      <c r="B14" s="30" t="n"/>
      <c r="C14" s="39" t="n"/>
      <c r="D14" s="39" t="n"/>
      <c r="E14" s="39" t="n"/>
      <c r="F14" s="40" t="n"/>
      <c r="G14" s="30" t="n"/>
      <c r="H14" s="30" t="n"/>
      <c r="I14" s="30" t="n"/>
      <c r="J14" s="30" t="n"/>
      <c r="K14" s="30" t="n"/>
      <c r="L14" s="30" t="n"/>
      <c r="M14" s="30" t="n"/>
      <c r="N14" s="30" t="n"/>
      <c r="O14" s="30" t="n"/>
      <c r="P14" s="30" t="n"/>
      <c r="Q14" s="30" t="n"/>
      <c r="R14" s="30" t="n"/>
      <c r="S14" s="30" t="n"/>
      <c r="T14" s="30" t="n"/>
      <c r="U14" s="30" t="n"/>
      <c r="V14" s="30" t="n"/>
      <c r="W14" s="30" t="n"/>
      <c r="X14" s="30" t="n"/>
      <c r="Y14" s="30" t="n"/>
      <c r="Z14" s="30" t="n"/>
      <c r="AA14" s="30" t="n"/>
      <c r="AB14" s="30" t="n"/>
      <c r="AC14" s="30" t="n"/>
      <c r="AD14" s="41" t="n"/>
      <c r="AE14" s="30" t="n"/>
      <c r="AF14" s="42">
        <f>IF($AA27="","",IF(LEFT(UPPER(TRIM($AA27)),8)="FELICITA","N/A",IF($AE27="","",IFERROR(VLOOKUP(UPPER(TRIM($AE27)),Config!$A$6:$D$8,2,FALSE),IFERROR(VLOOKUP(IF(LEFT(UPPER(TRIM($AE27)),5)="SUPER","SUPER SALUD",IF(LEFT(UPPER(TRIM($AE27)),8)="SECRETAR","SECRETARIA DE SALUD",IF(LEFT(UPPER(TRIM($AE27)),4)="SEDE","SEDE",UPPER(TRIM($AE27))))),Config!$A$6:$D$8,2,FALSE),"⚠")))))</f>
        <v/>
      </c>
      <c r="AG14" s="30">
        <f>IF($AA27="","",IF(LEFT(UPPER(TRIM($AA27)),8)="FELICITA","N/A",IF($AE27="","",IFERROR(VLOOKUP(UPPER(TRIM($AE27)),Config!$A$6:$D$8,3,FALSE),IFERROR(VLOOKUP(IF(LEFT(UPPER(TRIM($AE27)),5)="SUPER","SUPER SALUD",IF(LEFT(UPPER(TRIM($AE27)),8)="SECRETAR","SECRETARIA DE SALUD",IF(LEFT(UPPER(TRIM($AE27)),4)="SEDE","SEDE",UPPER(TRIM($AE27))))),Config!$A$6:$D$8,3,FALSE),"")))))</f>
        <v/>
      </c>
      <c r="AH14" s="39">
        <f>IF(OR($E27="",NOT(ISNUMBER($E27)),$AF27="",$AF27="N/A",NOT(ISNUMBER($AF27))),"",IF($AG27="Hábiles",WORKDAY(INT($E27),$AF27,Config!$F$6:$F$39),INT($E27)+$AF27))</f>
        <v/>
      </c>
      <c r="AI14" s="30">
        <f>IF($E27="","",IF(LEFT(UPPER(TRIM($AA27)),8)="FELICITA","⭐ Felicitación",IF(NOT(ISNUMBER($E27)),"⚠ Revisar fecha",IF(UPPER(TRIM($AK27))="RESPONDIDA - CERRADA","✅ Cerrada",IF($AE27="","⚠ Falta entidad",IF($AH27="","⚠ Revisar término",IF(TODAY()&gt;$AH27,"🔴 Vencida",IF($AH27-TODAY()&lt;=Config!$B$12,"🟡 Próxima a vencer","🟢 En término"))))))))</f>
        <v/>
      </c>
      <c r="AJ14" s="42">
        <f>IF(OR($E27="",NOT(ISNUMBER($E27))),"",IF(ISNUMBER($AS27),MAX(0,INT($AS27)-INT($E27)),MAX(0,TODAY()-INT($E27))))</f>
        <v/>
      </c>
      <c r="AK14" s="30" t="n"/>
      <c r="AL14" s="30" t="n"/>
      <c r="AM14" s="30" t="n"/>
      <c r="AN14" s="39" t="n"/>
      <c r="AO14" s="30" t="n"/>
      <c r="AP14" s="30" t="n"/>
      <c r="AQ14" s="39" t="n"/>
      <c r="AR14" s="30" t="n"/>
      <c r="AS14" s="39" t="n"/>
      <c r="AT14" s="30">
        <f>IF(OR($AS27="",NOT(ISNUMBER($AS27)),$AH27=""),"",IF(INT($AS27)&lt;=$AH27,"A tiempo","Fuera de término"))</f>
        <v/>
      </c>
      <c r="AU14" s="40" t="n"/>
      <c r="AV14" s="40" t="n"/>
      <c r="AW14" s="40" t="n"/>
      <c r="AX14" s="40" t="n"/>
      <c r="AY14" s="30" t="n"/>
      <c r="AZ14" s="30" t="n"/>
      <c r="BA14" s="30" t="n"/>
    </row>
    <row r="15" ht="15.75" customHeight="1" s="57">
      <c r="A15" s="29" t="n"/>
      <c r="B15" s="30" t="n"/>
      <c r="C15" s="39" t="n"/>
      <c r="D15" s="39" t="n"/>
      <c r="E15" s="39" t="n"/>
      <c r="F15" s="40" t="n"/>
      <c r="G15" s="30" t="n"/>
      <c r="H15" s="30" t="n"/>
      <c r="I15" s="30" t="n"/>
      <c r="J15" s="30" t="n"/>
      <c r="K15" s="30" t="n"/>
      <c r="L15" s="30" t="n"/>
      <c r="M15" s="30" t="n"/>
      <c r="N15" s="30" t="n"/>
      <c r="O15" s="30" t="n"/>
      <c r="P15" s="30" t="n"/>
      <c r="Q15" s="30" t="n"/>
      <c r="R15" s="30" t="n"/>
      <c r="S15" s="30" t="n"/>
      <c r="T15" s="30" t="n"/>
      <c r="U15" s="30" t="n"/>
      <c r="V15" s="30" t="n"/>
      <c r="W15" s="30" t="n"/>
      <c r="X15" s="30" t="n"/>
      <c r="Y15" s="30" t="n"/>
      <c r="Z15" s="30" t="n"/>
      <c r="AA15" s="30" t="n"/>
      <c r="AB15" s="30" t="n"/>
      <c r="AC15" s="30" t="n"/>
      <c r="AD15" s="41" t="n"/>
      <c r="AE15" s="30" t="n"/>
      <c r="AF15" s="42">
        <f>IF($AA28="","",IF(LEFT(UPPER(TRIM($AA28)),8)="FELICITA","N/A",IF($AE28="","",IFERROR(VLOOKUP(UPPER(TRIM($AE28)),Config!$A$6:$D$8,2,FALSE),IFERROR(VLOOKUP(IF(LEFT(UPPER(TRIM($AE28)),5)="SUPER","SUPER SALUD",IF(LEFT(UPPER(TRIM($AE28)),8)="SECRETAR","SECRETARIA DE SALUD",IF(LEFT(UPPER(TRIM($AE28)),4)="SEDE","SEDE",UPPER(TRIM($AE28))))),Config!$A$6:$D$8,2,FALSE),"⚠")))))</f>
        <v/>
      </c>
      <c r="AG15" s="30">
        <f>IF($AA28="","",IF(LEFT(UPPER(TRIM($AA28)),8)="FELICITA","N/A",IF($AE28="","",IFERROR(VLOOKUP(UPPER(TRIM($AE28)),Config!$A$6:$D$8,3,FALSE),IFERROR(VLOOKUP(IF(LEFT(UPPER(TRIM($AE28)),5)="SUPER","SUPER SALUD",IF(LEFT(UPPER(TRIM($AE28)),8)="SECRETAR","SECRETARIA DE SALUD",IF(LEFT(UPPER(TRIM($AE28)),4)="SEDE","SEDE",UPPER(TRIM($AE28))))),Config!$A$6:$D$8,3,FALSE),"")))))</f>
        <v/>
      </c>
      <c r="AH15" s="39">
        <f>IF(OR($E28="",NOT(ISNUMBER($E28)),$AF28="",$AF28="N/A",NOT(ISNUMBER($AF28))),"",IF($AG28="Hábiles",WORKDAY(INT($E28),$AF28,Config!$F$6:$F$39),INT($E28)+$AF28))</f>
        <v/>
      </c>
      <c r="AI15" s="30">
        <f>IF($E28="","",IF(LEFT(UPPER(TRIM($AA28)),8)="FELICITA","⭐ Felicitación",IF(NOT(ISNUMBER($E28)),"⚠ Revisar fecha",IF(UPPER(TRIM($AK28))="RESPONDIDA - CERRADA","✅ Cerrada",IF($AE28="","⚠ Falta entidad",IF($AH28="","⚠ Revisar término",IF(TODAY()&gt;$AH28,"🔴 Vencida",IF($AH28-TODAY()&lt;=Config!$B$12,"🟡 Próxima a vencer","🟢 En término"))))))))</f>
        <v/>
      </c>
      <c r="AJ15" s="42">
        <f>IF(OR($E28="",NOT(ISNUMBER($E28))),"",IF(ISNUMBER($AS28),MAX(0,INT($AS28)-INT($E28)),MAX(0,TODAY()-INT($E28))))</f>
        <v/>
      </c>
      <c r="AK15" s="30" t="n"/>
      <c r="AL15" s="30" t="n"/>
      <c r="AM15" s="30" t="n"/>
      <c r="AN15" s="39" t="n"/>
      <c r="AO15" s="30" t="n"/>
      <c r="AP15" s="30" t="n"/>
      <c r="AQ15" s="39" t="n"/>
      <c r="AR15" s="30" t="n"/>
      <c r="AS15" s="39" t="n"/>
      <c r="AT15" s="30">
        <f>IF(OR($AS28="",NOT(ISNUMBER($AS28)),$AH28=""),"",IF(INT($AS28)&lt;=$AH28,"A tiempo","Fuera de término"))</f>
        <v/>
      </c>
      <c r="AU15" s="40" t="n"/>
      <c r="AV15" s="40" t="n"/>
      <c r="AW15" s="40" t="n"/>
      <c r="AX15" s="40" t="n"/>
      <c r="AY15" s="30" t="n"/>
      <c r="AZ15" s="30" t="n"/>
      <c r="BA15" s="30" t="n"/>
    </row>
    <row r="16" ht="15.75" customHeight="1" s="57">
      <c r="A16" s="29" t="n"/>
      <c r="B16" s="30" t="n"/>
      <c r="C16" s="39" t="n"/>
      <c r="D16" s="39" t="n"/>
      <c r="E16" s="39" t="n"/>
      <c r="F16" s="40" t="n"/>
      <c r="G16" s="30" t="n"/>
      <c r="H16" s="30" t="n"/>
      <c r="I16" s="30" t="n"/>
      <c r="J16" s="30" t="n"/>
      <c r="K16" s="30" t="n"/>
      <c r="L16" s="30" t="n"/>
      <c r="M16" s="30" t="n"/>
      <c r="N16" s="30" t="n"/>
      <c r="O16" s="30" t="n"/>
      <c r="P16" s="30" t="n"/>
      <c r="Q16" s="30" t="n"/>
      <c r="R16" s="30" t="n"/>
      <c r="S16" s="30" t="n"/>
      <c r="T16" s="30" t="n"/>
      <c r="U16" s="30" t="n"/>
      <c r="V16" s="30" t="n"/>
      <c r="W16" s="30" t="n"/>
      <c r="X16" s="30" t="n"/>
      <c r="Y16" s="30" t="n"/>
      <c r="Z16" s="30" t="n"/>
      <c r="AA16" s="30" t="n"/>
      <c r="AB16" s="30" t="n"/>
      <c r="AC16" s="30" t="n"/>
      <c r="AD16" s="41" t="n"/>
      <c r="AE16" s="30" t="n"/>
      <c r="AF16" s="42">
        <f>IF($AA29="","",IF(LEFT(UPPER(TRIM($AA29)),8)="FELICITA","N/A",IF($AE29="","",IFERROR(VLOOKUP(UPPER(TRIM($AE29)),Config!$A$6:$D$8,2,FALSE),IFERROR(VLOOKUP(IF(LEFT(UPPER(TRIM($AE29)),5)="SUPER","SUPER SALUD",IF(LEFT(UPPER(TRIM($AE29)),8)="SECRETAR","SECRETARIA DE SALUD",IF(LEFT(UPPER(TRIM($AE29)),4)="SEDE","SEDE",UPPER(TRIM($AE29))))),Config!$A$6:$D$8,2,FALSE),"⚠")))))</f>
        <v/>
      </c>
      <c r="AG16" s="30">
        <f>IF($AA29="","",IF(LEFT(UPPER(TRIM($AA29)),8)="FELICITA","N/A",IF($AE29="","",IFERROR(VLOOKUP(UPPER(TRIM($AE29)),Config!$A$6:$D$8,3,FALSE),IFERROR(VLOOKUP(IF(LEFT(UPPER(TRIM($AE29)),5)="SUPER","SUPER SALUD",IF(LEFT(UPPER(TRIM($AE29)),8)="SECRETAR","SECRETARIA DE SALUD",IF(LEFT(UPPER(TRIM($AE29)),4)="SEDE","SEDE",UPPER(TRIM($AE29))))),Config!$A$6:$D$8,3,FALSE),"")))))</f>
        <v/>
      </c>
      <c r="AH16" s="39">
        <f>IF(OR($E29="",NOT(ISNUMBER($E29)),$AF29="",$AF29="N/A",NOT(ISNUMBER($AF29))),"",IF($AG29="Hábiles",WORKDAY(INT($E29),$AF29,Config!$F$6:$F$39),INT($E29)+$AF29))</f>
        <v/>
      </c>
      <c r="AI16" s="30">
        <f>IF($E29="","",IF(LEFT(UPPER(TRIM($AA29)),8)="FELICITA","⭐ Felicitación",IF(NOT(ISNUMBER($E29)),"⚠ Revisar fecha",IF(UPPER(TRIM($AK29))="RESPONDIDA - CERRADA","✅ Cerrada",IF($AE29="","⚠ Falta entidad",IF($AH29="","⚠ Revisar término",IF(TODAY()&gt;$AH29,"🔴 Vencida",IF($AH29-TODAY()&lt;=Config!$B$12,"🟡 Próxima a vencer","🟢 En término"))))))))</f>
        <v/>
      </c>
      <c r="AJ16" s="42">
        <f>IF(OR($E29="",NOT(ISNUMBER($E29))),"",IF(ISNUMBER($AS29),MAX(0,INT($AS29)-INT($E29)),MAX(0,TODAY()-INT($E29))))</f>
        <v/>
      </c>
      <c r="AK16" s="30" t="n"/>
      <c r="AL16" s="30" t="n"/>
      <c r="AM16" s="30" t="n"/>
      <c r="AN16" s="39" t="n"/>
      <c r="AO16" s="30" t="n"/>
      <c r="AP16" s="30" t="n"/>
      <c r="AQ16" s="39" t="n"/>
      <c r="AR16" s="30" t="n"/>
      <c r="AS16" s="39" t="n"/>
      <c r="AT16" s="30">
        <f>IF(OR($AS29="",NOT(ISNUMBER($AS29)),$AH29=""),"",IF(INT($AS29)&lt;=$AH29,"A tiempo","Fuera de término"))</f>
        <v/>
      </c>
      <c r="AU16" s="40" t="n"/>
      <c r="AV16" s="40" t="n"/>
      <c r="AW16" s="40" t="n"/>
      <c r="AX16" s="40" t="n"/>
      <c r="AY16" s="30" t="n"/>
      <c r="AZ16" s="30" t="n"/>
      <c r="BA16" s="30" t="n"/>
    </row>
    <row r="17" ht="15.75" customHeight="1" s="57">
      <c r="A17" s="29" t="n"/>
      <c r="B17" s="30" t="n"/>
      <c r="C17" s="39" t="n"/>
      <c r="D17" s="39" t="n"/>
      <c r="E17" s="39" t="n"/>
      <c r="F17" s="40" t="n"/>
      <c r="G17" s="30" t="n"/>
      <c r="H17" s="30" t="n"/>
      <c r="I17" s="30" t="n"/>
      <c r="J17" s="30" t="n"/>
      <c r="K17" s="30" t="n"/>
      <c r="L17" s="30" t="n"/>
      <c r="M17" s="30" t="n"/>
      <c r="N17" s="30" t="n"/>
      <c r="O17" s="30" t="n"/>
      <c r="P17" s="30" t="n"/>
      <c r="Q17" s="30" t="n"/>
      <c r="R17" s="30" t="n"/>
      <c r="S17" s="30" t="n"/>
      <c r="T17" s="30" t="n"/>
      <c r="U17" s="30" t="n"/>
      <c r="V17" s="30" t="n"/>
      <c r="W17" s="30" t="n"/>
      <c r="X17" s="30" t="n"/>
      <c r="Y17" s="30" t="n"/>
      <c r="Z17" s="30" t="n"/>
      <c r="AA17" s="30" t="n"/>
      <c r="AB17" s="30" t="n"/>
      <c r="AC17" s="30" t="n"/>
      <c r="AD17" s="41" t="n"/>
      <c r="AE17" s="30" t="n"/>
      <c r="AF17" s="42">
        <f>IF($AA30="","",IF(LEFT(UPPER(TRIM($AA30)),8)="FELICITA","N/A",IF($AE30="","",IFERROR(VLOOKUP(UPPER(TRIM($AE30)),Config!$A$6:$D$8,2,FALSE),IFERROR(VLOOKUP(IF(LEFT(UPPER(TRIM($AE30)),5)="SUPER","SUPER SALUD",IF(LEFT(UPPER(TRIM($AE30)),8)="SECRETAR","SECRETARIA DE SALUD",IF(LEFT(UPPER(TRIM($AE30)),4)="SEDE","SEDE",UPPER(TRIM($AE30))))),Config!$A$6:$D$8,2,FALSE),"⚠")))))</f>
        <v/>
      </c>
      <c r="AG17" s="30">
        <f>IF($AA30="","",IF(LEFT(UPPER(TRIM($AA30)),8)="FELICITA","N/A",IF($AE30="","",IFERROR(VLOOKUP(UPPER(TRIM($AE30)),Config!$A$6:$D$8,3,FALSE),IFERROR(VLOOKUP(IF(LEFT(UPPER(TRIM($AE30)),5)="SUPER","SUPER SALUD",IF(LEFT(UPPER(TRIM($AE30)),8)="SECRETAR","SECRETARIA DE SALUD",IF(LEFT(UPPER(TRIM($AE30)),4)="SEDE","SEDE",UPPER(TRIM($AE30))))),Config!$A$6:$D$8,3,FALSE),"")))))</f>
        <v/>
      </c>
      <c r="AH17" s="39">
        <f>IF(OR($E30="",NOT(ISNUMBER($E30)),$AF30="",$AF30="N/A",NOT(ISNUMBER($AF30))),"",IF($AG30="Hábiles",WORKDAY(INT($E30),$AF30,Config!$F$6:$F$39),INT($E30)+$AF30))</f>
        <v/>
      </c>
      <c r="AI17" s="30">
        <f>IF($E30="","",IF(LEFT(UPPER(TRIM($AA30)),8)="FELICITA","⭐ Felicitación",IF(NOT(ISNUMBER($E30)),"⚠ Revisar fecha",IF(UPPER(TRIM($AK30))="RESPONDIDA - CERRADA","✅ Cerrada",IF($AE30="","⚠ Falta entidad",IF($AH30="","⚠ Revisar término",IF(TODAY()&gt;$AH30,"🔴 Vencida",IF($AH30-TODAY()&lt;=Config!$B$12,"🟡 Próxima a vencer","🟢 En término"))))))))</f>
        <v/>
      </c>
      <c r="AJ17" s="42">
        <f>IF(OR($E30="",NOT(ISNUMBER($E30))),"",IF(ISNUMBER($AS30),MAX(0,INT($AS30)-INT($E30)),MAX(0,TODAY()-INT($E30))))</f>
        <v/>
      </c>
      <c r="AK17" s="30" t="n"/>
      <c r="AL17" s="30" t="n"/>
      <c r="AM17" s="30" t="n"/>
      <c r="AN17" s="39" t="n"/>
      <c r="AO17" s="30" t="n"/>
      <c r="AP17" s="30" t="n"/>
      <c r="AQ17" s="39" t="n"/>
      <c r="AR17" s="30" t="n"/>
      <c r="AS17" s="39" t="n"/>
      <c r="AT17" s="30">
        <f>IF(OR($AS30="",NOT(ISNUMBER($AS30)),$AH30=""),"",IF(INT($AS30)&lt;=$AH30,"A tiempo","Fuera de término"))</f>
        <v/>
      </c>
      <c r="AU17" s="40" t="n"/>
      <c r="AV17" s="40" t="n"/>
      <c r="AW17" s="40" t="n"/>
      <c r="AX17" s="40" t="n"/>
      <c r="AY17" s="30" t="n"/>
      <c r="AZ17" s="30" t="n"/>
      <c r="BA17" s="30" t="n"/>
    </row>
    <row r="18" ht="15.75" customHeight="1" s="57">
      <c r="A18" s="29" t="n"/>
      <c r="B18" s="30" t="n"/>
      <c r="C18" s="39" t="n"/>
      <c r="D18" s="39" t="n"/>
      <c r="E18" s="39" t="n"/>
      <c r="F18" s="40" t="n"/>
      <c r="G18" s="30" t="n"/>
      <c r="H18" s="30" t="n"/>
      <c r="I18" s="30" t="n"/>
      <c r="J18" s="30" t="n"/>
      <c r="K18" s="30" t="n"/>
      <c r="L18" s="30" t="n"/>
      <c r="M18" s="30" t="n"/>
      <c r="N18" s="30" t="n"/>
      <c r="O18" s="30" t="n"/>
      <c r="P18" s="30" t="n"/>
      <c r="Q18" s="30" t="n"/>
      <c r="R18" s="30" t="n"/>
      <c r="S18" s="30" t="n"/>
      <c r="T18" s="30" t="n"/>
      <c r="U18" s="30" t="n"/>
      <c r="V18" s="30" t="n"/>
      <c r="W18" s="30" t="n"/>
      <c r="X18" s="30" t="n"/>
      <c r="Y18" s="30" t="n"/>
      <c r="Z18" s="30" t="n"/>
      <c r="AA18" s="30" t="n"/>
      <c r="AB18" s="30" t="n"/>
      <c r="AC18" s="30" t="n"/>
      <c r="AD18" s="41" t="n"/>
      <c r="AE18" s="30" t="n"/>
      <c r="AF18" s="42">
        <f>IF($AA31="","",IF(LEFT(UPPER(TRIM($AA31)),8)="FELICITA","N/A",IF($AE31="","",IFERROR(VLOOKUP(UPPER(TRIM($AE31)),Config!$A$6:$D$8,2,FALSE),IFERROR(VLOOKUP(IF(LEFT(UPPER(TRIM($AE31)),5)="SUPER","SUPER SALUD",IF(LEFT(UPPER(TRIM($AE31)),8)="SECRETAR","SECRETARIA DE SALUD",IF(LEFT(UPPER(TRIM($AE31)),4)="SEDE","SEDE",UPPER(TRIM($AE31))))),Config!$A$6:$D$8,2,FALSE),"⚠")))))</f>
        <v/>
      </c>
      <c r="AG18" s="30">
        <f>IF($AA31="","",IF(LEFT(UPPER(TRIM($AA31)),8)="FELICITA","N/A",IF($AE31="","",IFERROR(VLOOKUP(UPPER(TRIM($AE31)),Config!$A$6:$D$8,3,FALSE),IFERROR(VLOOKUP(IF(LEFT(UPPER(TRIM($AE31)),5)="SUPER","SUPER SALUD",IF(LEFT(UPPER(TRIM($AE31)),8)="SECRETAR","SECRETARIA DE SALUD",IF(LEFT(UPPER(TRIM($AE31)),4)="SEDE","SEDE",UPPER(TRIM($AE31))))),Config!$A$6:$D$8,3,FALSE),"")))))</f>
        <v/>
      </c>
      <c r="AH18" s="39">
        <f>IF(OR($E31="",NOT(ISNUMBER($E31)),$AF31="",$AF31="N/A",NOT(ISNUMBER($AF31))),"",IF($AG31="Hábiles",WORKDAY(INT($E31),$AF31,Config!$F$6:$F$39),INT($E31)+$AF31))</f>
        <v/>
      </c>
      <c r="AI18" s="30">
        <f>IF($E31="","",IF(LEFT(UPPER(TRIM($AA31)),8)="FELICITA","⭐ Felicitación",IF(NOT(ISNUMBER($E31)),"⚠ Revisar fecha",IF(UPPER(TRIM($AK31))="RESPONDIDA - CERRADA","✅ Cerrada",IF($AE31="","⚠ Falta entidad",IF($AH31="","⚠ Revisar término",IF(TODAY()&gt;$AH31,"🔴 Vencida",IF($AH31-TODAY()&lt;=Config!$B$12,"🟡 Próxima a vencer","🟢 En término"))))))))</f>
        <v/>
      </c>
      <c r="AJ18" s="42">
        <f>IF(OR($E31="",NOT(ISNUMBER($E31))),"",IF(ISNUMBER($AS31),MAX(0,INT($AS31)-INT($E31)),MAX(0,TODAY()-INT($E31))))</f>
        <v/>
      </c>
      <c r="AK18" s="30" t="n"/>
      <c r="AL18" s="30" t="n"/>
      <c r="AM18" s="30" t="n"/>
      <c r="AN18" s="39" t="n"/>
      <c r="AO18" s="30" t="n"/>
      <c r="AP18" s="30" t="n"/>
      <c r="AQ18" s="39" t="n"/>
      <c r="AR18" s="30" t="n"/>
      <c r="AS18" s="39" t="n"/>
      <c r="AT18" s="30">
        <f>IF(OR($AS31="",NOT(ISNUMBER($AS31)),$AH31=""),"",IF(INT($AS31)&lt;=$AH31,"A tiempo","Fuera de término"))</f>
        <v/>
      </c>
      <c r="AU18" s="40" t="n"/>
      <c r="AV18" s="40" t="n"/>
      <c r="AW18" s="40" t="n"/>
      <c r="AX18" s="40" t="n"/>
      <c r="AY18" s="30" t="n"/>
      <c r="AZ18" s="30" t="n"/>
      <c r="BA18" s="30" t="n"/>
    </row>
    <row r="19" ht="15.75" customHeight="1" s="57">
      <c r="A19" s="29" t="n"/>
      <c r="B19" s="30" t="n"/>
      <c r="C19" s="39" t="n"/>
      <c r="D19" s="39" t="n"/>
      <c r="E19" s="39" t="n"/>
      <c r="F19" s="40" t="n"/>
      <c r="G19" s="30" t="n"/>
      <c r="H19" s="30" t="n"/>
      <c r="I19" s="30" t="n"/>
      <c r="J19" s="30" t="n"/>
      <c r="K19" s="30" t="n"/>
      <c r="L19" s="30" t="n"/>
      <c r="M19" s="30" t="n"/>
      <c r="N19" s="30" t="n"/>
      <c r="O19" s="30" t="n"/>
      <c r="P19" s="30" t="n"/>
      <c r="Q19" s="30" t="n"/>
      <c r="R19" s="30" t="n"/>
      <c r="S19" s="30" t="n"/>
      <c r="T19" s="30" t="n"/>
      <c r="U19" s="30" t="n"/>
      <c r="V19" s="30" t="n"/>
      <c r="W19" s="30" t="n"/>
      <c r="X19" s="30" t="n"/>
      <c r="Y19" s="30" t="n"/>
      <c r="Z19" s="30" t="n"/>
      <c r="AA19" s="30" t="n"/>
      <c r="AB19" s="30" t="n"/>
      <c r="AC19" s="30" t="n"/>
      <c r="AD19" s="41" t="n"/>
      <c r="AE19" s="30" t="n"/>
      <c r="AF19" s="42">
        <f>IF($AA32="","",IF(LEFT(UPPER(TRIM($AA32)),8)="FELICITA","N/A",IF($AE32="","",IFERROR(VLOOKUP(UPPER(TRIM($AE32)),Config!$A$6:$D$8,2,FALSE),IFERROR(VLOOKUP(IF(LEFT(UPPER(TRIM($AE32)),5)="SUPER","SUPER SALUD",IF(LEFT(UPPER(TRIM($AE32)),8)="SECRETAR","SECRETARIA DE SALUD",IF(LEFT(UPPER(TRIM($AE32)),4)="SEDE","SEDE",UPPER(TRIM($AE32))))),Config!$A$6:$D$8,2,FALSE),"⚠")))))</f>
        <v/>
      </c>
      <c r="AG19" s="30">
        <f>IF($AA32="","",IF(LEFT(UPPER(TRIM($AA32)),8)="FELICITA","N/A",IF($AE32="","",IFERROR(VLOOKUP(UPPER(TRIM($AE32)),Config!$A$6:$D$8,3,FALSE),IFERROR(VLOOKUP(IF(LEFT(UPPER(TRIM($AE32)),5)="SUPER","SUPER SALUD",IF(LEFT(UPPER(TRIM($AE32)),8)="SECRETAR","SECRETARIA DE SALUD",IF(LEFT(UPPER(TRIM($AE32)),4)="SEDE","SEDE",UPPER(TRIM($AE32))))),Config!$A$6:$D$8,3,FALSE),"")))))</f>
        <v/>
      </c>
      <c r="AH19" s="39">
        <f>IF(OR($E32="",NOT(ISNUMBER($E32)),$AF32="",$AF32="N/A",NOT(ISNUMBER($AF32))),"",IF($AG32="Hábiles",WORKDAY(INT($E32),$AF32,Config!$F$6:$F$39),INT($E32)+$AF32))</f>
        <v/>
      </c>
      <c r="AI19" s="30">
        <f>IF($E32="","",IF(LEFT(UPPER(TRIM($AA32)),8)="FELICITA","⭐ Felicitación",IF(NOT(ISNUMBER($E32)),"⚠ Revisar fecha",IF(UPPER(TRIM($AK32))="RESPONDIDA - CERRADA","✅ Cerrada",IF($AE32="","⚠ Falta entidad",IF($AH32="","⚠ Revisar término",IF(TODAY()&gt;$AH32,"🔴 Vencida",IF($AH32-TODAY()&lt;=Config!$B$12,"🟡 Próxima a vencer","🟢 En término"))))))))</f>
        <v/>
      </c>
      <c r="AJ19" s="42">
        <f>IF(OR($E32="",NOT(ISNUMBER($E32))),"",IF(ISNUMBER($AS32),MAX(0,INT($AS32)-INT($E32)),MAX(0,TODAY()-INT($E32))))</f>
        <v/>
      </c>
      <c r="AK19" s="30" t="n"/>
      <c r="AL19" s="30" t="n"/>
      <c r="AM19" s="30" t="n"/>
      <c r="AN19" s="39" t="n"/>
      <c r="AO19" s="30" t="n"/>
      <c r="AP19" s="30" t="n"/>
      <c r="AQ19" s="39" t="n"/>
      <c r="AR19" s="30" t="n"/>
      <c r="AS19" s="39" t="n"/>
      <c r="AT19" s="30">
        <f>IF(OR($AS32="",NOT(ISNUMBER($AS32)),$AH32=""),"",IF(INT($AS32)&lt;=$AH32,"A tiempo","Fuera de término"))</f>
        <v/>
      </c>
      <c r="AU19" s="40" t="n"/>
      <c r="AV19" s="40" t="n"/>
      <c r="AW19" s="40" t="n"/>
      <c r="AX19" s="40" t="n"/>
      <c r="AY19" s="30" t="n"/>
      <c r="AZ19" s="30" t="n"/>
      <c r="BA19" s="30" t="n"/>
    </row>
    <row r="20" ht="15.75" customHeight="1" s="57">
      <c r="A20" s="29" t="n"/>
      <c r="B20" s="30" t="n"/>
      <c r="C20" s="39" t="n"/>
      <c r="D20" s="39" t="n"/>
      <c r="E20" s="39" t="n"/>
      <c r="F20" s="40" t="n"/>
      <c r="G20" s="30" t="n"/>
      <c r="H20" s="30" t="n"/>
      <c r="I20" s="30" t="n"/>
      <c r="J20" s="30" t="n"/>
      <c r="K20" s="30" t="n"/>
      <c r="L20" s="30" t="n"/>
      <c r="M20" s="30" t="n"/>
      <c r="N20" s="30" t="n"/>
      <c r="O20" s="30" t="n"/>
      <c r="P20" s="30" t="n"/>
      <c r="Q20" s="30" t="n"/>
      <c r="R20" s="30" t="n"/>
      <c r="S20" s="30" t="n"/>
      <c r="T20" s="30" t="n"/>
      <c r="U20" s="30" t="n"/>
      <c r="V20" s="30" t="n"/>
      <c r="W20" s="30" t="n"/>
      <c r="X20" s="30" t="n"/>
      <c r="Y20" s="30" t="n"/>
      <c r="Z20" s="30" t="n"/>
      <c r="AA20" s="30" t="n"/>
      <c r="AB20" s="30" t="n"/>
      <c r="AC20" s="30" t="n"/>
      <c r="AD20" s="41" t="n"/>
      <c r="AE20" s="30" t="n"/>
      <c r="AF20" s="42">
        <f>IF($AA33="","",IF(LEFT(UPPER(TRIM($AA33)),8)="FELICITA","N/A",IF($AE33="","",IFERROR(VLOOKUP(UPPER(TRIM($AE33)),Config!$A$6:$D$8,2,FALSE),IFERROR(VLOOKUP(IF(LEFT(UPPER(TRIM($AE33)),5)="SUPER","SUPER SALUD",IF(LEFT(UPPER(TRIM($AE33)),8)="SECRETAR","SECRETARIA DE SALUD",IF(LEFT(UPPER(TRIM($AE33)),4)="SEDE","SEDE",UPPER(TRIM($AE33))))),Config!$A$6:$D$8,2,FALSE),"⚠")))))</f>
        <v/>
      </c>
      <c r="AG20" s="30">
        <f>IF($AA33="","",IF(LEFT(UPPER(TRIM($AA33)),8)="FELICITA","N/A",IF($AE33="","",IFERROR(VLOOKUP(UPPER(TRIM($AE33)),Config!$A$6:$D$8,3,FALSE),IFERROR(VLOOKUP(IF(LEFT(UPPER(TRIM($AE33)),5)="SUPER","SUPER SALUD",IF(LEFT(UPPER(TRIM($AE33)),8)="SECRETAR","SECRETARIA DE SALUD",IF(LEFT(UPPER(TRIM($AE33)),4)="SEDE","SEDE",UPPER(TRIM($AE33))))),Config!$A$6:$D$8,3,FALSE),"")))))</f>
        <v/>
      </c>
      <c r="AH20" s="39">
        <f>IF(OR($E33="",NOT(ISNUMBER($E33)),$AF33="",$AF33="N/A",NOT(ISNUMBER($AF33))),"",IF($AG33="Hábiles",WORKDAY(INT($E33),$AF33,Config!$F$6:$F$39),INT($E33)+$AF33))</f>
        <v/>
      </c>
      <c r="AI20" s="30">
        <f>IF($E33="","",IF(LEFT(UPPER(TRIM($AA33)),8)="FELICITA","⭐ Felicitación",IF(NOT(ISNUMBER($E33)),"⚠ Revisar fecha",IF(UPPER(TRIM($AK33))="RESPONDIDA - CERRADA","✅ Cerrada",IF($AE33="","⚠ Falta entidad",IF($AH33="","⚠ Revisar término",IF(TODAY()&gt;$AH33,"🔴 Vencida",IF($AH33-TODAY()&lt;=Config!$B$12,"🟡 Próxima a vencer","🟢 En término"))))))))</f>
        <v/>
      </c>
      <c r="AJ20" s="42">
        <f>IF(OR($E33="",NOT(ISNUMBER($E33))),"",IF(ISNUMBER($AS33),MAX(0,INT($AS33)-INT($E33)),MAX(0,TODAY()-INT($E33))))</f>
        <v/>
      </c>
      <c r="AK20" s="30" t="n"/>
      <c r="AL20" s="30" t="n"/>
      <c r="AM20" s="30" t="n"/>
      <c r="AN20" s="39" t="n"/>
      <c r="AO20" s="30" t="n"/>
      <c r="AP20" s="30" t="n"/>
      <c r="AQ20" s="39" t="n"/>
      <c r="AR20" s="30" t="n"/>
      <c r="AS20" s="39" t="n"/>
      <c r="AT20" s="30">
        <f>IF(OR($AS33="",NOT(ISNUMBER($AS33)),$AH33=""),"",IF(INT($AS33)&lt;=$AH33,"A tiempo","Fuera de término"))</f>
        <v/>
      </c>
      <c r="AU20" s="40" t="n"/>
      <c r="AV20" s="40" t="n"/>
      <c r="AW20" s="40" t="n"/>
      <c r="AX20" s="40" t="n"/>
      <c r="AY20" s="30" t="n"/>
      <c r="AZ20" s="30" t="n"/>
      <c r="BA20" s="30" t="n"/>
    </row>
    <row r="21" ht="15.75" customHeight="1" s="57">
      <c r="A21" s="29" t="n"/>
      <c r="B21" s="30" t="n"/>
      <c r="C21" s="39" t="n"/>
      <c r="D21" s="39" t="n"/>
      <c r="E21" s="39" t="n"/>
      <c r="F21" s="40" t="n"/>
      <c r="G21" s="30" t="n"/>
      <c r="H21" s="30" t="n"/>
      <c r="I21" s="30" t="n"/>
      <c r="J21" s="30" t="n"/>
      <c r="K21" s="30" t="n"/>
      <c r="L21" s="30" t="n"/>
      <c r="M21" s="30" t="n"/>
      <c r="N21" s="30" t="n"/>
      <c r="O21" s="30" t="n"/>
      <c r="P21" s="30" t="n"/>
      <c r="Q21" s="30" t="n"/>
      <c r="R21" s="30" t="n"/>
      <c r="S21" s="30" t="n"/>
      <c r="T21" s="30" t="n"/>
      <c r="U21" s="30" t="n"/>
      <c r="V21" s="30" t="n"/>
      <c r="W21" s="30" t="n"/>
      <c r="X21" s="30" t="n"/>
      <c r="Y21" s="30" t="n"/>
      <c r="Z21" s="30" t="n"/>
      <c r="AA21" s="30" t="n"/>
      <c r="AB21" s="30" t="n"/>
      <c r="AC21" s="30" t="n"/>
      <c r="AD21" s="41" t="n"/>
      <c r="AE21" s="30" t="n"/>
      <c r="AF21" s="42">
        <f>IF($AA34="","",IF(LEFT(UPPER(TRIM($AA34)),8)="FELICITA","N/A",IF($AE34="","",IFERROR(VLOOKUP(UPPER(TRIM($AE34)),Config!$A$6:$D$8,2,FALSE),IFERROR(VLOOKUP(IF(LEFT(UPPER(TRIM($AE34)),5)="SUPER","SUPER SALUD",IF(LEFT(UPPER(TRIM($AE34)),8)="SECRETAR","SECRETARIA DE SALUD",IF(LEFT(UPPER(TRIM($AE34)),4)="SEDE","SEDE",UPPER(TRIM($AE34))))),Config!$A$6:$D$8,2,FALSE),"⚠")))))</f>
        <v/>
      </c>
      <c r="AG21" s="30">
        <f>IF($AA34="","",IF(LEFT(UPPER(TRIM($AA34)),8)="FELICITA","N/A",IF($AE34="","",IFERROR(VLOOKUP(UPPER(TRIM($AE34)),Config!$A$6:$D$8,3,FALSE),IFERROR(VLOOKUP(IF(LEFT(UPPER(TRIM($AE34)),5)="SUPER","SUPER SALUD",IF(LEFT(UPPER(TRIM($AE34)),8)="SECRETAR","SECRETARIA DE SALUD",IF(LEFT(UPPER(TRIM($AE34)),4)="SEDE","SEDE",UPPER(TRIM($AE34))))),Config!$A$6:$D$8,3,FALSE),"")))))</f>
        <v/>
      </c>
      <c r="AH21" s="39">
        <f>IF(OR($E34="",NOT(ISNUMBER($E34)),$AF34="",$AF34="N/A",NOT(ISNUMBER($AF34))),"",IF($AG34="Hábiles",WORKDAY(INT($E34),$AF34,Config!$F$6:$F$39),INT($E34)+$AF34))</f>
        <v/>
      </c>
      <c r="AI21" s="30">
        <f>IF($E34="","",IF(LEFT(UPPER(TRIM($AA34)),8)="FELICITA","⭐ Felicitación",IF(NOT(ISNUMBER($E34)),"⚠ Revisar fecha",IF(UPPER(TRIM($AK34))="RESPONDIDA - CERRADA","✅ Cerrada",IF($AE34="","⚠ Falta entidad",IF($AH34="","⚠ Revisar término",IF(TODAY()&gt;$AH34,"🔴 Vencida",IF($AH34-TODAY()&lt;=Config!$B$12,"🟡 Próxima a vencer","🟢 En término"))))))))</f>
        <v/>
      </c>
      <c r="AJ21" s="42">
        <f>IF(OR($E34="",NOT(ISNUMBER($E34))),"",IF(ISNUMBER($AS34),MAX(0,INT($AS34)-INT($E34)),MAX(0,TODAY()-INT($E34))))</f>
        <v/>
      </c>
      <c r="AK21" s="30" t="n"/>
      <c r="AL21" s="30" t="n"/>
      <c r="AM21" s="30" t="n"/>
      <c r="AN21" s="39" t="n"/>
      <c r="AO21" s="30" t="n"/>
      <c r="AP21" s="30" t="n"/>
      <c r="AQ21" s="39" t="n"/>
      <c r="AR21" s="30" t="n"/>
      <c r="AS21" s="39" t="n"/>
      <c r="AT21" s="30">
        <f>IF(OR($AS34="",NOT(ISNUMBER($AS34)),$AH34=""),"",IF(INT($AS34)&lt;=$AH34,"A tiempo","Fuera de término"))</f>
        <v/>
      </c>
      <c r="AU21" s="40" t="n"/>
      <c r="AV21" s="40" t="n"/>
      <c r="AW21" s="40" t="n"/>
      <c r="AX21" s="40" t="n"/>
      <c r="AY21" s="30" t="n"/>
      <c r="AZ21" s="30" t="n"/>
      <c r="BA21" s="30" t="n"/>
    </row>
    <row r="22" ht="15.75" customHeight="1" s="57">
      <c r="A22" s="29" t="n"/>
      <c r="B22" s="30" t="n"/>
      <c r="C22" s="39" t="n"/>
      <c r="D22" s="39" t="n"/>
      <c r="E22" s="39" t="n"/>
      <c r="F22" s="40" t="n"/>
      <c r="G22" s="30" t="n"/>
      <c r="H22" s="30" t="n"/>
      <c r="I22" s="30" t="n"/>
      <c r="J22" s="30" t="n"/>
      <c r="K22" s="30" t="n"/>
      <c r="L22" s="30" t="n"/>
      <c r="M22" s="30" t="n"/>
      <c r="N22" s="30" t="n"/>
      <c r="O22" s="30" t="n"/>
      <c r="P22" s="30" t="n"/>
      <c r="Q22" s="30" t="n"/>
      <c r="R22" s="30" t="n"/>
      <c r="S22" s="30" t="n"/>
      <c r="T22" s="30" t="n"/>
      <c r="U22" s="30" t="n"/>
      <c r="V22" s="30" t="n"/>
      <c r="W22" s="30" t="n"/>
      <c r="X22" s="30" t="n"/>
      <c r="Y22" s="30" t="n"/>
      <c r="Z22" s="30" t="n"/>
      <c r="AA22" s="30" t="n"/>
      <c r="AB22" s="30" t="n"/>
      <c r="AC22" s="30" t="n"/>
      <c r="AD22" s="41" t="n"/>
      <c r="AE22" s="30" t="n"/>
      <c r="AF22" s="42">
        <f>IF($AA35="","",IF(LEFT(UPPER(TRIM($AA35)),8)="FELICITA","N/A",IF($AE35="","",IFERROR(VLOOKUP(UPPER(TRIM($AE35)),Config!$A$6:$D$8,2,FALSE),IFERROR(VLOOKUP(IF(LEFT(UPPER(TRIM($AE35)),5)="SUPER","SUPER SALUD",IF(LEFT(UPPER(TRIM($AE35)),8)="SECRETAR","SECRETARIA DE SALUD",IF(LEFT(UPPER(TRIM($AE35)),4)="SEDE","SEDE",UPPER(TRIM($AE35))))),Config!$A$6:$D$8,2,FALSE),"⚠")))))</f>
        <v/>
      </c>
      <c r="AG22" s="30">
        <f>IF($AA35="","",IF(LEFT(UPPER(TRIM($AA35)),8)="FELICITA","N/A",IF($AE35="","",IFERROR(VLOOKUP(UPPER(TRIM($AE35)),Config!$A$6:$D$8,3,FALSE),IFERROR(VLOOKUP(IF(LEFT(UPPER(TRIM($AE35)),5)="SUPER","SUPER SALUD",IF(LEFT(UPPER(TRIM($AE35)),8)="SECRETAR","SECRETARIA DE SALUD",IF(LEFT(UPPER(TRIM($AE35)),4)="SEDE","SEDE",UPPER(TRIM($AE35))))),Config!$A$6:$D$8,3,FALSE),"")))))</f>
        <v/>
      </c>
      <c r="AH22" s="39">
        <f>IF(OR($E35="",NOT(ISNUMBER($E35)),$AF35="",$AF35="N/A",NOT(ISNUMBER($AF35))),"",IF($AG35="Hábiles",WORKDAY(INT($E35),$AF35,Config!$F$6:$F$39),INT($E35)+$AF35))</f>
        <v/>
      </c>
      <c r="AI22" s="30">
        <f>IF($E35="","",IF(LEFT(UPPER(TRIM($AA35)),8)="FELICITA","⭐ Felicitación",IF(NOT(ISNUMBER($E35)),"⚠ Revisar fecha",IF(UPPER(TRIM($AK35))="RESPONDIDA - CERRADA","✅ Cerrada",IF($AE35="","⚠ Falta entidad",IF($AH35="","⚠ Revisar término",IF(TODAY()&gt;$AH35,"🔴 Vencida",IF($AH35-TODAY()&lt;=Config!$B$12,"🟡 Próxima a vencer","🟢 En término"))))))))</f>
        <v/>
      </c>
      <c r="AJ22" s="42">
        <f>IF(OR($E35="",NOT(ISNUMBER($E35))),"",IF(ISNUMBER($AS35),MAX(0,INT($AS35)-INT($E35)),MAX(0,TODAY()-INT($E35))))</f>
        <v/>
      </c>
      <c r="AK22" s="30" t="n"/>
      <c r="AL22" s="30" t="n"/>
      <c r="AM22" s="30" t="n"/>
      <c r="AN22" s="39" t="n"/>
      <c r="AO22" s="30" t="n"/>
      <c r="AP22" s="30" t="n"/>
      <c r="AQ22" s="39" t="n"/>
      <c r="AR22" s="30" t="n"/>
      <c r="AS22" s="39" t="n"/>
      <c r="AT22" s="30">
        <f>IF(OR($AS35="",NOT(ISNUMBER($AS35)),$AH35=""),"",IF(INT($AS35)&lt;=$AH35,"A tiempo","Fuera de término"))</f>
        <v/>
      </c>
      <c r="AU22" s="40" t="n"/>
      <c r="AV22" s="40" t="n"/>
      <c r="AW22" s="40" t="n"/>
      <c r="AX22" s="40" t="n"/>
      <c r="AY22" s="30" t="n"/>
      <c r="AZ22" s="30" t="n"/>
      <c r="BA22" s="30" t="n"/>
    </row>
    <row r="23" ht="15.75" customHeight="1" s="57">
      <c r="A23" s="29" t="n"/>
      <c r="B23" s="30" t="n"/>
      <c r="C23" s="39" t="n"/>
      <c r="D23" s="39" t="n"/>
      <c r="E23" s="39" t="n"/>
      <c r="F23" s="40" t="n"/>
      <c r="G23" s="30" t="n"/>
      <c r="H23" s="30" t="n"/>
      <c r="I23" s="30" t="n"/>
      <c r="J23" s="30" t="n"/>
      <c r="K23" s="30" t="n"/>
      <c r="L23" s="30" t="n"/>
      <c r="M23" s="30" t="n"/>
      <c r="N23" s="30" t="n"/>
      <c r="O23" s="30" t="n"/>
      <c r="P23" s="30" t="n"/>
      <c r="Q23" s="30" t="n"/>
      <c r="R23" s="30" t="n"/>
      <c r="S23" s="30" t="n"/>
      <c r="T23" s="30" t="n"/>
      <c r="U23" s="30" t="n"/>
      <c r="V23" s="30" t="n"/>
      <c r="W23" s="30" t="n"/>
      <c r="X23" s="30" t="n"/>
      <c r="Y23" s="30" t="n"/>
      <c r="Z23" s="30" t="n"/>
      <c r="AA23" s="30" t="n"/>
      <c r="AB23" s="30" t="n"/>
      <c r="AC23" s="30" t="n"/>
      <c r="AD23" s="41" t="n"/>
      <c r="AE23" s="30" t="n"/>
      <c r="AF23" s="42">
        <f>IF($AA36="","",IF(LEFT(UPPER(TRIM($AA36)),8)="FELICITA","N/A",IF($AE36="","",IFERROR(VLOOKUP(UPPER(TRIM($AE36)),Config!$A$6:$D$8,2,FALSE),IFERROR(VLOOKUP(IF(LEFT(UPPER(TRIM($AE36)),5)="SUPER","SUPER SALUD",IF(LEFT(UPPER(TRIM($AE36)),8)="SECRETAR","SECRETARIA DE SALUD",IF(LEFT(UPPER(TRIM($AE36)),4)="SEDE","SEDE",UPPER(TRIM($AE36))))),Config!$A$6:$D$8,2,FALSE),"⚠")))))</f>
        <v/>
      </c>
      <c r="AG23" s="30">
        <f>IF($AA36="","",IF(LEFT(UPPER(TRIM($AA36)),8)="FELICITA","N/A",IF($AE36="","",IFERROR(VLOOKUP(UPPER(TRIM($AE36)),Config!$A$6:$D$8,3,FALSE),IFERROR(VLOOKUP(IF(LEFT(UPPER(TRIM($AE36)),5)="SUPER","SUPER SALUD",IF(LEFT(UPPER(TRIM($AE36)),8)="SECRETAR","SECRETARIA DE SALUD",IF(LEFT(UPPER(TRIM($AE36)),4)="SEDE","SEDE",UPPER(TRIM($AE36))))),Config!$A$6:$D$8,3,FALSE),"")))))</f>
        <v/>
      </c>
      <c r="AH23" s="39">
        <f>IF(OR($E36="",NOT(ISNUMBER($E36)),$AF36="",$AF36="N/A",NOT(ISNUMBER($AF36))),"",IF($AG36="Hábiles",WORKDAY(INT($E36),$AF36,Config!$F$6:$F$39),INT($E36)+$AF36))</f>
        <v/>
      </c>
      <c r="AI23" s="30">
        <f>IF($E36="","",IF(LEFT(UPPER(TRIM($AA36)),8)="FELICITA","⭐ Felicitación",IF(NOT(ISNUMBER($E36)),"⚠ Revisar fecha",IF(UPPER(TRIM($AK36))="RESPONDIDA - CERRADA","✅ Cerrada",IF($AE36="","⚠ Falta entidad",IF($AH36="","⚠ Revisar término",IF(TODAY()&gt;$AH36,"🔴 Vencida",IF($AH36-TODAY()&lt;=Config!$B$12,"🟡 Próxima a vencer","🟢 En término"))))))))</f>
        <v/>
      </c>
      <c r="AJ23" s="42">
        <f>IF(OR($E36="",NOT(ISNUMBER($E36))),"",IF(ISNUMBER($AS36),MAX(0,INT($AS36)-INT($E36)),MAX(0,TODAY()-INT($E36))))</f>
        <v/>
      </c>
      <c r="AK23" s="30" t="n"/>
      <c r="AL23" s="30" t="n"/>
      <c r="AM23" s="30" t="n"/>
      <c r="AN23" s="39" t="n"/>
      <c r="AO23" s="30" t="n"/>
      <c r="AP23" s="30" t="n"/>
      <c r="AQ23" s="39" t="n"/>
      <c r="AR23" s="30" t="n"/>
      <c r="AS23" s="39" t="n"/>
      <c r="AT23" s="30">
        <f>IF(OR($AS36="",NOT(ISNUMBER($AS36)),$AH36=""),"",IF(INT($AS36)&lt;=$AH36,"A tiempo","Fuera de término"))</f>
        <v/>
      </c>
      <c r="AU23" s="40" t="n"/>
      <c r="AV23" s="40" t="n"/>
      <c r="AW23" s="40" t="n"/>
      <c r="AX23" s="40" t="n"/>
      <c r="AY23" s="30" t="n"/>
      <c r="AZ23" s="30" t="n"/>
      <c r="BA23" s="30" t="n"/>
    </row>
    <row r="24" ht="15.75" customHeight="1" s="57">
      <c r="A24" s="29" t="n"/>
      <c r="B24" s="30" t="n"/>
      <c r="C24" s="39" t="n"/>
      <c r="D24" s="39" t="n"/>
      <c r="E24" s="39" t="n"/>
      <c r="F24" s="40" t="n"/>
      <c r="G24" s="30" t="n"/>
      <c r="H24" s="30" t="n"/>
      <c r="I24" s="30" t="n"/>
      <c r="J24" s="30" t="n"/>
      <c r="K24" s="30" t="n"/>
      <c r="L24" s="30" t="n"/>
      <c r="M24" s="30" t="n"/>
      <c r="N24" s="30" t="n"/>
      <c r="O24" s="30" t="n"/>
      <c r="P24" s="30" t="n"/>
      <c r="Q24" s="30" t="n"/>
      <c r="R24" s="30" t="n"/>
      <c r="S24" s="30" t="n"/>
      <c r="T24" s="30" t="n"/>
      <c r="U24" s="30" t="n"/>
      <c r="V24" s="30" t="n"/>
      <c r="W24" s="30" t="n"/>
      <c r="X24" s="30" t="n"/>
      <c r="Y24" s="30" t="n"/>
      <c r="Z24" s="30" t="n"/>
      <c r="AA24" s="30" t="n"/>
      <c r="AB24" s="30" t="n"/>
      <c r="AC24" s="30" t="n"/>
      <c r="AD24" s="41" t="n"/>
      <c r="AE24" s="30" t="n"/>
      <c r="AF24" s="42">
        <f>IF($AA37="","",IF(LEFT(UPPER(TRIM($AA37)),8)="FELICITA","N/A",IF($AE37="","",IFERROR(VLOOKUP(UPPER(TRIM($AE37)),Config!$A$6:$D$8,2,FALSE),IFERROR(VLOOKUP(IF(LEFT(UPPER(TRIM($AE37)),5)="SUPER","SUPER SALUD",IF(LEFT(UPPER(TRIM($AE37)),8)="SECRETAR","SECRETARIA DE SALUD",IF(LEFT(UPPER(TRIM($AE37)),4)="SEDE","SEDE",UPPER(TRIM($AE37))))),Config!$A$6:$D$8,2,FALSE),"⚠")))))</f>
        <v/>
      </c>
      <c r="AG24" s="30">
        <f>IF($AA37="","",IF(LEFT(UPPER(TRIM($AA37)),8)="FELICITA","N/A",IF($AE37="","",IFERROR(VLOOKUP(UPPER(TRIM($AE37)),Config!$A$6:$D$8,3,FALSE),IFERROR(VLOOKUP(IF(LEFT(UPPER(TRIM($AE37)),5)="SUPER","SUPER SALUD",IF(LEFT(UPPER(TRIM($AE37)),8)="SECRETAR","SECRETARIA DE SALUD",IF(LEFT(UPPER(TRIM($AE37)),4)="SEDE","SEDE",UPPER(TRIM($AE37))))),Config!$A$6:$D$8,3,FALSE),"")))))</f>
        <v/>
      </c>
      <c r="AH24" s="39">
        <f>IF(OR($E37="",NOT(ISNUMBER($E37)),$AF37="",$AF37="N/A",NOT(ISNUMBER($AF37))),"",IF($AG37="Hábiles",WORKDAY(INT($E37),$AF37,Config!$F$6:$F$39),INT($E37)+$AF37))</f>
        <v/>
      </c>
      <c r="AI24" s="30">
        <f>IF($E37="","",IF(LEFT(UPPER(TRIM($AA37)),8)="FELICITA","⭐ Felicitación",IF(NOT(ISNUMBER($E37)),"⚠ Revisar fecha",IF(UPPER(TRIM($AK37))="RESPONDIDA - CERRADA","✅ Cerrada",IF($AE37="","⚠ Falta entidad",IF($AH37="","⚠ Revisar término",IF(TODAY()&gt;$AH37,"🔴 Vencida",IF($AH37-TODAY()&lt;=Config!$B$12,"🟡 Próxima a vencer","🟢 En término"))))))))</f>
        <v/>
      </c>
      <c r="AJ24" s="42">
        <f>IF(OR($E37="",NOT(ISNUMBER($E37))),"",IF(ISNUMBER($AS37),MAX(0,INT($AS37)-INT($E37)),MAX(0,TODAY()-INT($E37))))</f>
        <v/>
      </c>
      <c r="AK24" s="30" t="n"/>
      <c r="AL24" s="30" t="n"/>
      <c r="AM24" s="30" t="n"/>
      <c r="AN24" s="39" t="n"/>
      <c r="AO24" s="30" t="n"/>
      <c r="AP24" s="30" t="n"/>
      <c r="AQ24" s="39" t="n"/>
      <c r="AR24" s="30" t="n"/>
      <c r="AS24" s="39" t="n"/>
      <c r="AT24" s="30">
        <f>IF(OR($AS37="",NOT(ISNUMBER($AS37)),$AH37=""),"",IF(INT($AS37)&lt;=$AH37,"A tiempo","Fuera de término"))</f>
        <v/>
      </c>
      <c r="AU24" s="40" t="n"/>
      <c r="AV24" s="40" t="n"/>
      <c r="AW24" s="40" t="n"/>
      <c r="AX24" s="40" t="n"/>
      <c r="AY24" s="30" t="n"/>
      <c r="AZ24" s="30" t="n"/>
      <c r="BA24" s="30" t="n"/>
    </row>
    <row r="25" ht="15.75" customHeight="1" s="57">
      <c r="A25" s="29" t="n"/>
      <c r="B25" s="30" t="n"/>
      <c r="C25" s="39" t="n"/>
      <c r="D25" s="39" t="n"/>
      <c r="E25" s="39" t="n"/>
      <c r="F25" s="40" t="n"/>
      <c r="G25" s="30" t="n"/>
      <c r="H25" s="30" t="n"/>
      <c r="I25" s="30" t="n"/>
      <c r="J25" s="30" t="n"/>
      <c r="K25" s="30" t="n"/>
      <c r="L25" s="30" t="n"/>
      <c r="M25" s="30" t="n"/>
      <c r="N25" s="30" t="n"/>
      <c r="O25" s="30" t="n"/>
      <c r="P25" s="30" t="n"/>
      <c r="Q25" s="30" t="n"/>
      <c r="R25" s="30" t="n"/>
      <c r="S25" s="30" t="n"/>
      <c r="T25" s="30" t="n"/>
      <c r="U25" s="30" t="n"/>
      <c r="V25" s="30" t="n"/>
      <c r="W25" s="30" t="n"/>
      <c r="X25" s="30" t="n"/>
      <c r="Y25" s="30" t="n"/>
      <c r="Z25" s="30" t="n"/>
      <c r="AA25" s="30" t="n"/>
      <c r="AB25" s="30" t="n"/>
      <c r="AC25" s="30" t="n"/>
      <c r="AD25" s="41" t="n"/>
      <c r="AE25" s="30" t="n"/>
      <c r="AF25" s="42">
        <f>IF($AA38="","",IF(LEFT(UPPER(TRIM($AA38)),8)="FELICITA","N/A",IF($AE38="","",IFERROR(VLOOKUP(UPPER(TRIM($AE38)),Config!$A$6:$D$8,2,FALSE),IFERROR(VLOOKUP(IF(LEFT(UPPER(TRIM($AE38)),5)="SUPER","SUPER SALUD",IF(LEFT(UPPER(TRIM($AE38)),8)="SECRETAR","SECRETARIA DE SALUD",IF(LEFT(UPPER(TRIM($AE38)),4)="SEDE","SEDE",UPPER(TRIM($AE38))))),Config!$A$6:$D$8,2,FALSE),"⚠")))))</f>
        <v/>
      </c>
      <c r="AG25" s="30">
        <f>IF($AA38="","",IF(LEFT(UPPER(TRIM($AA38)),8)="FELICITA","N/A",IF($AE38="","",IFERROR(VLOOKUP(UPPER(TRIM($AE38)),Config!$A$6:$D$8,3,FALSE),IFERROR(VLOOKUP(IF(LEFT(UPPER(TRIM($AE38)),5)="SUPER","SUPER SALUD",IF(LEFT(UPPER(TRIM($AE38)),8)="SECRETAR","SECRETARIA DE SALUD",IF(LEFT(UPPER(TRIM($AE38)),4)="SEDE","SEDE",UPPER(TRIM($AE38))))),Config!$A$6:$D$8,3,FALSE),"")))))</f>
        <v/>
      </c>
      <c r="AH25" s="39">
        <f>IF(OR($E38="",NOT(ISNUMBER($E38)),$AF38="",$AF38="N/A",NOT(ISNUMBER($AF38))),"",IF($AG38="Hábiles",WORKDAY(INT($E38),$AF38,Config!$F$6:$F$39),INT($E38)+$AF38))</f>
        <v/>
      </c>
      <c r="AI25" s="30">
        <f>IF($E38="","",IF(LEFT(UPPER(TRIM($AA38)),8)="FELICITA","⭐ Felicitación",IF(NOT(ISNUMBER($E38)),"⚠ Revisar fecha",IF(UPPER(TRIM($AK38))="RESPONDIDA - CERRADA","✅ Cerrada",IF($AE38="","⚠ Falta entidad",IF($AH38="","⚠ Revisar término",IF(TODAY()&gt;$AH38,"🔴 Vencida",IF($AH38-TODAY()&lt;=Config!$B$12,"🟡 Próxima a vencer","🟢 En término"))))))))</f>
        <v/>
      </c>
      <c r="AJ25" s="42">
        <f>IF(OR($E38="",NOT(ISNUMBER($E38))),"",IF(ISNUMBER($AS38),MAX(0,INT($AS38)-INT($E38)),MAX(0,TODAY()-INT($E38))))</f>
        <v/>
      </c>
      <c r="AK25" s="30" t="n"/>
      <c r="AL25" s="30" t="n"/>
      <c r="AM25" s="30" t="n"/>
      <c r="AN25" s="39" t="n"/>
      <c r="AO25" s="30" t="n"/>
      <c r="AP25" s="30" t="n"/>
      <c r="AQ25" s="39" t="n"/>
      <c r="AR25" s="30" t="n"/>
      <c r="AS25" s="39" t="n"/>
      <c r="AT25" s="30">
        <f>IF(OR($AS38="",NOT(ISNUMBER($AS38)),$AH38=""),"",IF(INT($AS38)&lt;=$AH38,"A tiempo","Fuera de término"))</f>
        <v/>
      </c>
      <c r="AU25" s="40" t="n"/>
      <c r="AV25" s="40" t="n"/>
      <c r="AW25" s="40" t="n"/>
      <c r="AX25" s="40" t="n"/>
      <c r="AY25" s="30" t="n"/>
      <c r="AZ25" s="30" t="n"/>
      <c r="BA25" s="30" t="n"/>
    </row>
    <row r="26" ht="15.75" customHeight="1" s="57">
      <c r="A26" s="29" t="n"/>
      <c r="B26" s="30" t="n"/>
      <c r="C26" s="39" t="n"/>
      <c r="D26" s="39" t="n"/>
      <c r="E26" s="39" t="n"/>
      <c r="F26" s="4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c r="AA26" s="30" t="n"/>
      <c r="AB26" s="30" t="n"/>
      <c r="AC26" s="30" t="n"/>
      <c r="AD26" s="41" t="n"/>
      <c r="AE26" s="30" t="n"/>
      <c r="AF26" s="42">
        <f>IF($AA39="","",IF(LEFT(UPPER(TRIM($AA39)),8)="FELICITA","N/A",IF($AE39="","",IFERROR(VLOOKUP(UPPER(TRIM($AE39)),Config!$A$6:$D$8,2,FALSE),IFERROR(VLOOKUP(IF(LEFT(UPPER(TRIM($AE39)),5)="SUPER","SUPER SALUD",IF(LEFT(UPPER(TRIM($AE39)),8)="SECRETAR","SECRETARIA DE SALUD",IF(LEFT(UPPER(TRIM($AE39)),4)="SEDE","SEDE",UPPER(TRIM($AE39))))),Config!$A$6:$D$8,2,FALSE),"⚠")))))</f>
        <v/>
      </c>
      <c r="AG26" s="30">
        <f>IF($AA39="","",IF(LEFT(UPPER(TRIM($AA39)),8)="FELICITA","N/A",IF($AE39="","",IFERROR(VLOOKUP(UPPER(TRIM($AE39)),Config!$A$6:$D$8,3,FALSE),IFERROR(VLOOKUP(IF(LEFT(UPPER(TRIM($AE39)),5)="SUPER","SUPER SALUD",IF(LEFT(UPPER(TRIM($AE39)),8)="SECRETAR","SECRETARIA DE SALUD",IF(LEFT(UPPER(TRIM($AE39)),4)="SEDE","SEDE",UPPER(TRIM($AE39))))),Config!$A$6:$D$8,3,FALSE),"")))))</f>
        <v/>
      </c>
      <c r="AH26" s="39">
        <f>IF(OR($E39="",NOT(ISNUMBER($E39)),$AF39="",$AF39="N/A",NOT(ISNUMBER($AF39))),"",IF($AG39="Hábiles",WORKDAY(INT($E39),$AF39,Config!$F$6:$F$39),INT($E39)+$AF39))</f>
        <v/>
      </c>
      <c r="AI26" s="30">
        <f>IF($E39="","",IF(LEFT(UPPER(TRIM($AA39)),8)="FELICITA","⭐ Felicitación",IF(NOT(ISNUMBER($E39)),"⚠ Revisar fecha",IF(UPPER(TRIM($AK39))="RESPONDIDA - CERRADA","✅ Cerrada",IF($AE39="","⚠ Falta entidad",IF($AH39="","⚠ Revisar término",IF(TODAY()&gt;$AH39,"🔴 Vencida",IF($AH39-TODAY()&lt;=Config!$B$12,"🟡 Próxima a vencer","🟢 En término"))))))))</f>
        <v/>
      </c>
      <c r="AJ26" s="42">
        <f>IF(OR($E39="",NOT(ISNUMBER($E39))),"",IF(ISNUMBER($AS39),MAX(0,INT($AS39)-INT($E39)),MAX(0,TODAY()-INT($E39))))</f>
        <v/>
      </c>
      <c r="AK26" s="30" t="n"/>
      <c r="AL26" s="30" t="n"/>
      <c r="AM26" s="30" t="n"/>
      <c r="AN26" s="39" t="n"/>
      <c r="AO26" s="30" t="n"/>
      <c r="AP26" s="30" t="n"/>
      <c r="AQ26" s="39" t="n"/>
      <c r="AR26" s="30" t="n"/>
      <c r="AS26" s="39" t="n"/>
      <c r="AT26" s="30">
        <f>IF(OR($AS39="",NOT(ISNUMBER($AS39)),$AH39=""),"",IF(INT($AS39)&lt;=$AH39,"A tiempo","Fuera de término"))</f>
        <v/>
      </c>
      <c r="AU26" s="40" t="n"/>
      <c r="AV26" s="40" t="n"/>
      <c r="AW26" s="40" t="n"/>
      <c r="AX26" s="40" t="n"/>
      <c r="AY26" s="30" t="n"/>
      <c r="AZ26" s="30" t="n"/>
      <c r="BA26" s="30" t="n"/>
    </row>
    <row r="27" ht="15.75" customHeight="1" s="57">
      <c r="A27" s="29" t="n"/>
      <c r="B27" s="30" t="n"/>
      <c r="C27" s="39" t="n"/>
      <c r="D27" s="39" t="n"/>
      <c r="E27" s="39" t="n"/>
      <c r="F27" s="40" t="n"/>
      <c r="G27" s="30" t="n"/>
      <c r="H27" s="30" t="n"/>
      <c r="I27" s="30" t="n"/>
      <c r="J27" s="30" t="n"/>
      <c r="K27" s="30" t="n"/>
      <c r="L27" s="30" t="n"/>
      <c r="M27" s="30" t="n"/>
      <c r="N27" s="30" t="n"/>
      <c r="O27" s="30" t="n"/>
      <c r="P27" s="30" t="n"/>
      <c r="Q27" s="30" t="n"/>
      <c r="R27" s="30" t="n"/>
      <c r="S27" s="30" t="n"/>
      <c r="T27" s="30" t="n"/>
      <c r="U27" s="30" t="n"/>
      <c r="V27" s="30" t="n"/>
      <c r="W27" s="30" t="n"/>
      <c r="X27" s="30" t="n"/>
      <c r="Y27" s="30" t="n"/>
      <c r="Z27" s="30" t="n"/>
      <c r="AA27" s="30" t="n"/>
      <c r="AB27" s="30" t="n"/>
      <c r="AC27" s="30" t="n"/>
      <c r="AD27" s="41" t="n"/>
      <c r="AE27" s="30" t="n"/>
      <c r="AF27" s="42">
        <f>IF($AA40="","",IF(LEFT(UPPER(TRIM($AA40)),8)="FELICITA","N/A",IF($AE40="","",IFERROR(VLOOKUP(UPPER(TRIM($AE40)),Config!$A$6:$D$8,2,FALSE),IFERROR(VLOOKUP(IF(LEFT(UPPER(TRIM($AE40)),5)="SUPER","SUPER SALUD",IF(LEFT(UPPER(TRIM($AE40)),8)="SECRETAR","SECRETARIA DE SALUD",IF(LEFT(UPPER(TRIM($AE40)),4)="SEDE","SEDE",UPPER(TRIM($AE40))))),Config!$A$6:$D$8,2,FALSE),"⚠")))))</f>
        <v/>
      </c>
      <c r="AG27" s="30">
        <f>IF($AA40="","",IF(LEFT(UPPER(TRIM($AA40)),8)="FELICITA","N/A",IF($AE40="","",IFERROR(VLOOKUP(UPPER(TRIM($AE40)),Config!$A$6:$D$8,3,FALSE),IFERROR(VLOOKUP(IF(LEFT(UPPER(TRIM($AE40)),5)="SUPER","SUPER SALUD",IF(LEFT(UPPER(TRIM($AE40)),8)="SECRETAR","SECRETARIA DE SALUD",IF(LEFT(UPPER(TRIM($AE40)),4)="SEDE","SEDE",UPPER(TRIM($AE40))))),Config!$A$6:$D$8,3,FALSE),"")))))</f>
        <v/>
      </c>
      <c r="AH27" s="39">
        <f>IF(OR($E40="",NOT(ISNUMBER($E40)),$AF40="",$AF40="N/A",NOT(ISNUMBER($AF40))),"",IF($AG40="Hábiles",WORKDAY(INT($E40),$AF40,Config!$F$6:$F$39),INT($E40)+$AF40))</f>
        <v/>
      </c>
      <c r="AI27" s="30">
        <f>IF($E40="","",IF(LEFT(UPPER(TRIM($AA40)),8)="FELICITA","⭐ Felicitación",IF(NOT(ISNUMBER($E40)),"⚠ Revisar fecha",IF(UPPER(TRIM($AK40))="RESPONDIDA - CERRADA","✅ Cerrada",IF($AE40="","⚠ Falta entidad",IF($AH40="","⚠ Revisar término",IF(TODAY()&gt;$AH40,"🔴 Vencida",IF($AH40-TODAY()&lt;=Config!$B$12,"🟡 Próxima a vencer","🟢 En término"))))))))</f>
        <v/>
      </c>
      <c r="AJ27" s="42">
        <f>IF(OR($E40="",NOT(ISNUMBER($E40))),"",IF(ISNUMBER($AS40),MAX(0,INT($AS40)-INT($E40)),MAX(0,TODAY()-INT($E40))))</f>
        <v/>
      </c>
      <c r="AK27" s="30" t="n"/>
      <c r="AL27" s="30" t="n"/>
      <c r="AM27" s="30" t="n"/>
      <c r="AN27" s="39" t="n"/>
      <c r="AO27" s="30" t="n"/>
      <c r="AP27" s="30" t="n"/>
      <c r="AQ27" s="39" t="n"/>
      <c r="AR27" s="30" t="n"/>
      <c r="AS27" s="39" t="n"/>
      <c r="AT27" s="30">
        <f>IF(OR($AS40="",NOT(ISNUMBER($AS40)),$AH40=""),"",IF(INT($AS40)&lt;=$AH40,"A tiempo","Fuera de término"))</f>
        <v/>
      </c>
      <c r="AU27" s="40" t="n"/>
      <c r="AV27" s="40" t="n"/>
      <c r="AW27" s="40" t="n"/>
      <c r="AX27" s="40" t="n"/>
      <c r="AY27" s="30" t="n"/>
      <c r="AZ27" s="30" t="n"/>
      <c r="BA27" s="30" t="n"/>
    </row>
    <row r="28" ht="15.75" customHeight="1" s="57">
      <c r="A28" s="29" t="n"/>
      <c r="B28" s="30" t="n"/>
      <c r="C28" s="39" t="n"/>
      <c r="D28" s="39" t="n"/>
      <c r="E28" s="39" t="n"/>
      <c r="F28" s="4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c r="AA28" s="30" t="n"/>
      <c r="AB28" s="30" t="n"/>
      <c r="AC28" s="30" t="n"/>
      <c r="AD28" s="41" t="n"/>
      <c r="AE28" s="30" t="n"/>
      <c r="AF28" s="42">
        <f>IF($AA41="","",IF(LEFT(UPPER(TRIM($AA41)),8)="FELICITA","N/A",IF($AE41="","",IFERROR(VLOOKUP(UPPER(TRIM($AE41)),Config!$A$6:$D$8,2,FALSE),IFERROR(VLOOKUP(IF(LEFT(UPPER(TRIM($AE41)),5)="SUPER","SUPER SALUD",IF(LEFT(UPPER(TRIM($AE41)),8)="SECRETAR","SECRETARIA DE SALUD",IF(LEFT(UPPER(TRIM($AE41)),4)="SEDE","SEDE",UPPER(TRIM($AE41))))),Config!$A$6:$D$8,2,FALSE),"⚠")))))</f>
        <v/>
      </c>
      <c r="AG28" s="30">
        <f>IF($AA41="","",IF(LEFT(UPPER(TRIM($AA41)),8)="FELICITA","N/A",IF($AE41="","",IFERROR(VLOOKUP(UPPER(TRIM($AE41)),Config!$A$6:$D$8,3,FALSE),IFERROR(VLOOKUP(IF(LEFT(UPPER(TRIM($AE41)),5)="SUPER","SUPER SALUD",IF(LEFT(UPPER(TRIM($AE41)),8)="SECRETAR","SECRETARIA DE SALUD",IF(LEFT(UPPER(TRIM($AE41)),4)="SEDE","SEDE",UPPER(TRIM($AE41))))),Config!$A$6:$D$8,3,FALSE),"")))))</f>
        <v/>
      </c>
      <c r="AH28" s="39">
        <f>IF(OR($E41="",NOT(ISNUMBER($E41)),$AF41="",$AF41="N/A",NOT(ISNUMBER($AF41))),"",IF($AG41="Hábiles",WORKDAY(INT($E41),$AF41,Config!$F$6:$F$39),INT($E41)+$AF41))</f>
        <v/>
      </c>
      <c r="AI28" s="30">
        <f>IF($E41="","",IF(LEFT(UPPER(TRIM($AA41)),8)="FELICITA","⭐ Felicitación",IF(NOT(ISNUMBER($E41)),"⚠ Revisar fecha",IF(UPPER(TRIM($AK41))="RESPONDIDA - CERRADA","✅ Cerrada",IF($AE41="","⚠ Falta entidad",IF($AH41="","⚠ Revisar término",IF(TODAY()&gt;$AH41,"🔴 Vencida",IF($AH41-TODAY()&lt;=Config!$B$12,"🟡 Próxima a vencer","🟢 En término"))))))))</f>
        <v/>
      </c>
      <c r="AJ28" s="42">
        <f>IF(OR($E41="",NOT(ISNUMBER($E41))),"",IF(ISNUMBER($AS41),MAX(0,INT($AS41)-INT($E41)),MAX(0,TODAY()-INT($E41))))</f>
        <v/>
      </c>
      <c r="AK28" s="30" t="n"/>
      <c r="AL28" s="30" t="n"/>
      <c r="AM28" s="30" t="n"/>
      <c r="AN28" s="39" t="n"/>
      <c r="AO28" s="30" t="n"/>
      <c r="AP28" s="30" t="n"/>
      <c r="AQ28" s="39" t="n"/>
      <c r="AR28" s="30" t="n"/>
      <c r="AS28" s="39" t="n"/>
      <c r="AT28" s="30">
        <f>IF(OR($AS41="",NOT(ISNUMBER($AS41)),$AH41=""),"",IF(INT($AS41)&lt;=$AH41,"A tiempo","Fuera de término"))</f>
        <v/>
      </c>
      <c r="AU28" s="40" t="n"/>
      <c r="AV28" s="40" t="n"/>
      <c r="AW28" s="40" t="n"/>
      <c r="AX28" s="40" t="n"/>
      <c r="AY28" s="30" t="n"/>
      <c r="AZ28" s="30" t="n"/>
      <c r="BA28" s="30" t="n"/>
    </row>
    <row r="29" ht="15.75" customHeight="1" s="57">
      <c r="A29" s="29" t="n"/>
      <c r="B29" s="30" t="n"/>
      <c r="C29" s="39" t="n"/>
      <c r="D29" s="39" t="n"/>
      <c r="E29" s="39" t="n"/>
      <c r="F29" s="40" t="n"/>
      <c r="G29" s="30" t="n"/>
      <c r="H29" s="30" t="n"/>
      <c r="I29" s="30" t="n"/>
      <c r="J29" s="30" t="n"/>
      <c r="K29" s="30" t="n"/>
      <c r="L29" s="30" t="n"/>
      <c r="M29" s="30" t="n"/>
      <c r="N29" s="30" t="n"/>
      <c r="O29" s="30" t="n"/>
      <c r="P29" s="30" t="n"/>
      <c r="Q29" s="30" t="n"/>
      <c r="R29" s="30" t="n"/>
      <c r="S29" s="30" t="n"/>
      <c r="T29" s="30" t="n"/>
      <c r="U29" s="30" t="n"/>
      <c r="V29" s="30" t="n"/>
      <c r="W29" s="30" t="n"/>
      <c r="X29" s="30" t="n"/>
      <c r="Y29" s="30" t="n"/>
      <c r="Z29" s="30" t="n"/>
      <c r="AA29" s="30" t="n"/>
      <c r="AB29" s="30" t="n"/>
      <c r="AC29" s="30" t="n"/>
      <c r="AD29" s="41" t="n"/>
      <c r="AE29" s="30" t="n"/>
      <c r="AF29" s="42">
        <f>IF($AA42="","",IF(LEFT(UPPER(TRIM($AA42)),8)="FELICITA","N/A",IF($AE42="","",IFERROR(VLOOKUP(UPPER(TRIM($AE42)),Config!$A$6:$D$8,2,FALSE),IFERROR(VLOOKUP(IF(LEFT(UPPER(TRIM($AE42)),5)="SUPER","SUPER SALUD",IF(LEFT(UPPER(TRIM($AE42)),8)="SECRETAR","SECRETARIA DE SALUD",IF(LEFT(UPPER(TRIM($AE42)),4)="SEDE","SEDE",UPPER(TRIM($AE42))))),Config!$A$6:$D$8,2,FALSE),"⚠")))))</f>
        <v/>
      </c>
      <c r="AG29" s="30">
        <f>IF($AA42="","",IF(LEFT(UPPER(TRIM($AA42)),8)="FELICITA","N/A",IF($AE42="","",IFERROR(VLOOKUP(UPPER(TRIM($AE42)),Config!$A$6:$D$8,3,FALSE),IFERROR(VLOOKUP(IF(LEFT(UPPER(TRIM($AE42)),5)="SUPER","SUPER SALUD",IF(LEFT(UPPER(TRIM($AE42)),8)="SECRETAR","SECRETARIA DE SALUD",IF(LEFT(UPPER(TRIM($AE42)),4)="SEDE","SEDE",UPPER(TRIM($AE42))))),Config!$A$6:$D$8,3,FALSE),"")))))</f>
        <v/>
      </c>
      <c r="AH29" s="39">
        <f>IF(OR($E42="",NOT(ISNUMBER($E42)),$AF42="",$AF42="N/A",NOT(ISNUMBER($AF42))),"",IF($AG42="Hábiles",WORKDAY(INT($E42),$AF42,Config!$F$6:$F$39),INT($E42)+$AF42))</f>
        <v/>
      </c>
      <c r="AI29" s="30">
        <f>IF($E42="","",IF(LEFT(UPPER(TRIM($AA42)),8)="FELICITA","⭐ Felicitación",IF(NOT(ISNUMBER($E42)),"⚠ Revisar fecha",IF(UPPER(TRIM($AK42))="RESPONDIDA - CERRADA","✅ Cerrada",IF($AE42="","⚠ Falta entidad",IF($AH42="","⚠ Revisar término",IF(TODAY()&gt;$AH42,"🔴 Vencida",IF($AH42-TODAY()&lt;=Config!$B$12,"🟡 Próxima a vencer","🟢 En término"))))))))</f>
        <v/>
      </c>
      <c r="AJ29" s="42">
        <f>IF(OR($E42="",NOT(ISNUMBER($E42))),"",IF(ISNUMBER($AS42),MAX(0,INT($AS42)-INT($E42)),MAX(0,TODAY()-INT($E42))))</f>
        <v/>
      </c>
      <c r="AK29" s="30" t="n"/>
      <c r="AL29" s="30" t="n"/>
      <c r="AM29" s="30" t="n"/>
      <c r="AN29" s="39" t="n"/>
      <c r="AO29" s="30" t="n"/>
      <c r="AP29" s="30" t="n"/>
      <c r="AQ29" s="39" t="n"/>
      <c r="AR29" s="30" t="n"/>
      <c r="AS29" s="39" t="n"/>
      <c r="AT29" s="30">
        <f>IF(OR($AS42="",NOT(ISNUMBER($AS42)),$AH42=""),"",IF(INT($AS42)&lt;=$AH42,"A tiempo","Fuera de término"))</f>
        <v/>
      </c>
      <c r="AU29" s="40" t="n"/>
      <c r="AV29" s="40" t="n"/>
      <c r="AW29" s="40" t="n"/>
      <c r="AX29" s="40" t="n"/>
      <c r="AY29" s="30" t="n"/>
      <c r="AZ29" s="30" t="n"/>
      <c r="BA29" s="30" t="n"/>
    </row>
    <row r="30" ht="15.75" customHeight="1" s="57">
      <c r="A30" s="29" t="n"/>
      <c r="B30" s="30" t="n"/>
      <c r="C30" s="39" t="n"/>
      <c r="D30" s="39" t="n"/>
      <c r="E30" s="39" t="n"/>
      <c r="F30" s="40" t="n"/>
      <c r="G30" s="30" t="n"/>
      <c r="H30" s="30" t="n"/>
      <c r="I30" s="30" t="n"/>
      <c r="J30" s="30" t="n"/>
      <c r="K30" s="30" t="n"/>
      <c r="L30" s="30" t="n"/>
      <c r="M30" s="30" t="n"/>
      <c r="N30" s="30" t="n"/>
      <c r="O30" s="30" t="n"/>
      <c r="P30" s="30" t="n"/>
      <c r="Q30" s="30" t="n"/>
      <c r="R30" s="30" t="n"/>
      <c r="S30" s="30" t="n"/>
      <c r="T30" s="30" t="n"/>
      <c r="U30" s="30" t="n"/>
      <c r="V30" s="30" t="n"/>
      <c r="W30" s="30" t="n"/>
      <c r="X30" s="30" t="n"/>
      <c r="Y30" s="30" t="n"/>
      <c r="Z30" s="30" t="n"/>
      <c r="AA30" s="30" t="n"/>
      <c r="AB30" s="30" t="n"/>
      <c r="AC30" s="30" t="n"/>
      <c r="AD30" s="41" t="n"/>
      <c r="AE30" s="30" t="n"/>
      <c r="AF30" s="42">
        <f>IF($AA43="","",IF(LEFT(UPPER(TRIM($AA43)),8)="FELICITA","N/A",IF($AE43="","",IFERROR(VLOOKUP(UPPER(TRIM($AE43)),Config!$A$6:$D$8,2,FALSE),IFERROR(VLOOKUP(IF(LEFT(UPPER(TRIM($AE43)),5)="SUPER","SUPER SALUD",IF(LEFT(UPPER(TRIM($AE43)),8)="SECRETAR","SECRETARIA DE SALUD",IF(LEFT(UPPER(TRIM($AE43)),4)="SEDE","SEDE",UPPER(TRIM($AE43))))),Config!$A$6:$D$8,2,FALSE),"⚠")))))</f>
        <v/>
      </c>
      <c r="AG30" s="30">
        <f>IF($AA43="","",IF(LEFT(UPPER(TRIM($AA43)),8)="FELICITA","N/A",IF($AE43="","",IFERROR(VLOOKUP(UPPER(TRIM($AE43)),Config!$A$6:$D$8,3,FALSE),IFERROR(VLOOKUP(IF(LEFT(UPPER(TRIM($AE43)),5)="SUPER","SUPER SALUD",IF(LEFT(UPPER(TRIM($AE43)),8)="SECRETAR","SECRETARIA DE SALUD",IF(LEFT(UPPER(TRIM($AE43)),4)="SEDE","SEDE",UPPER(TRIM($AE43))))),Config!$A$6:$D$8,3,FALSE),"")))))</f>
        <v/>
      </c>
      <c r="AH30" s="39">
        <f>IF(OR($E43="",NOT(ISNUMBER($E43)),$AF43="",$AF43="N/A",NOT(ISNUMBER($AF43))),"",IF($AG43="Hábiles",WORKDAY(INT($E43),$AF43,Config!$F$6:$F$39),INT($E43)+$AF43))</f>
        <v/>
      </c>
      <c r="AI30" s="30">
        <f>IF($E43="","",IF(LEFT(UPPER(TRIM($AA43)),8)="FELICITA","⭐ Felicitación",IF(NOT(ISNUMBER($E43)),"⚠ Revisar fecha",IF(UPPER(TRIM($AK43))="RESPONDIDA - CERRADA","✅ Cerrada",IF($AE43="","⚠ Falta entidad",IF($AH43="","⚠ Revisar término",IF(TODAY()&gt;$AH43,"🔴 Vencida",IF($AH43-TODAY()&lt;=Config!$B$12,"🟡 Próxima a vencer","🟢 En término"))))))))</f>
        <v/>
      </c>
      <c r="AJ30" s="42">
        <f>IF(OR($E43="",NOT(ISNUMBER($E43))),"",IF(ISNUMBER($AS43),MAX(0,INT($AS43)-INT($E43)),MAX(0,TODAY()-INT($E43))))</f>
        <v/>
      </c>
      <c r="AK30" s="30" t="n"/>
      <c r="AL30" s="30" t="n"/>
      <c r="AM30" s="30" t="n"/>
      <c r="AN30" s="39" t="n"/>
      <c r="AO30" s="30" t="n"/>
      <c r="AP30" s="30" t="n"/>
      <c r="AQ30" s="39" t="n"/>
      <c r="AR30" s="30" t="n"/>
      <c r="AS30" s="39" t="n"/>
      <c r="AT30" s="30">
        <f>IF(OR($AS43="",NOT(ISNUMBER($AS43)),$AH43=""),"",IF(INT($AS43)&lt;=$AH43,"A tiempo","Fuera de término"))</f>
        <v/>
      </c>
      <c r="AU30" s="40" t="n"/>
      <c r="AV30" s="40" t="n"/>
      <c r="AW30" s="40" t="n"/>
      <c r="AX30" s="40" t="n"/>
      <c r="AY30" s="30" t="n"/>
      <c r="AZ30" s="30" t="n"/>
      <c r="BA30" s="30" t="n"/>
    </row>
    <row r="31" ht="15.75" customHeight="1" s="57">
      <c r="A31" s="29" t="n"/>
      <c r="B31" s="30" t="n"/>
      <c r="C31" s="39" t="n"/>
      <c r="D31" s="39" t="n"/>
      <c r="E31" s="39" t="n"/>
      <c r="F31" s="40" t="n"/>
      <c r="G31" s="30" t="n"/>
      <c r="H31" s="30" t="n"/>
      <c r="I31" s="30" t="n"/>
      <c r="J31" s="30" t="n"/>
      <c r="K31" s="30" t="n"/>
      <c r="L31" s="30" t="n"/>
      <c r="M31" s="30" t="n"/>
      <c r="N31" s="30" t="n"/>
      <c r="O31" s="30" t="n"/>
      <c r="P31" s="30" t="n"/>
      <c r="Q31" s="30" t="n"/>
      <c r="R31" s="30" t="n"/>
      <c r="S31" s="30" t="n"/>
      <c r="T31" s="30" t="n"/>
      <c r="U31" s="30" t="n"/>
      <c r="V31" s="30" t="n"/>
      <c r="W31" s="30" t="n"/>
      <c r="X31" s="30" t="n"/>
      <c r="Y31" s="30" t="n"/>
      <c r="Z31" s="30" t="n"/>
      <c r="AA31" s="30" t="n"/>
      <c r="AB31" s="30" t="n"/>
      <c r="AC31" s="30" t="n"/>
      <c r="AD31" s="41" t="n"/>
      <c r="AE31" s="30" t="n"/>
      <c r="AF31" s="42">
        <f>IF($AA44="","",IF(LEFT(UPPER(TRIM($AA44)),8)="FELICITA","N/A",IF($AE44="","",IFERROR(VLOOKUP(UPPER(TRIM($AE44)),Config!$A$6:$D$8,2,FALSE),IFERROR(VLOOKUP(IF(LEFT(UPPER(TRIM($AE44)),5)="SUPER","SUPER SALUD",IF(LEFT(UPPER(TRIM($AE44)),8)="SECRETAR","SECRETARIA DE SALUD",IF(LEFT(UPPER(TRIM($AE44)),4)="SEDE","SEDE",UPPER(TRIM($AE44))))),Config!$A$6:$D$8,2,FALSE),"⚠")))))</f>
        <v/>
      </c>
      <c r="AG31" s="30">
        <f>IF($AA44="","",IF(LEFT(UPPER(TRIM($AA44)),8)="FELICITA","N/A",IF($AE44="","",IFERROR(VLOOKUP(UPPER(TRIM($AE44)),Config!$A$6:$D$8,3,FALSE),IFERROR(VLOOKUP(IF(LEFT(UPPER(TRIM($AE44)),5)="SUPER","SUPER SALUD",IF(LEFT(UPPER(TRIM($AE44)),8)="SECRETAR","SECRETARIA DE SALUD",IF(LEFT(UPPER(TRIM($AE44)),4)="SEDE","SEDE",UPPER(TRIM($AE44))))),Config!$A$6:$D$8,3,FALSE),"")))))</f>
        <v/>
      </c>
      <c r="AH31" s="39">
        <f>IF(OR($E44="",NOT(ISNUMBER($E44)),$AF44="",$AF44="N/A",NOT(ISNUMBER($AF44))),"",IF($AG44="Hábiles",WORKDAY(INT($E44),$AF44,Config!$F$6:$F$39),INT($E44)+$AF44))</f>
        <v/>
      </c>
      <c r="AI31" s="30">
        <f>IF($E44="","",IF(LEFT(UPPER(TRIM($AA44)),8)="FELICITA","⭐ Felicitación",IF(NOT(ISNUMBER($E44)),"⚠ Revisar fecha",IF(UPPER(TRIM($AK44))="RESPONDIDA - CERRADA","✅ Cerrada",IF($AE44="","⚠ Falta entidad",IF($AH44="","⚠ Revisar término",IF(TODAY()&gt;$AH44,"🔴 Vencida",IF($AH44-TODAY()&lt;=Config!$B$12,"🟡 Próxima a vencer","🟢 En término"))))))))</f>
        <v/>
      </c>
      <c r="AJ31" s="42">
        <f>IF(OR($E44="",NOT(ISNUMBER($E44))),"",IF(ISNUMBER($AS44),MAX(0,INT($AS44)-INT($E44)),MAX(0,TODAY()-INT($E44))))</f>
        <v/>
      </c>
      <c r="AK31" s="30" t="n"/>
      <c r="AL31" s="30" t="n"/>
      <c r="AM31" s="30" t="n"/>
      <c r="AN31" s="39" t="n"/>
      <c r="AO31" s="30" t="n"/>
      <c r="AP31" s="30" t="n"/>
      <c r="AQ31" s="39" t="n"/>
      <c r="AR31" s="30" t="n"/>
      <c r="AS31" s="39" t="n"/>
      <c r="AT31" s="30">
        <f>IF(OR($AS44="",NOT(ISNUMBER($AS44)),$AH44=""),"",IF(INT($AS44)&lt;=$AH44,"A tiempo","Fuera de término"))</f>
        <v/>
      </c>
      <c r="AU31" s="40" t="n"/>
      <c r="AV31" s="40" t="n"/>
      <c r="AW31" s="40" t="n"/>
      <c r="AX31" s="40" t="n"/>
      <c r="AY31" s="30" t="n"/>
      <c r="AZ31" s="30" t="n"/>
      <c r="BA31" s="30" t="n"/>
    </row>
    <row r="32" ht="15.75" customHeight="1" s="57">
      <c r="A32" s="29" t="n"/>
      <c r="B32" s="30" t="n"/>
      <c r="C32" s="39" t="n"/>
      <c r="D32" s="39" t="n"/>
      <c r="E32" s="39" t="n"/>
      <c r="F32" s="40" t="n"/>
      <c r="G32" s="30" t="n"/>
      <c r="H32" s="30" t="n"/>
      <c r="I32" s="30" t="n"/>
      <c r="J32" s="30" t="n"/>
      <c r="K32" s="30" t="n"/>
      <c r="L32" s="30" t="n"/>
      <c r="M32" s="30" t="n"/>
      <c r="N32" s="30" t="n"/>
      <c r="O32" s="30" t="n"/>
      <c r="P32" s="30" t="n"/>
      <c r="Q32" s="30" t="n"/>
      <c r="R32" s="30" t="n"/>
      <c r="S32" s="30" t="n"/>
      <c r="T32" s="30" t="n"/>
      <c r="U32" s="30" t="n"/>
      <c r="V32" s="30" t="n"/>
      <c r="W32" s="30" t="n"/>
      <c r="X32" s="30" t="n"/>
      <c r="Y32" s="30" t="n"/>
      <c r="Z32" s="30" t="n"/>
      <c r="AA32" s="30" t="n"/>
      <c r="AB32" s="30" t="n"/>
      <c r="AC32" s="30" t="n"/>
      <c r="AD32" s="41" t="n"/>
      <c r="AE32" s="30" t="n"/>
      <c r="AF32" s="42">
        <f>IF($AA45="","",IF(LEFT(UPPER(TRIM($AA45)),8)="FELICITA","N/A",IF($AE45="","",IFERROR(VLOOKUP(UPPER(TRIM($AE45)),Config!$A$6:$D$8,2,FALSE),IFERROR(VLOOKUP(IF(LEFT(UPPER(TRIM($AE45)),5)="SUPER","SUPER SALUD",IF(LEFT(UPPER(TRIM($AE45)),8)="SECRETAR","SECRETARIA DE SALUD",IF(LEFT(UPPER(TRIM($AE45)),4)="SEDE","SEDE",UPPER(TRIM($AE45))))),Config!$A$6:$D$8,2,FALSE),"⚠")))))</f>
        <v/>
      </c>
      <c r="AG32" s="30">
        <f>IF($AA45="","",IF(LEFT(UPPER(TRIM($AA45)),8)="FELICITA","N/A",IF($AE45="","",IFERROR(VLOOKUP(UPPER(TRIM($AE45)),Config!$A$6:$D$8,3,FALSE),IFERROR(VLOOKUP(IF(LEFT(UPPER(TRIM($AE45)),5)="SUPER","SUPER SALUD",IF(LEFT(UPPER(TRIM($AE45)),8)="SECRETAR","SECRETARIA DE SALUD",IF(LEFT(UPPER(TRIM($AE45)),4)="SEDE","SEDE",UPPER(TRIM($AE45))))),Config!$A$6:$D$8,3,FALSE),"")))))</f>
        <v/>
      </c>
      <c r="AH32" s="39">
        <f>IF(OR($E45="",NOT(ISNUMBER($E45)),$AF45="",$AF45="N/A",NOT(ISNUMBER($AF45))),"",IF($AG45="Hábiles",WORKDAY(INT($E45),$AF45,Config!$F$6:$F$39),INT($E45)+$AF45))</f>
        <v/>
      </c>
      <c r="AI32" s="30">
        <f>IF($E45="","",IF(LEFT(UPPER(TRIM($AA45)),8)="FELICITA","⭐ Felicitación",IF(NOT(ISNUMBER($E45)),"⚠ Revisar fecha",IF(UPPER(TRIM($AK45))="RESPONDIDA - CERRADA","✅ Cerrada",IF($AE45="","⚠ Falta entidad",IF($AH45="","⚠ Revisar término",IF(TODAY()&gt;$AH45,"🔴 Vencida",IF($AH45-TODAY()&lt;=Config!$B$12,"🟡 Próxima a vencer","🟢 En término"))))))))</f>
        <v/>
      </c>
      <c r="AJ32" s="42">
        <f>IF(OR($E45="",NOT(ISNUMBER($E45))),"",IF(ISNUMBER($AS45),MAX(0,INT($AS45)-INT($E45)),MAX(0,TODAY()-INT($E45))))</f>
        <v/>
      </c>
      <c r="AK32" s="30" t="n"/>
      <c r="AL32" s="30" t="n"/>
      <c r="AM32" s="30" t="n"/>
      <c r="AN32" s="39" t="n"/>
      <c r="AO32" s="30" t="n"/>
      <c r="AP32" s="30" t="n"/>
      <c r="AQ32" s="39" t="n"/>
      <c r="AR32" s="30" t="n"/>
      <c r="AS32" s="39" t="n"/>
      <c r="AT32" s="30">
        <f>IF(OR($AS45="",NOT(ISNUMBER($AS45)),$AH45=""),"",IF(INT($AS45)&lt;=$AH45,"A tiempo","Fuera de término"))</f>
        <v/>
      </c>
      <c r="AU32" s="40" t="n"/>
      <c r="AV32" s="40" t="n"/>
      <c r="AW32" s="40" t="n"/>
      <c r="AX32" s="40" t="n"/>
      <c r="AY32" s="30" t="n"/>
      <c r="AZ32" s="30" t="n"/>
      <c r="BA32" s="30" t="n"/>
    </row>
    <row r="33" ht="15.75" customHeight="1" s="57">
      <c r="A33" s="29" t="n"/>
      <c r="B33" s="30" t="n"/>
      <c r="C33" s="39" t="n"/>
      <c r="D33" s="39" t="n"/>
      <c r="E33" s="39" t="n"/>
      <c r="F33" s="40" t="n"/>
      <c r="G33" s="30" t="n"/>
      <c r="H33" s="30" t="n"/>
      <c r="I33" s="30" t="n"/>
      <c r="J33" s="30" t="n"/>
      <c r="K33" s="30" t="n"/>
      <c r="L33" s="30" t="n"/>
      <c r="M33" s="30" t="n"/>
      <c r="N33" s="30" t="n"/>
      <c r="O33" s="30" t="n"/>
      <c r="P33" s="30" t="n"/>
      <c r="Q33" s="30" t="n"/>
      <c r="R33" s="30" t="n"/>
      <c r="S33" s="30" t="n"/>
      <c r="T33" s="30" t="n"/>
      <c r="U33" s="30" t="n"/>
      <c r="V33" s="30" t="n"/>
      <c r="W33" s="30" t="n"/>
      <c r="X33" s="30" t="n"/>
      <c r="Y33" s="30" t="n"/>
      <c r="Z33" s="30" t="n"/>
      <c r="AA33" s="30" t="n"/>
      <c r="AB33" s="30" t="n"/>
      <c r="AC33" s="30" t="n"/>
      <c r="AD33" s="41" t="n"/>
      <c r="AE33" s="30" t="n"/>
      <c r="AF33" s="42">
        <f>IF($AA46="","",IF(LEFT(UPPER(TRIM($AA46)),8)="FELICITA","N/A",IF($AE46="","",IFERROR(VLOOKUP(UPPER(TRIM($AE46)),Config!$A$6:$D$8,2,FALSE),IFERROR(VLOOKUP(IF(LEFT(UPPER(TRIM($AE46)),5)="SUPER","SUPER SALUD",IF(LEFT(UPPER(TRIM($AE46)),8)="SECRETAR","SECRETARIA DE SALUD",IF(LEFT(UPPER(TRIM($AE46)),4)="SEDE","SEDE",UPPER(TRIM($AE46))))),Config!$A$6:$D$8,2,FALSE),"⚠")))))</f>
        <v/>
      </c>
      <c r="AG33" s="30">
        <f>IF($AA46="","",IF(LEFT(UPPER(TRIM($AA46)),8)="FELICITA","N/A",IF($AE46="","",IFERROR(VLOOKUP(UPPER(TRIM($AE46)),Config!$A$6:$D$8,3,FALSE),IFERROR(VLOOKUP(IF(LEFT(UPPER(TRIM($AE46)),5)="SUPER","SUPER SALUD",IF(LEFT(UPPER(TRIM($AE46)),8)="SECRETAR","SECRETARIA DE SALUD",IF(LEFT(UPPER(TRIM($AE46)),4)="SEDE","SEDE",UPPER(TRIM($AE46))))),Config!$A$6:$D$8,3,FALSE),"")))))</f>
        <v/>
      </c>
      <c r="AH33" s="39">
        <f>IF(OR($E46="",NOT(ISNUMBER($E46)),$AF46="",$AF46="N/A",NOT(ISNUMBER($AF46))),"",IF($AG46="Hábiles",WORKDAY(INT($E46),$AF46,Config!$F$6:$F$39),INT($E46)+$AF46))</f>
        <v/>
      </c>
      <c r="AI33" s="30">
        <f>IF($E46="","",IF(LEFT(UPPER(TRIM($AA46)),8)="FELICITA","⭐ Felicitación",IF(NOT(ISNUMBER($E46)),"⚠ Revisar fecha",IF(UPPER(TRIM($AK46))="RESPONDIDA - CERRADA","✅ Cerrada",IF($AE46="","⚠ Falta entidad",IF($AH46="","⚠ Revisar término",IF(TODAY()&gt;$AH46,"🔴 Vencida",IF($AH46-TODAY()&lt;=Config!$B$12,"🟡 Próxima a vencer","🟢 En término"))))))))</f>
        <v/>
      </c>
      <c r="AJ33" s="42">
        <f>IF(OR($E46="",NOT(ISNUMBER($E46))),"",IF(ISNUMBER($AS46),MAX(0,INT($AS46)-INT($E46)),MAX(0,TODAY()-INT($E46))))</f>
        <v/>
      </c>
      <c r="AK33" s="30" t="n"/>
      <c r="AL33" s="30" t="n"/>
      <c r="AM33" s="30" t="n"/>
      <c r="AN33" s="39" t="n"/>
      <c r="AO33" s="30" t="n"/>
      <c r="AP33" s="30" t="n"/>
      <c r="AQ33" s="39" t="n"/>
      <c r="AR33" s="30" t="n"/>
      <c r="AS33" s="39" t="n"/>
      <c r="AT33" s="30">
        <f>IF(OR($AS46="",NOT(ISNUMBER($AS46)),$AH46=""),"",IF(INT($AS46)&lt;=$AH46,"A tiempo","Fuera de término"))</f>
        <v/>
      </c>
      <c r="AU33" s="40" t="n"/>
      <c r="AV33" s="40" t="n"/>
      <c r="AW33" s="40" t="n"/>
      <c r="AX33" s="40" t="n"/>
      <c r="AY33" s="30" t="n"/>
      <c r="AZ33" s="30" t="n"/>
      <c r="BA33" s="30" t="n"/>
    </row>
    <row r="34" ht="15.75" customHeight="1" s="57">
      <c r="A34" s="29" t="n"/>
      <c r="B34" s="30" t="n"/>
      <c r="C34" s="39" t="n"/>
      <c r="D34" s="39" t="n"/>
      <c r="E34" s="39" t="n"/>
      <c r="F34" s="40" t="n"/>
      <c r="G34" s="30" t="n"/>
      <c r="H34" s="30" t="n"/>
      <c r="I34" s="30" t="n"/>
      <c r="J34" s="30" t="n"/>
      <c r="K34" s="30" t="n"/>
      <c r="L34" s="30" t="n"/>
      <c r="M34" s="30" t="n"/>
      <c r="N34" s="30" t="n"/>
      <c r="O34" s="30" t="n"/>
      <c r="P34" s="30" t="n"/>
      <c r="Q34" s="30" t="n"/>
      <c r="R34" s="30" t="n"/>
      <c r="S34" s="30" t="n"/>
      <c r="T34" s="30" t="n"/>
      <c r="U34" s="30" t="n"/>
      <c r="V34" s="30" t="n"/>
      <c r="W34" s="30" t="n"/>
      <c r="X34" s="30" t="n"/>
      <c r="Y34" s="30" t="n"/>
      <c r="Z34" s="30" t="n"/>
      <c r="AA34" s="30" t="n"/>
      <c r="AB34" s="30" t="n"/>
      <c r="AC34" s="30" t="n"/>
      <c r="AD34" s="41" t="n"/>
      <c r="AE34" s="30" t="n"/>
      <c r="AF34" s="42">
        <f>IF($AA47="","",IF(LEFT(UPPER(TRIM($AA47)),8)="FELICITA","N/A",IF($AE47="","",IFERROR(VLOOKUP(UPPER(TRIM($AE47)),Config!$A$6:$D$8,2,FALSE),IFERROR(VLOOKUP(IF(LEFT(UPPER(TRIM($AE47)),5)="SUPER","SUPER SALUD",IF(LEFT(UPPER(TRIM($AE47)),8)="SECRETAR","SECRETARIA DE SALUD",IF(LEFT(UPPER(TRIM($AE47)),4)="SEDE","SEDE",UPPER(TRIM($AE47))))),Config!$A$6:$D$8,2,FALSE),"⚠")))))</f>
        <v/>
      </c>
      <c r="AG34" s="30">
        <f>IF($AA47="","",IF(LEFT(UPPER(TRIM($AA47)),8)="FELICITA","N/A",IF($AE47="","",IFERROR(VLOOKUP(UPPER(TRIM($AE47)),Config!$A$6:$D$8,3,FALSE),IFERROR(VLOOKUP(IF(LEFT(UPPER(TRIM($AE47)),5)="SUPER","SUPER SALUD",IF(LEFT(UPPER(TRIM($AE47)),8)="SECRETAR","SECRETARIA DE SALUD",IF(LEFT(UPPER(TRIM($AE47)),4)="SEDE","SEDE",UPPER(TRIM($AE47))))),Config!$A$6:$D$8,3,FALSE),"")))))</f>
        <v/>
      </c>
      <c r="AH34" s="39">
        <f>IF(OR($E47="",NOT(ISNUMBER($E47)),$AF47="",$AF47="N/A",NOT(ISNUMBER($AF47))),"",IF($AG47="Hábiles",WORKDAY(INT($E47),$AF47,Config!$F$6:$F$39),INT($E47)+$AF47))</f>
        <v/>
      </c>
      <c r="AI34" s="30">
        <f>IF($E47="","",IF(LEFT(UPPER(TRIM($AA47)),8)="FELICITA","⭐ Felicitación",IF(NOT(ISNUMBER($E47)),"⚠ Revisar fecha",IF(UPPER(TRIM($AK47))="RESPONDIDA - CERRADA","✅ Cerrada",IF($AE47="","⚠ Falta entidad",IF($AH47="","⚠ Revisar término",IF(TODAY()&gt;$AH47,"🔴 Vencida",IF($AH47-TODAY()&lt;=Config!$B$12,"🟡 Próxima a vencer","🟢 En término"))))))))</f>
        <v/>
      </c>
      <c r="AJ34" s="42">
        <f>IF(OR($E47="",NOT(ISNUMBER($E47))),"",IF(ISNUMBER($AS47),MAX(0,INT($AS47)-INT($E47)),MAX(0,TODAY()-INT($E47))))</f>
        <v/>
      </c>
      <c r="AK34" s="30" t="n"/>
      <c r="AL34" s="30" t="n"/>
      <c r="AM34" s="30" t="n"/>
      <c r="AN34" s="39" t="n"/>
      <c r="AO34" s="30" t="n"/>
      <c r="AP34" s="30" t="n"/>
      <c r="AQ34" s="39" t="n"/>
      <c r="AR34" s="30" t="n"/>
      <c r="AS34" s="39" t="n"/>
      <c r="AT34" s="30">
        <f>IF(OR($AS47="",NOT(ISNUMBER($AS47)),$AH47=""),"",IF(INT($AS47)&lt;=$AH47,"A tiempo","Fuera de término"))</f>
        <v/>
      </c>
      <c r="AU34" s="40" t="n"/>
      <c r="AV34" s="40" t="n"/>
      <c r="AW34" s="40" t="n"/>
      <c r="AX34" s="40" t="n"/>
      <c r="AY34" s="30" t="n"/>
      <c r="AZ34" s="30" t="n"/>
      <c r="BA34" s="30" t="n"/>
    </row>
    <row r="35" ht="15.75" customHeight="1" s="57">
      <c r="A35" s="29" t="n"/>
      <c r="B35" s="30" t="n"/>
      <c r="C35" s="39" t="n"/>
      <c r="D35" s="39" t="n"/>
      <c r="E35" s="39" t="n"/>
      <c r="F35" s="40" t="n"/>
      <c r="G35" s="30" t="n"/>
      <c r="H35" s="30" t="n"/>
      <c r="I35" s="30" t="n"/>
      <c r="J35" s="30" t="n"/>
      <c r="K35" s="30" t="n"/>
      <c r="L35" s="30" t="n"/>
      <c r="M35" s="30" t="n"/>
      <c r="N35" s="30" t="n"/>
      <c r="O35" s="30" t="n"/>
      <c r="P35" s="30" t="n"/>
      <c r="Q35" s="30" t="n"/>
      <c r="R35" s="30" t="n"/>
      <c r="S35" s="30" t="n"/>
      <c r="T35" s="30" t="n"/>
      <c r="U35" s="30" t="n"/>
      <c r="V35" s="30" t="n"/>
      <c r="W35" s="30" t="n"/>
      <c r="X35" s="30" t="n"/>
      <c r="Y35" s="30" t="n"/>
      <c r="Z35" s="30" t="n"/>
      <c r="AA35" s="30" t="n"/>
      <c r="AB35" s="30" t="n"/>
      <c r="AC35" s="30" t="n"/>
      <c r="AD35" s="41" t="n"/>
      <c r="AE35" s="30" t="n"/>
      <c r="AF35" s="42">
        <f>IF($AA48="","",IF(LEFT(UPPER(TRIM($AA48)),8)="FELICITA","N/A",IF($AE48="","",IFERROR(VLOOKUP(UPPER(TRIM($AE48)),Config!$A$6:$D$8,2,FALSE),IFERROR(VLOOKUP(IF(LEFT(UPPER(TRIM($AE48)),5)="SUPER","SUPER SALUD",IF(LEFT(UPPER(TRIM($AE48)),8)="SECRETAR","SECRETARIA DE SALUD",IF(LEFT(UPPER(TRIM($AE48)),4)="SEDE","SEDE",UPPER(TRIM($AE48))))),Config!$A$6:$D$8,2,FALSE),"⚠")))))</f>
        <v/>
      </c>
      <c r="AG35" s="30">
        <f>IF($AA48="","",IF(LEFT(UPPER(TRIM($AA48)),8)="FELICITA","N/A",IF($AE48="","",IFERROR(VLOOKUP(UPPER(TRIM($AE48)),Config!$A$6:$D$8,3,FALSE),IFERROR(VLOOKUP(IF(LEFT(UPPER(TRIM($AE48)),5)="SUPER","SUPER SALUD",IF(LEFT(UPPER(TRIM($AE48)),8)="SECRETAR","SECRETARIA DE SALUD",IF(LEFT(UPPER(TRIM($AE48)),4)="SEDE","SEDE",UPPER(TRIM($AE48))))),Config!$A$6:$D$8,3,FALSE),"")))))</f>
        <v/>
      </c>
      <c r="AH35" s="39">
        <f>IF(OR($E48="",NOT(ISNUMBER($E48)),$AF48="",$AF48="N/A",NOT(ISNUMBER($AF48))),"",IF($AG48="Hábiles",WORKDAY(INT($E48),$AF48,Config!$F$6:$F$39),INT($E48)+$AF48))</f>
        <v/>
      </c>
      <c r="AI35" s="30">
        <f>IF($E48="","",IF(LEFT(UPPER(TRIM($AA48)),8)="FELICITA","⭐ Felicitación",IF(NOT(ISNUMBER($E48)),"⚠ Revisar fecha",IF(UPPER(TRIM($AK48))="RESPONDIDA - CERRADA","✅ Cerrada",IF($AE48="","⚠ Falta entidad",IF($AH48="","⚠ Revisar término",IF(TODAY()&gt;$AH48,"🔴 Vencida",IF($AH48-TODAY()&lt;=Config!$B$12,"🟡 Próxima a vencer","🟢 En término"))))))))</f>
        <v/>
      </c>
      <c r="AJ35" s="42">
        <f>IF(OR($E48="",NOT(ISNUMBER($E48))),"",IF(ISNUMBER($AS48),MAX(0,INT($AS48)-INT($E48)),MAX(0,TODAY()-INT($E48))))</f>
        <v/>
      </c>
      <c r="AK35" s="30" t="n"/>
      <c r="AL35" s="30" t="n"/>
      <c r="AM35" s="30" t="n"/>
      <c r="AN35" s="39" t="n"/>
      <c r="AO35" s="30" t="n"/>
      <c r="AP35" s="30" t="n"/>
      <c r="AQ35" s="39" t="n"/>
      <c r="AR35" s="30" t="n"/>
      <c r="AS35" s="39" t="n"/>
      <c r="AT35" s="30">
        <f>IF(OR($AS48="",NOT(ISNUMBER($AS48)),$AH48=""),"",IF(INT($AS48)&lt;=$AH48,"A tiempo","Fuera de término"))</f>
        <v/>
      </c>
      <c r="AU35" s="40" t="n"/>
      <c r="AV35" s="40" t="n"/>
      <c r="AW35" s="40" t="n"/>
      <c r="AX35" s="40" t="n"/>
      <c r="AY35" s="30" t="n"/>
      <c r="AZ35" s="30" t="n"/>
      <c r="BA35" s="30" t="n"/>
    </row>
    <row r="36" ht="15.75" customHeight="1" s="57">
      <c r="A36" s="29" t="n"/>
      <c r="B36" s="30" t="n"/>
      <c r="C36" s="39" t="n"/>
      <c r="D36" s="39" t="n"/>
      <c r="E36" s="39" t="n"/>
      <c r="F36" s="40" t="n"/>
      <c r="G36" s="30" t="n"/>
      <c r="H36" s="30" t="n"/>
      <c r="I36" s="30" t="n"/>
      <c r="J36" s="30" t="n"/>
      <c r="K36" s="30" t="n"/>
      <c r="L36" s="30" t="n"/>
      <c r="M36" s="30" t="n"/>
      <c r="N36" s="30" t="n"/>
      <c r="O36" s="30" t="n"/>
      <c r="P36" s="30" t="n"/>
      <c r="Q36" s="30" t="n"/>
      <c r="R36" s="30" t="n"/>
      <c r="S36" s="30" t="n"/>
      <c r="T36" s="30" t="n"/>
      <c r="U36" s="30" t="n"/>
      <c r="V36" s="30" t="n"/>
      <c r="W36" s="30" t="n"/>
      <c r="X36" s="30" t="n"/>
      <c r="Y36" s="30" t="n"/>
      <c r="Z36" s="30" t="n"/>
      <c r="AA36" s="30" t="n"/>
      <c r="AB36" s="30" t="n"/>
      <c r="AC36" s="30" t="n"/>
      <c r="AD36" s="41" t="n"/>
      <c r="AE36" s="30" t="n"/>
      <c r="AF36" s="42">
        <f>IF($AA49="","",IF(LEFT(UPPER(TRIM($AA49)),8)="FELICITA","N/A",IF($AE49="","",IFERROR(VLOOKUP(UPPER(TRIM($AE49)),Config!$A$6:$D$8,2,FALSE),IFERROR(VLOOKUP(IF(LEFT(UPPER(TRIM($AE49)),5)="SUPER","SUPER SALUD",IF(LEFT(UPPER(TRIM($AE49)),8)="SECRETAR","SECRETARIA DE SALUD",IF(LEFT(UPPER(TRIM($AE49)),4)="SEDE","SEDE",UPPER(TRIM($AE49))))),Config!$A$6:$D$8,2,FALSE),"⚠")))))</f>
        <v/>
      </c>
      <c r="AG36" s="30">
        <f>IF($AA49="","",IF(LEFT(UPPER(TRIM($AA49)),8)="FELICITA","N/A",IF($AE49="","",IFERROR(VLOOKUP(UPPER(TRIM($AE49)),Config!$A$6:$D$8,3,FALSE),IFERROR(VLOOKUP(IF(LEFT(UPPER(TRIM($AE49)),5)="SUPER","SUPER SALUD",IF(LEFT(UPPER(TRIM($AE49)),8)="SECRETAR","SECRETARIA DE SALUD",IF(LEFT(UPPER(TRIM($AE49)),4)="SEDE","SEDE",UPPER(TRIM($AE49))))),Config!$A$6:$D$8,3,FALSE),"")))))</f>
        <v/>
      </c>
      <c r="AH36" s="39">
        <f>IF(OR($E49="",NOT(ISNUMBER($E49)),$AF49="",$AF49="N/A",NOT(ISNUMBER($AF49))),"",IF($AG49="Hábiles",WORKDAY(INT($E49),$AF49,Config!$F$6:$F$39),INT($E49)+$AF49))</f>
        <v/>
      </c>
      <c r="AI36" s="30">
        <f>IF($E49="","",IF(LEFT(UPPER(TRIM($AA49)),8)="FELICITA","⭐ Felicitación",IF(NOT(ISNUMBER($E49)),"⚠ Revisar fecha",IF(UPPER(TRIM($AK49))="RESPONDIDA - CERRADA","✅ Cerrada",IF($AE49="","⚠ Falta entidad",IF($AH49="","⚠ Revisar término",IF(TODAY()&gt;$AH49,"🔴 Vencida",IF($AH49-TODAY()&lt;=Config!$B$12,"🟡 Próxima a vencer","🟢 En término"))))))))</f>
        <v/>
      </c>
      <c r="AJ36" s="42">
        <f>IF(OR($E49="",NOT(ISNUMBER($E49))),"",IF(ISNUMBER($AS49),MAX(0,INT($AS49)-INT($E49)),MAX(0,TODAY()-INT($E49))))</f>
        <v/>
      </c>
      <c r="AK36" s="30" t="n"/>
      <c r="AL36" s="30" t="n"/>
      <c r="AM36" s="30" t="n"/>
      <c r="AN36" s="39" t="n"/>
      <c r="AO36" s="30" t="n"/>
      <c r="AP36" s="30" t="n"/>
      <c r="AQ36" s="39" t="n"/>
      <c r="AR36" s="30" t="n"/>
      <c r="AS36" s="39" t="n"/>
      <c r="AT36" s="30">
        <f>IF(OR($AS49="",NOT(ISNUMBER($AS49)),$AH49=""),"",IF(INT($AS49)&lt;=$AH49,"A tiempo","Fuera de término"))</f>
        <v/>
      </c>
      <c r="AU36" s="40" t="n"/>
      <c r="AV36" s="40" t="n"/>
      <c r="AW36" s="40" t="n"/>
      <c r="AX36" s="40" t="n"/>
      <c r="AY36" s="30" t="n"/>
      <c r="AZ36" s="30" t="n"/>
      <c r="BA36" s="30" t="n"/>
    </row>
    <row r="37" ht="15.75" customHeight="1" s="57">
      <c r="A37" s="29" t="n"/>
      <c r="B37" s="30" t="n"/>
      <c r="C37" s="39" t="n"/>
      <c r="D37" s="39" t="n"/>
      <c r="E37" s="39" t="n"/>
      <c r="F37" s="40" t="n"/>
      <c r="G37" s="30" t="n"/>
      <c r="H37" s="30" t="n"/>
      <c r="I37" s="30" t="n"/>
      <c r="J37" s="30" t="n"/>
      <c r="K37" s="30" t="n"/>
      <c r="L37" s="30" t="n"/>
      <c r="M37" s="30" t="n"/>
      <c r="N37" s="30" t="n"/>
      <c r="O37" s="30" t="n"/>
      <c r="P37" s="30" t="n"/>
      <c r="Q37" s="30" t="n"/>
      <c r="R37" s="30" t="n"/>
      <c r="S37" s="30" t="n"/>
      <c r="T37" s="30" t="n"/>
      <c r="U37" s="30" t="n"/>
      <c r="V37" s="30" t="n"/>
      <c r="W37" s="30" t="n"/>
      <c r="X37" s="30" t="n"/>
      <c r="Y37" s="30" t="n"/>
      <c r="Z37" s="30" t="n"/>
      <c r="AA37" s="30" t="n"/>
      <c r="AB37" s="30" t="n"/>
      <c r="AC37" s="30" t="n"/>
      <c r="AD37" s="41" t="n"/>
      <c r="AE37" s="30" t="n"/>
      <c r="AF37" s="42">
        <f>IF($AA50="","",IF(LEFT(UPPER(TRIM($AA50)),8)="FELICITA","N/A",IF($AE50="","",IFERROR(VLOOKUP(UPPER(TRIM($AE50)),Config!$A$6:$D$8,2,FALSE),IFERROR(VLOOKUP(IF(LEFT(UPPER(TRIM($AE50)),5)="SUPER","SUPER SALUD",IF(LEFT(UPPER(TRIM($AE50)),8)="SECRETAR","SECRETARIA DE SALUD",IF(LEFT(UPPER(TRIM($AE50)),4)="SEDE","SEDE",UPPER(TRIM($AE50))))),Config!$A$6:$D$8,2,FALSE),"⚠")))))</f>
        <v/>
      </c>
      <c r="AG37" s="30">
        <f>IF($AA50="","",IF(LEFT(UPPER(TRIM($AA50)),8)="FELICITA","N/A",IF($AE50="","",IFERROR(VLOOKUP(UPPER(TRIM($AE50)),Config!$A$6:$D$8,3,FALSE),IFERROR(VLOOKUP(IF(LEFT(UPPER(TRIM($AE50)),5)="SUPER","SUPER SALUD",IF(LEFT(UPPER(TRIM($AE50)),8)="SECRETAR","SECRETARIA DE SALUD",IF(LEFT(UPPER(TRIM($AE50)),4)="SEDE","SEDE",UPPER(TRIM($AE50))))),Config!$A$6:$D$8,3,FALSE),"")))))</f>
        <v/>
      </c>
      <c r="AH37" s="39">
        <f>IF(OR($E50="",NOT(ISNUMBER($E50)),$AF50="",$AF50="N/A",NOT(ISNUMBER($AF50))),"",IF($AG50="Hábiles",WORKDAY(INT($E50),$AF50,Config!$F$6:$F$39),INT($E50)+$AF50))</f>
        <v/>
      </c>
      <c r="AI37" s="30">
        <f>IF($E50="","",IF(LEFT(UPPER(TRIM($AA50)),8)="FELICITA","⭐ Felicitación",IF(NOT(ISNUMBER($E50)),"⚠ Revisar fecha",IF(UPPER(TRIM($AK50))="RESPONDIDA - CERRADA","✅ Cerrada",IF($AE50="","⚠ Falta entidad",IF($AH50="","⚠ Revisar término",IF(TODAY()&gt;$AH50,"🔴 Vencida",IF($AH50-TODAY()&lt;=Config!$B$12,"🟡 Próxima a vencer","🟢 En término"))))))))</f>
        <v/>
      </c>
      <c r="AJ37" s="42">
        <f>IF(OR($E50="",NOT(ISNUMBER($E50))),"",IF(ISNUMBER($AS50),MAX(0,INT($AS50)-INT($E50)),MAX(0,TODAY()-INT($E50))))</f>
        <v/>
      </c>
      <c r="AK37" s="30" t="n"/>
      <c r="AL37" s="30" t="n"/>
      <c r="AM37" s="30" t="n"/>
      <c r="AN37" s="39" t="n"/>
      <c r="AO37" s="30" t="n"/>
      <c r="AP37" s="30" t="n"/>
      <c r="AQ37" s="39" t="n"/>
      <c r="AR37" s="30" t="n"/>
      <c r="AS37" s="39" t="n"/>
      <c r="AT37" s="30">
        <f>IF(OR($AS50="",NOT(ISNUMBER($AS50)),$AH50=""),"",IF(INT($AS50)&lt;=$AH50,"A tiempo","Fuera de término"))</f>
        <v/>
      </c>
      <c r="AU37" s="40" t="n"/>
      <c r="AV37" s="40" t="n"/>
      <c r="AW37" s="40" t="n"/>
      <c r="AX37" s="40" t="n"/>
      <c r="AY37" s="30" t="n"/>
      <c r="AZ37" s="30" t="n"/>
      <c r="BA37" s="30" t="n"/>
    </row>
    <row r="38" ht="15.75" customHeight="1" s="57">
      <c r="A38" s="29" t="n"/>
      <c r="B38" s="30" t="n"/>
      <c r="C38" s="39" t="n"/>
      <c r="D38" s="39" t="n"/>
      <c r="E38" s="39" t="n"/>
      <c r="F38" s="40" t="n"/>
      <c r="G38" s="30" t="n"/>
      <c r="H38" s="30" t="n"/>
      <c r="I38" s="30" t="n"/>
      <c r="J38" s="30" t="n"/>
      <c r="K38" s="30" t="n"/>
      <c r="L38" s="30" t="n"/>
      <c r="M38" s="30" t="n"/>
      <c r="N38" s="30" t="n"/>
      <c r="O38" s="30" t="n"/>
      <c r="P38" s="30" t="n"/>
      <c r="Q38" s="30" t="n"/>
      <c r="R38" s="30" t="n"/>
      <c r="S38" s="30" t="n"/>
      <c r="T38" s="30" t="n"/>
      <c r="U38" s="30" t="n"/>
      <c r="V38" s="30" t="n"/>
      <c r="W38" s="30" t="n"/>
      <c r="X38" s="30" t="n"/>
      <c r="Y38" s="30" t="n"/>
      <c r="Z38" s="30" t="n"/>
      <c r="AA38" s="30" t="n"/>
      <c r="AB38" s="30" t="n"/>
      <c r="AC38" s="30" t="n"/>
      <c r="AD38" s="41" t="n"/>
      <c r="AE38" s="30" t="n"/>
      <c r="AF38" s="42">
        <f>IF($AA51="","",IF(LEFT(UPPER(TRIM($AA51)),8)="FELICITA","N/A",IF($AE51="","",IFERROR(VLOOKUP(UPPER(TRIM($AE51)),Config!$A$6:$D$8,2,FALSE),IFERROR(VLOOKUP(IF(LEFT(UPPER(TRIM($AE51)),5)="SUPER","SUPER SALUD",IF(LEFT(UPPER(TRIM($AE51)),8)="SECRETAR","SECRETARIA DE SALUD",IF(LEFT(UPPER(TRIM($AE51)),4)="SEDE","SEDE",UPPER(TRIM($AE51))))),Config!$A$6:$D$8,2,FALSE),"⚠")))))</f>
        <v/>
      </c>
      <c r="AG38" s="30">
        <f>IF($AA51="","",IF(LEFT(UPPER(TRIM($AA51)),8)="FELICITA","N/A",IF($AE51="","",IFERROR(VLOOKUP(UPPER(TRIM($AE51)),Config!$A$6:$D$8,3,FALSE),IFERROR(VLOOKUP(IF(LEFT(UPPER(TRIM($AE51)),5)="SUPER","SUPER SALUD",IF(LEFT(UPPER(TRIM($AE51)),8)="SECRETAR","SECRETARIA DE SALUD",IF(LEFT(UPPER(TRIM($AE51)),4)="SEDE","SEDE",UPPER(TRIM($AE51))))),Config!$A$6:$D$8,3,FALSE),"")))))</f>
        <v/>
      </c>
      <c r="AH38" s="39">
        <f>IF(OR($E51="",NOT(ISNUMBER($E51)),$AF51="",$AF51="N/A",NOT(ISNUMBER($AF51))),"",IF($AG51="Hábiles",WORKDAY(INT($E51),$AF51,Config!$F$6:$F$39),INT($E51)+$AF51))</f>
        <v/>
      </c>
      <c r="AI38" s="30">
        <f>IF($E51="","",IF(LEFT(UPPER(TRIM($AA51)),8)="FELICITA","⭐ Felicitación",IF(NOT(ISNUMBER($E51)),"⚠ Revisar fecha",IF(UPPER(TRIM($AK51))="RESPONDIDA - CERRADA","✅ Cerrada",IF($AE51="","⚠ Falta entidad",IF($AH51="","⚠ Revisar término",IF(TODAY()&gt;$AH51,"🔴 Vencida",IF($AH51-TODAY()&lt;=Config!$B$12,"🟡 Próxima a vencer","🟢 En término"))))))))</f>
        <v/>
      </c>
      <c r="AJ38" s="42">
        <f>IF(OR($E51="",NOT(ISNUMBER($E51))),"",IF(ISNUMBER($AS51),MAX(0,INT($AS51)-INT($E51)),MAX(0,TODAY()-INT($E51))))</f>
        <v/>
      </c>
      <c r="AK38" s="30" t="n"/>
      <c r="AL38" s="30" t="n"/>
      <c r="AM38" s="30" t="n"/>
      <c r="AN38" s="39" t="n"/>
      <c r="AO38" s="30" t="n"/>
      <c r="AP38" s="30" t="n"/>
      <c r="AQ38" s="39" t="n"/>
      <c r="AR38" s="30" t="n"/>
      <c r="AS38" s="39" t="n"/>
      <c r="AT38" s="30">
        <f>IF(OR($AS51="",NOT(ISNUMBER($AS51)),$AH51=""),"",IF(INT($AS51)&lt;=$AH51,"A tiempo","Fuera de término"))</f>
        <v/>
      </c>
      <c r="AU38" s="40" t="n"/>
      <c r="AV38" s="40" t="n"/>
      <c r="AW38" s="40" t="n"/>
      <c r="AX38" s="40" t="n"/>
      <c r="AY38" s="30" t="n"/>
      <c r="AZ38" s="30" t="n"/>
      <c r="BA38" s="30" t="n"/>
    </row>
    <row r="39" ht="15.75" customHeight="1" s="57">
      <c r="A39" s="29" t="n"/>
      <c r="B39" s="30" t="n"/>
      <c r="C39" s="39" t="n"/>
      <c r="D39" s="39" t="n"/>
      <c r="E39" s="39" t="n"/>
      <c r="F39" s="40" t="n"/>
      <c r="G39" s="30" t="n"/>
      <c r="H39" s="30" t="n"/>
      <c r="I39" s="30" t="n"/>
      <c r="J39" s="30" t="n"/>
      <c r="K39" s="30" t="n"/>
      <c r="L39" s="30" t="n"/>
      <c r="M39" s="30" t="n"/>
      <c r="N39" s="30" t="n"/>
      <c r="O39" s="30" t="n"/>
      <c r="P39" s="30" t="n"/>
      <c r="Q39" s="30" t="n"/>
      <c r="R39" s="30" t="n"/>
      <c r="S39" s="30" t="n"/>
      <c r="T39" s="30" t="n"/>
      <c r="U39" s="30" t="n"/>
      <c r="V39" s="30" t="n"/>
      <c r="W39" s="30" t="n"/>
      <c r="X39" s="30" t="n"/>
      <c r="Y39" s="30" t="n"/>
      <c r="Z39" s="30" t="n"/>
      <c r="AA39" s="30" t="n"/>
      <c r="AB39" s="30" t="n"/>
      <c r="AC39" s="30" t="n"/>
      <c r="AD39" s="41" t="n"/>
      <c r="AE39" s="30" t="n"/>
      <c r="AF39" s="42">
        <f>IF($AA52="","",IF(LEFT(UPPER(TRIM($AA52)),8)="FELICITA","N/A",IF($AE52="","",IFERROR(VLOOKUP(UPPER(TRIM($AE52)),Config!$A$6:$D$8,2,FALSE),IFERROR(VLOOKUP(IF(LEFT(UPPER(TRIM($AE52)),5)="SUPER","SUPER SALUD",IF(LEFT(UPPER(TRIM($AE52)),8)="SECRETAR","SECRETARIA DE SALUD",IF(LEFT(UPPER(TRIM($AE52)),4)="SEDE","SEDE",UPPER(TRIM($AE52))))),Config!$A$6:$D$8,2,FALSE),"⚠")))))</f>
        <v/>
      </c>
      <c r="AG39" s="30">
        <f>IF($AA52="","",IF(LEFT(UPPER(TRIM($AA52)),8)="FELICITA","N/A",IF($AE52="","",IFERROR(VLOOKUP(UPPER(TRIM($AE52)),Config!$A$6:$D$8,3,FALSE),IFERROR(VLOOKUP(IF(LEFT(UPPER(TRIM($AE52)),5)="SUPER","SUPER SALUD",IF(LEFT(UPPER(TRIM($AE52)),8)="SECRETAR","SECRETARIA DE SALUD",IF(LEFT(UPPER(TRIM($AE52)),4)="SEDE","SEDE",UPPER(TRIM($AE52))))),Config!$A$6:$D$8,3,FALSE),"")))))</f>
        <v/>
      </c>
      <c r="AH39" s="39">
        <f>IF(OR($E52="",NOT(ISNUMBER($E52)),$AF52="",$AF52="N/A",NOT(ISNUMBER($AF52))),"",IF($AG52="Hábiles",WORKDAY(INT($E52),$AF52,Config!$F$6:$F$39),INT($E52)+$AF52))</f>
        <v/>
      </c>
      <c r="AI39" s="30">
        <f>IF($E52="","",IF(LEFT(UPPER(TRIM($AA52)),8)="FELICITA","⭐ Felicitación",IF(NOT(ISNUMBER($E52)),"⚠ Revisar fecha",IF(UPPER(TRIM($AK52))="RESPONDIDA - CERRADA","✅ Cerrada",IF($AE52="","⚠ Falta entidad",IF($AH52="","⚠ Revisar término",IF(TODAY()&gt;$AH52,"🔴 Vencida",IF($AH52-TODAY()&lt;=Config!$B$12,"🟡 Próxima a vencer","🟢 En término"))))))))</f>
        <v/>
      </c>
      <c r="AJ39" s="42">
        <f>IF(OR($E52="",NOT(ISNUMBER($E52))),"",IF(ISNUMBER($AS52),MAX(0,INT($AS52)-INT($E52)),MAX(0,TODAY()-INT($E52))))</f>
        <v/>
      </c>
      <c r="AK39" s="30" t="n"/>
      <c r="AL39" s="30" t="n"/>
      <c r="AM39" s="30" t="n"/>
      <c r="AN39" s="39" t="n"/>
      <c r="AO39" s="30" t="n"/>
      <c r="AP39" s="30" t="n"/>
      <c r="AQ39" s="39" t="n"/>
      <c r="AR39" s="30" t="n"/>
      <c r="AS39" s="39" t="n"/>
      <c r="AT39" s="30">
        <f>IF(OR($AS52="",NOT(ISNUMBER($AS52)),$AH52=""),"",IF(INT($AS52)&lt;=$AH52,"A tiempo","Fuera de término"))</f>
        <v/>
      </c>
      <c r="AU39" s="40" t="n"/>
      <c r="AV39" s="40" t="n"/>
      <c r="AW39" s="40" t="n"/>
      <c r="AX39" s="40" t="n"/>
      <c r="AY39" s="30" t="n"/>
      <c r="AZ39" s="30" t="n"/>
      <c r="BA39" s="30" t="n"/>
    </row>
    <row r="40" ht="15.75" customHeight="1" s="57">
      <c r="A40" s="29" t="n"/>
      <c r="B40" s="30" t="n"/>
      <c r="C40" s="39" t="n"/>
      <c r="D40" s="39" t="n"/>
      <c r="E40" s="39" t="n"/>
      <c r="F40" s="40" t="n"/>
      <c r="G40" s="30" t="n"/>
      <c r="H40" s="30" t="n"/>
      <c r="I40" s="30" t="n"/>
      <c r="J40" s="30" t="n"/>
      <c r="K40" s="30" t="n"/>
      <c r="L40" s="30" t="n"/>
      <c r="M40" s="30" t="n"/>
      <c r="N40" s="30" t="n"/>
      <c r="O40" s="30" t="n"/>
      <c r="P40" s="30" t="n"/>
      <c r="Q40" s="30" t="n"/>
      <c r="R40" s="30" t="n"/>
      <c r="S40" s="30" t="n"/>
      <c r="T40" s="30" t="n"/>
      <c r="U40" s="30" t="n"/>
      <c r="V40" s="30" t="n"/>
      <c r="W40" s="30" t="n"/>
      <c r="X40" s="30" t="n"/>
      <c r="Y40" s="30" t="n"/>
      <c r="Z40" s="30" t="n"/>
      <c r="AA40" s="30" t="n"/>
      <c r="AB40" s="30" t="n"/>
      <c r="AC40" s="30" t="n"/>
      <c r="AD40" s="41" t="n"/>
      <c r="AE40" s="30" t="n"/>
      <c r="AF40" s="42">
        <f>IF($AA53="","",IF(LEFT(UPPER(TRIM($AA53)),8)="FELICITA","N/A",IF($AE53="","",IFERROR(VLOOKUP(UPPER(TRIM($AE53)),Config!$A$6:$D$8,2,FALSE),IFERROR(VLOOKUP(IF(LEFT(UPPER(TRIM($AE53)),5)="SUPER","SUPER SALUD",IF(LEFT(UPPER(TRIM($AE53)),8)="SECRETAR","SECRETARIA DE SALUD",IF(LEFT(UPPER(TRIM($AE53)),4)="SEDE","SEDE",UPPER(TRIM($AE53))))),Config!$A$6:$D$8,2,FALSE),"⚠")))))</f>
        <v/>
      </c>
      <c r="AG40" s="30">
        <f>IF($AA53="","",IF(LEFT(UPPER(TRIM($AA53)),8)="FELICITA","N/A",IF($AE53="","",IFERROR(VLOOKUP(UPPER(TRIM($AE53)),Config!$A$6:$D$8,3,FALSE),IFERROR(VLOOKUP(IF(LEFT(UPPER(TRIM($AE53)),5)="SUPER","SUPER SALUD",IF(LEFT(UPPER(TRIM($AE53)),8)="SECRETAR","SECRETARIA DE SALUD",IF(LEFT(UPPER(TRIM($AE53)),4)="SEDE","SEDE",UPPER(TRIM($AE53))))),Config!$A$6:$D$8,3,FALSE),"")))))</f>
        <v/>
      </c>
      <c r="AH40" s="39">
        <f>IF(OR($E53="",NOT(ISNUMBER($E53)),$AF53="",$AF53="N/A",NOT(ISNUMBER($AF53))),"",IF($AG53="Hábiles",WORKDAY(INT($E53),$AF53,Config!$F$6:$F$39),INT($E53)+$AF53))</f>
        <v/>
      </c>
      <c r="AI40" s="30">
        <f>IF($E53="","",IF(LEFT(UPPER(TRIM($AA53)),8)="FELICITA","⭐ Felicitación",IF(NOT(ISNUMBER($E53)),"⚠ Revisar fecha",IF(UPPER(TRIM($AK53))="RESPONDIDA - CERRADA","✅ Cerrada",IF($AE53="","⚠ Falta entidad",IF($AH53="","⚠ Revisar término",IF(TODAY()&gt;$AH53,"🔴 Vencida",IF($AH53-TODAY()&lt;=Config!$B$12,"🟡 Próxima a vencer","🟢 En término"))))))))</f>
        <v/>
      </c>
      <c r="AJ40" s="42">
        <f>IF(OR($E53="",NOT(ISNUMBER($E53))),"",IF(ISNUMBER($AS53),MAX(0,INT($AS53)-INT($E53)),MAX(0,TODAY()-INT($E53))))</f>
        <v/>
      </c>
      <c r="AK40" s="30" t="n"/>
      <c r="AL40" s="30" t="n"/>
      <c r="AM40" s="30" t="n"/>
      <c r="AN40" s="39" t="n"/>
      <c r="AO40" s="30" t="n"/>
      <c r="AP40" s="30" t="n"/>
      <c r="AQ40" s="39" t="n"/>
      <c r="AR40" s="30" t="n"/>
      <c r="AS40" s="39" t="n"/>
      <c r="AT40" s="30">
        <f>IF(OR($AS53="",NOT(ISNUMBER($AS53)),$AH53=""),"",IF(INT($AS53)&lt;=$AH53,"A tiempo","Fuera de término"))</f>
        <v/>
      </c>
      <c r="AU40" s="40" t="n"/>
      <c r="AV40" s="40" t="n"/>
      <c r="AW40" s="40" t="n"/>
      <c r="AX40" s="40" t="n"/>
      <c r="AY40" s="30" t="n"/>
      <c r="AZ40" s="30" t="n"/>
      <c r="BA40" s="30" t="n"/>
    </row>
    <row r="41" ht="15.75" customHeight="1" s="57">
      <c r="A41" s="29" t="n"/>
      <c r="B41" s="30" t="n"/>
      <c r="C41" s="39" t="n"/>
      <c r="D41" s="39" t="n"/>
      <c r="E41" s="39" t="n"/>
      <c r="F41" s="40" t="n"/>
      <c r="G41" s="30" t="n"/>
      <c r="H41" s="30" t="n"/>
      <c r="I41" s="30" t="n"/>
      <c r="J41" s="30" t="n"/>
      <c r="K41" s="30" t="n"/>
      <c r="L41" s="30" t="n"/>
      <c r="M41" s="30" t="n"/>
      <c r="N41" s="30" t="n"/>
      <c r="O41" s="30" t="n"/>
      <c r="P41" s="30" t="n"/>
      <c r="Q41" s="30" t="n"/>
      <c r="R41" s="30" t="n"/>
      <c r="S41" s="30" t="n"/>
      <c r="T41" s="30" t="n"/>
      <c r="U41" s="30" t="n"/>
      <c r="V41" s="30" t="n"/>
      <c r="W41" s="30" t="n"/>
      <c r="X41" s="30" t="n"/>
      <c r="Y41" s="30" t="n"/>
      <c r="Z41" s="30" t="n"/>
      <c r="AA41" s="30" t="n"/>
      <c r="AB41" s="30" t="n"/>
      <c r="AC41" s="30" t="n"/>
      <c r="AD41" s="41" t="n"/>
      <c r="AE41" s="30" t="n"/>
      <c r="AF41" s="42">
        <f>IF($AA54="","",IF(LEFT(UPPER(TRIM($AA54)),8)="FELICITA","N/A",IF($AE54="","",IFERROR(VLOOKUP(UPPER(TRIM($AE54)),Config!$A$6:$D$8,2,FALSE),IFERROR(VLOOKUP(IF(LEFT(UPPER(TRIM($AE54)),5)="SUPER","SUPER SALUD",IF(LEFT(UPPER(TRIM($AE54)),8)="SECRETAR","SECRETARIA DE SALUD",IF(LEFT(UPPER(TRIM($AE54)),4)="SEDE","SEDE",UPPER(TRIM($AE54))))),Config!$A$6:$D$8,2,FALSE),"⚠")))))</f>
        <v/>
      </c>
      <c r="AG41" s="30">
        <f>IF($AA54="","",IF(LEFT(UPPER(TRIM($AA54)),8)="FELICITA","N/A",IF($AE54="","",IFERROR(VLOOKUP(UPPER(TRIM($AE54)),Config!$A$6:$D$8,3,FALSE),IFERROR(VLOOKUP(IF(LEFT(UPPER(TRIM($AE54)),5)="SUPER","SUPER SALUD",IF(LEFT(UPPER(TRIM($AE54)),8)="SECRETAR","SECRETARIA DE SALUD",IF(LEFT(UPPER(TRIM($AE54)),4)="SEDE","SEDE",UPPER(TRIM($AE54))))),Config!$A$6:$D$8,3,FALSE),"")))))</f>
        <v/>
      </c>
      <c r="AH41" s="39">
        <f>IF(OR($E54="",NOT(ISNUMBER($E54)),$AF54="",$AF54="N/A",NOT(ISNUMBER($AF54))),"",IF($AG54="Hábiles",WORKDAY(INT($E54),$AF54,Config!$F$6:$F$39),INT($E54)+$AF54))</f>
        <v/>
      </c>
      <c r="AI41" s="30">
        <f>IF($E54="","",IF(LEFT(UPPER(TRIM($AA54)),8)="FELICITA","⭐ Felicitación",IF(NOT(ISNUMBER($E54)),"⚠ Revisar fecha",IF(UPPER(TRIM($AK54))="RESPONDIDA - CERRADA","✅ Cerrada",IF($AE54="","⚠ Falta entidad",IF($AH54="","⚠ Revisar término",IF(TODAY()&gt;$AH54,"🔴 Vencida",IF($AH54-TODAY()&lt;=Config!$B$12,"🟡 Próxima a vencer","🟢 En término"))))))))</f>
        <v/>
      </c>
      <c r="AJ41" s="42">
        <f>IF(OR($E54="",NOT(ISNUMBER($E54))),"",IF(ISNUMBER($AS54),MAX(0,INT($AS54)-INT($E54)),MAX(0,TODAY()-INT($E54))))</f>
        <v/>
      </c>
      <c r="AK41" s="30" t="n"/>
      <c r="AL41" s="30" t="n"/>
      <c r="AM41" s="30" t="n"/>
      <c r="AN41" s="39" t="n"/>
      <c r="AO41" s="30" t="n"/>
      <c r="AP41" s="30" t="n"/>
      <c r="AQ41" s="39" t="n"/>
      <c r="AR41" s="30" t="n"/>
      <c r="AS41" s="39" t="n"/>
      <c r="AT41" s="30">
        <f>IF(OR($AS54="",NOT(ISNUMBER($AS54)),$AH54=""),"",IF(INT($AS54)&lt;=$AH54,"A tiempo","Fuera de término"))</f>
        <v/>
      </c>
      <c r="AU41" s="40" t="n"/>
      <c r="AV41" s="40" t="n"/>
      <c r="AW41" s="40" t="n"/>
      <c r="AX41" s="40" t="n"/>
      <c r="AY41" s="30" t="n"/>
      <c r="AZ41" s="30" t="n"/>
      <c r="BA41" s="30" t="n"/>
    </row>
    <row r="42" ht="15.75" customHeight="1" s="57">
      <c r="A42" s="29" t="n"/>
      <c r="B42" s="30" t="n"/>
      <c r="C42" s="39" t="n"/>
      <c r="D42" s="39" t="n"/>
      <c r="E42" s="39" t="n"/>
      <c r="F42" s="40" t="n"/>
      <c r="G42" s="30" t="n"/>
      <c r="H42" s="30" t="n"/>
      <c r="I42" s="30" t="n"/>
      <c r="J42" s="30" t="n"/>
      <c r="K42" s="30" t="n"/>
      <c r="L42" s="30" t="n"/>
      <c r="M42" s="30" t="n"/>
      <c r="N42" s="30" t="n"/>
      <c r="O42" s="30" t="n"/>
      <c r="P42" s="30" t="n"/>
      <c r="Q42" s="30" t="n"/>
      <c r="R42" s="30" t="n"/>
      <c r="S42" s="30" t="n"/>
      <c r="T42" s="30" t="n"/>
      <c r="U42" s="30" t="n"/>
      <c r="V42" s="30" t="n"/>
      <c r="W42" s="30" t="n"/>
      <c r="X42" s="30" t="n"/>
      <c r="Y42" s="30" t="n"/>
      <c r="Z42" s="30" t="n"/>
      <c r="AA42" s="30" t="n"/>
      <c r="AB42" s="30" t="n"/>
      <c r="AC42" s="30" t="n"/>
      <c r="AD42" s="41" t="n"/>
      <c r="AE42" s="30" t="n"/>
      <c r="AF42" s="42">
        <f>IF($AA55="","",IF(LEFT(UPPER(TRIM($AA55)),8)="FELICITA","N/A",IF($AE55="","",IFERROR(VLOOKUP(UPPER(TRIM($AE55)),Config!$A$6:$D$8,2,FALSE),IFERROR(VLOOKUP(IF(LEFT(UPPER(TRIM($AE55)),5)="SUPER","SUPER SALUD",IF(LEFT(UPPER(TRIM($AE55)),8)="SECRETAR","SECRETARIA DE SALUD",IF(LEFT(UPPER(TRIM($AE55)),4)="SEDE","SEDE",UPPER(TRIM($AE55))))),Config!$A$6:$D$8,2,FALSE),"⚠")))))</f>
        <v/>
      </c>
      <c r="AG42" s="30">
        <f>IF($AA55="","",IF(LEFT(UPPER(TRIM($AA55)),8)="FELICITA","N/A",IF($AE55="","",IFERROR(VLOOKUP(UPPER(TRIM($AE55)),Config!$A$6:$D$8,3,FALSE),IFERROR(VLOOKUP(IF(LEFT(UPPER(TRIM($AE55)),5)="SUPER","SUPER SALUD",IF(LEFT(UPPER(TRIM($AE55)),8)="SECRETAR","SECRETARIA DE SALUD",IF(LEFT(UPPER(TRIM($AE55)),4)="SEDE","SEDE",UPPER(TRIM($AE55))))),Config!$A$6:$D$8,3,FALSE),"")))))</f>
        <v/>
      </c>
      <c r="AH42" s="39">
        <f>IF(OR($E55="",NOT(ISNUMBER($E55)),$AF55="",$AF55="N/A",NOT(ISNUMBER($AF55))),"",IF($AG55="Hábiles",WORKDAY(INT($E55),$AF55,Config!$F$6:$F$39),INT($E55)+$AF55))</f>
        <v/>
      </c>
      <c r="AI42" s="30">
        <f>IF($E55="","",IF(LEFT(UPPER(TRIM($AA55)),8)="FELICITA","⭐ Felicitación",IF(NOT(ISNUMBER($E55)),"⚠ Revisar fecha",IF(UPPER(TRIM($AK55))="RESPONDIDA - CERRADA","✅ Cerrada",IF($AE55="","⚠ Falta entidad",IF($AH55="","⚠ Revisar término",IF(TODAY()&gt;$AH55,"🔴 Vencida",IF($AH55-TODAY()&lt;=Config!$B$12,"🟡 Próxima a vencer","🟢 En término"))))))))</f>
        <v/>
      </c>
      <c r="AJ42" s="42">
        <f>IF(OR($E55="",NOT(ISNUMBER($E55))),"",IF(ISNUMBER($AS55),MAX(0,INT($AS55)-INT($E55)),MAX(0,TODAY()-INT($E55))))</f>
        <v/>
      </c>
      <c r="AK42" s="30" t="n"/>
      <c r="AL42" s="30" t="n"/>
      <c r="AM42" s="30" t="n"/>
      <c r="AN42" s="39" t="n"/>
      <c r="AO42" s="30" t="n"/>
      <c r="AP42" s="30" t="n"/>
      <c r="AQ42" s="39" t="n"/>
      <c r="AR42" s="30" t="n"/>
      <c r="AS42" s="39" t="n"/>
      <c r="AT42" s="30">
        <f>IF(OR($AS55="",NOT(ISNUMBER($AS55)),$AH55=""),"",IF(INT($AS55)&lt;=$AH55,"A tiempo","Fuera de término"))</f>
        <v/>
      </c>
      <c r="AU42" s="40" t="n"/>
      <c r="AV42" s="40" t="n"/>
      <c r="AW42" s="40" t="n"/>
      <c r="AX42" s="40" t="n"/>
      <c r="AY42" s="30" t="n"/>
      <c r="AZ42" s="30" t="n"/>
      <c r="BA42" s="30" t="n"/>
    </row>
    <row r="43" ht="15.75" customHeight="1" s="57">
      <c r="A43" s="29" t="n"/>
      <c r="B43" s="30" t="n"/>
      <c r="C43" s="39" t="n"/>
      <c r="D43" s="39" t="n"/>
      <c r="E43" s="39" t="n"/>
      <c r="F43" s="40" t="n"/>
      <c r="G43" s="30" t="n"/>
      <c r="H43" s="30" t="n"/>
      <c r="I43" s="30" t="n"/>
      <c r="J43" s="30" t="n"/>
      <c r="K43" s="30" t="n"/>
      <c r="L43" s="30" t="n"/>
      <c r="M43" s="30" t="n"/>
      <c r="N43" s="30" t="n"/>
      <c r="O43" s="30" t="n"/>
      <c r="P43" s="30" t="n"/>
      <c r="Q43" s="30" t="n"/>
      <c r="R43" s="30" t="n"/>
      <c r="S43" s="30" t="n"/>
      <c r="T43" s="30" t="n"/>
      <c r="U43" s="30" t="n"/>
      <c r="V43" s="30" t="n"/>
      <c r="W43" s="30" t="n"/>
      <c r="X43" s="30" t="n"/>
      <c r="Y43" s="30" t="n"/>
      <c r="Z43" s="30" t="n"/>
      <c r="AA43" s="30" t="n"/>
      <c r="AB43" s="30" t="n"/>
      <c r="AC43" s="30" t="n"/>
      <c r="AD43" s="41" t="n"/>
      <c r="AE43" s="30" t="n"/>
      <c r="AF43" s="42">
        <f>IF($AA56="","",IF(LEFT(UPPER(TRIM($AA56)),8)="FELICITA","N/A",IF($AE56="","",IFERROR(VLOOKUP(UPPER(TRIM($AE56)),Config!$A$6:$D$8,2,FALSE),IFERROR(VLOOKUP(IF(LEFT(UPPER(TRIM($AE56)),5)="SUPER","SUPER SALUD",IF(LEFT(UPPER(TRIM($AE56)),8)="SECRETAR","SECRETARIA DE SALUD",IF(LEFT(UPPER(TRIM($AE56)),4)="SEDE","SEDE",UPPER(TRIM($AE56))))),Config!$A$6:$D$8,2,FALSE),"⚠")))))</f>
        <v/>
      </c>
      <c r="AG43" s="30">
        <f>IF($AA56="","",IF(LEFT(UPPER(TRIM($AA56)),8)="FELICITA","N/A",IF($AE56="","",IFERROR(VLOOKUP(UPPER(TRIM($AE56)),Config!$A$6:$D$8,3,FALSE),IFERROR(VLOOKUP(IF(LEFT(UPPER(TRIM($AE56)),5)="SUPER","SUPER SALUD",IF(LEFT(UPPER(TRIM($AE56)),8)="SECRETAR","SECRETARIA DE SALUD",IF(LEFT(UPPER(TRIM($AE56)),4)="SEDE","SEDE",UPPER(TRIM($AE56))))),Config!$A$6:$D$8,3,FALSE),"")))))</f>
        <v/>
      </c>
      <c r="AH43" s="39">
        <f>IF(OR($E56="",NOT(ISNUMBER($E56)),$AF56="",$AF56="N/A",NOT(ISNUMBER($AF56))),"",IF($AG56="Hábiles",WORKDAY(INT($E56),$AF56,Config!$F$6:$F$39),INT($E56)+$AF56))</f>
        <v/>
      </c>
      <c r="AI43" s="30">
        <f>IF($E56="","",IF(LEFT(UPPER(TRIM($AA56)),8)="FELICITA","⭐ Felicitación",IF(NOT(ISNUMBER($E56)),"⚠ Revisar fecha",IF(UPPER(TRIM($AK56))="RESPONDIDA - CERRADA","✅ Cerrada",IF($AE56="","⚠ Falta entidad",IF($AH56="","⚠ Revisar término",IF(TODAY()&gt;$AH56,"🔴 Vencida",IF($AH56-TODAY()&lt;=Config!$B$12,"🟡 Próxima a vencer","🟢 En término"))))))))</f>
        <v/>
      </c>
      <c r="AJ43" s="42">
        <f>IF(OR($E56="",NOT(ISNUMBER($E56))),"",IF(ISNUMBER($AS56),MAX(0,INT($AS56)-INT($E56)),MAX(0,TODAY()-INT($E56))))</f>
        <v/>
      </c>
      <c r="AK43" s="30" t="n"/>
      <c r="AL43" s="30" t="n"/>
      <c r="AM43" s="30" t="n"/>
      <c r="AN43" s="39" t="n"/>
      <c r="AO43" s="30" t="n"/>
      <c r="AP43" s="30" t="n"/>
      <c r="AQ43" s="39" t="n"/>
      <c r="AR43" s="30" t="n"/>
      <c r="AS43" s="39" t="n"/>
      <c r="AT43" s="30">
        <f>IF(OR($AS56="",NOT(ISNUMBER($AS56)),$AH56=""),"",IF(INT($AS56)&lt;=$AH56,"A tiempo","Fuera de término"))</f>
        <v/>
      </c>
      <c r="AU43" s="40" t="n"/>
      <c r="AV43" s="40" t="n"/>
      <c r="AW43" s="40" t="n"/>
      <c r="AX43" s="40" t="n"/>
      <c r="AY43" s="30" t="n"/>
      <c r="AZ43" s="30" t="n"/>
      <c r="BA43" s="30" t="n"/>
    </row>
    <row r="44" ht="15.75" customHeight="1" s="57">
      <c r="A44" s="29" t="n"/>
      <c r="B44" s="30" t="n"/>
      <c r="C44" s="39" t="n"/>
      <c r="D44" s="39" t="n"/>
      <c r="E44" s="39" t="n"/>
      <c r="F44" s="40" t="n"/>
      <c r="G44" s="30" t="n"/>
      <c r="H44" s="30" t="n"/>
      <c r="I44" s="30" t="n"/>
      <c r="J44" s="30" t="n"/>
      <c r="K44" s="30" t="n"/>
      <c r="L44" s="30" t="n"/>
      <c r="M44" s="30" t="n"/>
      <c r="N44" s="30" t="n"/>
      <c r="O44" s="30" t="n"/>
      <c r="P44" s="30" t="n"/>
      <c r="Q44" s="30" t="n"/>
      <c r="R44" s="30" t="n"/>
      <c r="S44" s="30" t="n"/>
      <c r="T44" s="30" t="n"/>
      <c r="U44" s="30" t="n"/>
      <c r="V44" s="30" t="n"/>
      <c r="W44" s="30" t="n"/>
      <c r="X44" s="30" t="n"/>
      <c r="Y44" s="30" t="n"/>
      <c r="Z44" s="30" t="n"/>
      <c r="AA44" s="30" t="n"/>
      <c r="AB44" s="30" t="n"/>
      <c r="AC44" s="30" t="n"/>
      <c r="AD44" s="41" t="n"/>
      <c r="AE44" s="30" t="n"/>
      <c r="AF44" s="42">
        <f>IF($AA57="","",IF(LEFT(UPPER(TRIM($AA57)),8)="FELICITA","N/A",IF($AE57="","",IFERROR(VLOOKUP(UPPER(TRIM($AE57)),Config!$A$6:$D$8,2,FALSE),IFERROR(VLOOKUP(IF(LEFT(UPPER(TRIM($AE57)),5)="SUPER","SUPER SALUD",IF(LEFT(UPPER(TRIM($AE57)),8)="SECRETAR","SECRETARIA DE SALUD",IF(LEFT(UPPER(TRIM($AE57)),4)="SEDE","SEDE",UPPER(TRIM($AE57))))),Config!$A$6:$D$8,2,FALSE),"⚠")))))</f>
        <v/>
      </c>
      <c r="AG44" s="30">
        <f>IF($AA57="","",IF(LEFT(UPPER(TRIM($AA57)),8)="FELICITA","N/A",IF($AE57="","",IFERROR(VLOOKUP(UPPER(TRIM($AE57)),Config!$A$6:$D$8,3,FALSE),IFERROR(VLOOKUP(IF(LEFT(UPPER(TRIM($AE57)),5)="SUPER","SUPER SALUD",IF(LEFT(UPPER(TRIM($AE57)),8)="SECRETAR","SECRETARIA DE SALUD",IF(LEFT(UPPER(TRIM($AE57)),4)="SEDE","SEDE",UPPER(TRIM($AE57))))),Config!$A$6:$D$8,3,FALSE),"")))))</f>
        <v/>
      </c>
      <c r="AH44" s="39">
        <f>IF(OR($E57="",NOT(ISNUMBER($E57)),$AF57="",$AF57="N/A",NOT(ISNUMBER($AF57))),"",IF($AG57="Hábiles",WORKDAY(INT($E57),$AF57,Config!$F$6:$F$39),INT($E57)+$AF57))</f>
        <v/>
      </c>
      <c r="AI44" s="30">
        <f>IF($E57="","",IF(LEFT(UPPER(TRIM($AA57)),8)="FELICITA","⭐ Felicitación",IF(NOT(ISNUMBER($E57)),"⚠ Revisar fecha",IF(UPPER(TRIM($AK57))="RESPONDIDA - CERRADA","✅ Cerrada",IF($AE57="","⚠ Falta entidad",IF($AH57="","⚠ Revisar término",IF(TODAY()&gt;$AH57,"🔴 Vencida",IF($AH57-TODAY()&lt;=Config!$B$12,"🟡 Próxima a vencer","🟢 En término"))))))))</f>
        <v/>
      </c>
      <c r="AJ44" s="42">
        <f>IF(OR($E57="",NOT(ISNUMBER($E57))),"",IF(ISNUMBER($AS57),MAX(0,INT($AS57)-INT($E57)),MAX(0,TODAY()-INT($E57))))</f>
        <v/>
      </c>
      <c r="AK44" s="30" t="n"/>
      <c r="AL44" s="30" t="n"/>
      <c r="AM44" s="30" t="n"/>
      <c r="AN44" s="39" t="n"/>
      <c r="AO44" s="30" t="n"/>
      <c r="AP44" s="30" t="n"/>
      <c r="AQ44" s="39" t="n"/>
      <c r="AR44" s="30" t="n"/>
      <c r="AS44" s="39" t="n"/>
      <c r="AT44" s="30">
        <f>IF(OR($AS57="",NOT(ISNUMBER($AS57)),$AH57=""),"",IF(INT($AS57)&lt;=$AH57,"A tiempo","Fuera de término"))</f>
        <v/>
      </c>
      <c r="AU44" s="40" t="n"/>
      <c r="AV44" s="40" t="n"/>
      <c r="AW44" s="40" t="n"/>
      <c r="AX44" s="40" t="n"/>
      <c r="AY44" s="30" t="n"/>
      <c r="AZ44" s="30" t="n"/>
      <c r="BA44" s="30" t="n"/>
    </row>
    <row r="45" ht="15.75" customHeight="1" s="57">
      <c r="A45" s="29" t="n"/>
      <c r="B45" s="30" t="n"/>
      <c r="C45" s="39" t="n"/>
      <c r="D45" s="39" t="n"/>
      <c r="E45" s="39" t="n"/>
      <c r="F45" s="40" t="n"/>
      <c r="G45" s="30" t="n"/>
      <c r="H45" s="30" t="n"/>
      <c r="I45" s="30" t="n"/>
      <c r="J45" s="30" t="n"/>
      <c r="K45" s="30" t="n"/>
      <c r="L45" s="30" t="n"/>
      <c r="M45" s="30" t="n"/>
      <c r="N45" s="30" t="n"/>
      <c r="O45" s="30" t="n"/>
      <c r="P45" s="30" t="n"/>
      <c r="Q45" s="30" t="n"/>
      <c r="R45" s="30" t="n"/>
      <c r="S45" s="30" t="n"/>
      <c r="T45" s="30" t="n"/>
      <c r="U45" s="30" t="n"/>
      <c r="V45" s="30" t="n"/>
      <c r="W45" s="30" t="n"/>
      <c r="X45" s="30" t="n"/>
      <c r="Y45" s="30" t="n"/>
      <c r="Z45" s="30" t="n"/>
      <c r="AA45" s="30" t="n"/>
      <c r="AB45" s="30" t="n"/>
      <c r="AC45" s="30" t="n"/>
      <c r="AD45" s="41" t="n"/>
      <c r="AE45" s="30" t="n"/>
      <c r="AF45" s="42">
        <f>IF($AA58="","",IF(LEFT(UPPER(TRIM($AA58)),8)="FELICITA","N/A",IF($AE58="","",IFERROR(VLOOKUP(UPPER(TRIM($AE58)),Config!$A$6:$D$8,2,FALSE),IFERROR(VLOOKUP(IF(LEFT(UPPER(TRIM($AE58)),5)="SUPER","SUPER SALUD",IF(LEFT(UPPER(TRIM($AE58)),8)="SECRETAR","SECRETARIA DE SALUD",IF(LEFT(UPPER(TRIM($AE58)),4)="SEDE","SEDE",UPPER(TRIM($AE58))))),Config!$A$6:$D$8,2,FALSE),"⚠")))))</f>
        <v/>
      </c>
      <c r="AG45" s="30">
        <f>IF($AA58="","",IF(LEFT(UPPER(TRIM($AA58)),8)="FELICITA","N/A",IF($AE58="","",IFERROR(VLOOKUP(UPPER(TRIM($AE58)),Config!$A$6:$D$8,3,FALSE),IFERROR(VLOOKUP(IF(LEFT(UPPER(TRIM($AE58)),5)="SUPER","SUPER SALUD",IF(LEFT(UPPER(TRIM($AE58)),8)="SECRETAR","SECRETARIA DE SALUD",IF(LEFT(UPPER(TRIM($AE58)),4)="SEDE","SEDE",UPPER(TRIM($AE58))))),Config!$A$6:$D$8,3,FALSE),"")))))</f>
        <v/>
      </c>
      <c r="AH45" s="39">
        <f>IF(OR($E58="",NOT(ISNUMBER($E58)),$AF58="",$AF58="N/A",NOT(ISNUMBER($AF58))),"",IF($AG58="Hábiles",WORKDAY(INT($E58),$AF58,Config!$F$6:$F$39),INT($E58)+$AF58))</f>
        <v/>
      </c>
      <c r="AI45" s="30">
        <f>IF($E58="","",IF(LEFT(UPPER(TRIM($AA58)),8)="FELICITA","⭐ Felicitación",IF(NOT(ISNUMBER($E58)),"⚠ Revisar fecha",IF(UPPER(TRIM($AK58))="RESPONDIDA - CERRADA","✅ Cerrada",IF($AE58="","⚠ Falta entidad",IF($AH58="","⚠ Revisar término",IF(TODAY()&gt;$AH58,"🔴 Vencida",IF($AH58-TODAY()&lt;=Config!$B$12,"🟡 Próxima a vencer","🟢 En término"))))))))</f>
        <v/>
      </c>
      <c r="AJ45" s="42">
        <f>IF(OR($E58="",NOT(ISNUMBER($E58))),"",IF(ISNUMBER($AS58),MAX(0,INT($AS58)-INT($E58)),MAX(0,TODAY()-INT($E58))))</f>
        <v/>
      </c>
      <c r="AK45" s="30" t="n"/>
      <c r="AL45" s="30" t="n"/>
      <c r="AM45" s="30" t="n"/>
      <c r="AN45" s="39" t="n"/>
      <c r="AO45" s="30" t="n"/>
      <c r="AP45" s="30" t="n"/>
      <c r="AQ45" s="39" t="n"/>
      <c r="AR45" s="30" t="n"/>
      <c r="AS45" s="39" t="n"/>
      <c r="AT45" s="30">
        <f>IF(OR($AS58="",NOT(ISNUMBER($AS58)),$AH58=""),"",IF(INT($AS58)&lt;=$AH58,"A tiempo","Fuera de término"))</f>
        <v/>
      </c>
      <c r="AU45" s="40" t="n"/>
      <c r="AV45" s="40" t="n"/>
      <c r="AW45" s="40" t="n"/>
      <c r="AX45" s="40" t="n"/>
      <c r="AY45" s="30" t="n"/>
      <c r="AZ45" s="30" t="n"/>
      <c r="BA45" s="30" t="n"/>
    </row>
    <row r="46" ht="15.75" customHeight="1" s="57">
      <c r="A46" s="29" t="n"/>
      <c r="B46" s="30" t="n"/>
      <c r="C46" s="39" t="n"/>
      <c r="D46" s="39" t="n"/>
      <c r="E46" s="39" t="n"/>
      <c r="F46" s="40" t="n"/>
      <c r="G46" s="30" t="n"/>
      <c r="H46" s="30" t="n"/>
      <c r="I46" s="30" t="n"/>
      <c r="J46" s="30" t="n"/>
      <c r="K46" s="30" t="n"/>
      <c r="L46" s="30" t="n"/>
      <c r="M46" s="30" t="n"/>
      <c r="N46" s="30" t="n"/>
      <c r="O46" s="30" t="n"/>
      <c r="P46" s="30" t="n"/>
      <c r="Q46" s="30" t="n"/>
      <c r="R46" s="30" t="n"/>
      <c r="S46" s="30" t="n"/>
      <c r="T46" s="30" t="n"/>
      <c r="U46" s="30" t="n"/>
      <c r="V46" s="30" t="n"/>
      <c r="W46" s="30" t="n"/>
      <c r="X46" s="30" t="n"/>
      <c r="Y46" s="30" t="n"/>
      <c r="Z46" s="30" t="n"/>
      <c r="AA46" s="30" t="n"/>
      <c r="AB46" s="30" t="n"/>
      <c r="AC46" s="30" t="n"/>
      <c r="AD46" s="41" t="n"/>
      <c r="AE46" s="30" t="n"/>
      <c r="AF46" s="42">
        <f>IF($AA59="","",IF(LEFT(UPPER(TRIM($AA59)),8)="FELICITA","N/A",IF($AE59="","",IFERROR(VLOOKUP(UPPER(TRIM($AE59)),Config!$A$6:$D$8,2,FALSE),IFERROR(VLOOKUP(IF(LEFT(UPPER(TRIM($AE59)),5)="SUPER","SUPER SALUD",IF(LEFT(UPPER(TRIM($AE59)),8)="SECRETAR","SECRETARIA DE SALUD",IF(LEFT(UPPER(TRIM($AE59)),4)="SEDE","SEDE",UPPER(TRIM($AE59))))),Config!$A$6:$D$8,2,FALSE),"⚠")))))</f>
        <v/>
      </c>
      <c r="AG46" s="30">
        <f>IF($AA59="","",IF(LEFT(UPPER(TRIM($AA59)),8)="FELICITA","N/A",IF($AE59="","",IFERROR(VLOOKUP(UPPER(TRIM($AE59)),Config!$A$6:$D$8,3,FALSE),IFERROR(VLOOKUP(IF(LEFT(UPPER(TRIM($AE59)),5)="SUPER","SUPER SALUD",IF(LEFT(UPPER(TRIM($AE59)),8)="SECRETAR","SECRETARIA DE SALUD",IF(LEFT(UPPER(TRIM($AE59)),4)="SEDE","SEDE",UPPER(TRIM($AE59))))),Config!$A$6:$D$8,3,FALSE),"")))))</f>
        <v/>
      </c>
      <c r="AH46" s="39">
        <f>IF(OR($E59="",NOT(ISNUMBER($E59)),$AF59="",$AF59="N/A",NOT(ISNUMBER($AF59))),"",IF($AG59="Hábiles",WORKDAY(INT($E59),$AF59,Config!$F$6:$F$39),INT($E59)+$AF59))</f>
        <v/>
      </c>
      <c r="AI46" s="30">
        <f>IF($E59="","",IF(LEFT(UPPER(TRIM($AA59)),8)="FELICITA","⭐ Felicitación",IF(NOT(ISNUMBER($E59)),"⚠ Revisar fecha",IF(UPPER(TRIM($AK59))="RESPONDIDA - CERRADA","✅ Cerrada",IF($AE59="","⚠ Falta entidad",IF($AH59="","⚠ Revisar término",IF(TODAY()&gt;$AH59,"🔴 Vencida",IF($AH59-TODAY()&lt;=Config!$B$12,"🟡 Próxima a vencer","🟢 En término"))))))))</f>
        <v/>
      </c>
      <c r="AJ46" s="42">
        <f>IF(OR($E59="",NOT(ISNUMBER($E59))),"",IF(ISNUMBER($AS59),MAX(0,INT($AS59)-INT($E59)),MAX(0,TODAY()-INT($E59))))</f>
        <v/>
      </c>
      <c r="AK46" s="30" t="n"/>
      <c r="AL46" s="30" t="n"/>
      <c r="AM46" s="30" t="n"/>
      <c r="AN46" s="39" t="n"/>
      <c r="AO46" s="30" t="n"/>
      <c r="AP46" s="30" t="n"/>
      <c r="AQ46" s="39" t="n"/>
      <c r="AR46" s="30" t="n"/>
      <c r="AS46" s="39" t="n"/>
      <c r="AT46" s="30">
        <f>IF(OR($AS59="",NOT(ISNUMBER($AS59)),$AH59=""),"",IF(INT($AS59)&lt;=$AH59,"A tiempo","Fuera de término"))</f>
        <v/>
      </c>
      <c r="AU46" s="40" t="n"/>
      <c r="AV46" s="40" t="n"/>
      <c r="AW46" s="40" t="n"/>
      <c r="AX46" s="40" t="n"/>
      <c r="AY46" s="30" t="n"/>
      <c r="AZ46" s="30" t="n"/>
      <c r="BA46" s="30" t="n"/>
    </row>
    <row r="47" ht="15.75" customHeight="1" s="57">
      <c r="A47" s="29" t="n"/>
      <c r="B47" s="30" t="n"/>
      <c r="C47" s="39" t="n"/>
      <c r="D47" s="39" t="n"/>
      <c r="E47" s="39" t="n"/>
      <c r="F47" s="40" t="n"/>
      <c r="G47" s="30" t="n"/>
      <c r="H47" s="30" t="n"/>
      <c r="I47" s="30" t="n"/>
      <c r="J47" s="30" t="n"/>
      <c r="K47" s="30" t="n"/>
      <c r="L47" s="30" t="n"/>
      <c r="M47" s="30" t="n"/>
      <c r="N47" s="30" t="n"/>
      <c r="O47" s="30" t="n"/>
      <c r="P47" s="30" t="n"/>
      <c r="Q47" s="30" t="n"/>
      <c r="R47" s="30" t="n"/>
      <c r="S47" s="30" t="n"/>
      <c r="T47" s="30" t="n"/>
      <c r="U47" s="30" t="n"/>
      <c r="V47" s="30" t="n"/>
      <c r="W47" s="30" t="n"/>
      <c r="X47" s="30" t="n"/>
      <c r="Y47" s="30" t="n"/>
      <c r="Z47" s="30" t="n"/>
      <c r="AA47" s="30" t="n"/>
      <c r="AB47" s="30" t="n"/>
      <c r="AC47" s="30" t="n"/>
      <c r="AD47" s="41" t="n"/>
      <c r="AE47" s="30" t="n"/>
      <c r="AF47" s="42">
        <f>IF($AA60="","",IF(LEFT(UPPER(TRIM($AA60)),8)="FELICITA","N/A",IF($AE60="","",IFERROR(VLOOKUP(UPPER(TRIM($AE60)),Config!$A$6:$D$8,2,FALSE),IFERROR(VLOOKUP(IF(LEFT(UPPER(TRIM($AE60)),5)="SUPER","SUPER SALUD",IF(LEFT(UPPER(TRIM($AE60)),8)="SECRETAR","SECRETARIA DE SALUD",IF(LEFT(UPPER(TRIM($AE60)),4)="SEDE","SEDE",UPPER(TRIM($AE60))))),Config!$A$6:$D$8,2,FALSE),"⚠")))))</f>
        <v/>
      </c>
      <c r="AG47" s="30">
        <f>IF($AA60="","",IF(LEFT(UPPER(TRIM($AA60)),8)="FELICITA","N/A",IF($AE60="","",IFERROR(VLOOKUP(UPPER(TRIM($AE60)),Config!$A$6:$D$8,3,FALSE),IFERROR(VLOOKUP(IF(LEFT(UPPER(TRIM($AE60)),5)="SUPER","SUPER SALUD",IF(LEFT(UPPER(TRIM($AE60)),8)="SECRETAR","SECRETARIA DE SALUD",IF(LEFT(UPPER(TRIM($AE60)),4)="SEDE","SEDE",UPPER(TRIM($AE60))))),Config!$A$6:$D$8,3,FALSE),"")))))</f>
        <v/>
      </c>
      <c r="AH47" s="39">
        <f>IF(OR($E60="",NOT(ISNUMBER($E60)),$AF60="",$AF60="N/A",NOT(ISNUMBER($AF60))),"",IF($AG60="Hábiles",WORKDAY(INT($E60),$AF60,Config!$F$6:$F$39),INT($E60)+$AF60))</f>
        <v/>
      </c>
      <c r="AI47" s="30">
        <f>IF($E60="","",IF(LEFT(UPPER(TRIM($AA60)),8)="FELICITA","⭐ Felicitación",IF(NOT(ISNUMBER($E60)),"⚠ Revisar fecha",IF(UPPER(TRIM($AK60))="RESPONDIDA - CERRADA","✅ Cerrada",IF($AE60="","⚠ Falta entidad",IF($AH60="","⚠ Revisar término",IF(TODAY()&gt;$AH60,"🔴 Vencida",IF($AH60-TODAY()&lt;=Config!$B$12,"🟡 Próxima a vencer","🟢 En término"))))))))</f>
        <v/>
      </c>
      <c r="AJ47" s="42">
        <f>IF(OR($E60="",NOT(ISNUMBER($E60))),"",IF(ISNUMBER($AS60),MAX(0,INT($AS60)-INT($E60)),MAX(0,TODAY()-INT($E60))))</f>
        <v/>
      </c>
      <c r="AK47" s="30" t="n"/>
      <c r="AL47" s="30" t="n"/>
      <c r="AM47" s="30" t="n"/>
      <c r="AN47" s="39" t="n"/>
      <c r="AO47" s="30" t="n"/>
      <c r="AP47" s="30" t="n"/>
      <c r="AQ47" s="39" t="n"/>
      <c r="AR47" s="30" t="n"/>
      <c r="AS47" s="39" t="n"/>
      <c r="AT47" s="30">
        <f>IF(OR($AS60="",NOT(ISNUMBER($AS60)),$AH60=""),"",IF(INT($AS60)&lt;=$AH60,"A tiempo","Fuera de término"))</f>
        <v/>
      </c>
      <c r="AU47" s="40" t="n"/>
      <c r="AV47" s="40" t="n"/>
      <c r="AW47" s="40" t="n"/>
      <c r="AX47" s="40" t="n"/>
      <c r="AY47" s="30" t="n"/>
      <c r="AZ47" s="30" t="n"/>
      <c r="BA47" s="30" t="n"/>
    </row>
    <row r="48" ht="15.75" customHeight="1" s="57">
      <c r="A48" s="29" t="n"/>
      <c r="B48" s="30" t="n"/>
      <c r="C48" s="39" t="n"/>
      <c r="D48" s="39" t="n"/>
      <c r="E48" s="39" t="n"/>
      <c r="F48" s="40" t="n"/>
      <c r="G48" s="30" t="n"/>
      <c r="H48" s="30" t="n"/>
      <c r="I48" s="30" t="n"/>
      <c r="J48" s="30" t="n"/>
      <c r="K48" s="30" t="n"/>
      <c r="L48" s="30" t="n"/>
      <c r="M48" s="30" t="n"/>
      <c r="N48" s="30" t="n"/>
      <c r="O48" s="30" t="n"/>
      <c r="P48" s="30" t="n"/>
      <c r="Q48" s="30" t="n"/>
      <c r="R48" s="30" t="n"/>
      <c r="S48" s="30" t="n"/>
      <c r="T48" s="30" t="n"/>
      <c r="U48" s="30" t="n"/>
      <c r="V48" s="30" t="n"/>
      <c r="W48" s="30" t="n"/>
      <c r="X48" s="30" t="n"/>
      <c r="Y48" s="30" t="n"/>
      <c r="Z48" s="30" t="n"/>
      <c r="AA48" s="30" t="n"/>
      <c r="AB48" s="30" t="n"/>
      <c r="AC48" s="30" t="n"/>
      <c r="AD48" s="41" t="n"/>
      <c r="AE48" s="30" t="n"/>
      <c r="AF48" s="42">
        <f>IF($AA61="","",IF(LEFT(UPPER(TRIM($AA61)),8)="FELICITA","N/A",IF($AE61="","",IFERROR(VLOOKUP(UPPER(TRIM($AE61)),Config!$A$6:$D$8,2,FALSE),IFERROR(VLOOKUP(IF(LEFT(UPPER(TRIM($AE61)),5)="SUPER","SUPER SALUD",IF(LEFT(UPPER(TRIM($AE61)),8)="SECRETAR","SECRETARIA DE SALUD",IF(LEFT(UPPER(TRIM($AE61)),4)="SEDE","SEDE",UPPER(TRIM($AE61))))),Config!$A$6:$D$8,2,FALSE),"⚠")))))</f>
        <v/>
      </c>
      <c r="AG48" s="30">
        <f>IF($AA61="","",IF(LEFT(UPPER(TRIM($AA61)),8)="FELICITA","N/A",IF($AE61="","",IFERROR(VLOOKUP(UPPER(TRIM($AE61)),Config!$A$6:$D$8,3,FALSE),IFERROR(VLOOKUP(IF(LEFT(UPPER(TRIM($AE61)),5)="SUPER","SUPER SALUD",IF(LEFT(UPPER(TRIM($AE61)),8)="SECRETAR","SECRETARIA DE SALUD",IF(LEFT(UPPER(TRIM($AE61)),4)="SEDE","SEDE",UPPER(TRIM($AE61))))),Config!$A$6:$D$8,3,FALSE),"")))))</f>
        <v/>
      </c>
      <c r="AH48" s="39">
        <f>IF(OR($E61="",NOT(ISNUMBER($E61)),$AF61="",$AF61="N/A",NOT(ISNUMBER($AF61))),"",IF($AG61="Hábiles",WORKDAY(INT($E61),$AF61,Config!$F$6:$F$39),INT($E61)+$AF61))</f>
        <v/>
      </c>
      <c r="AI48" s="30">
        <f>IF($E61="","",IF(LEFT(UPPER(TRIM($AA61)),8)="FELICITA","⭐ Felicitación",IF(NOT(ISNUMBER($E61)),"⚠ Revisar fecha",IF(UPPER(TRIM($AK61))="RESPONDIDA - CERRADA","✅ Cerrada",IF($AE61="","⚠ Falta entidad",IF($AH61="","⚠ Revisar término",IF(TODAY()&gt;$AH61,"🔴 Vencida",IF($AH61-TODAY()&lt;=Config!$B$12,"🟡 Próxima a vencer","🟢 En término"))))))))</f>
        <v/>
      </c>
      <c r="AJ48" s="42">
        <f>IF(OR($E61="",NOT(ISNUMBER($E61))),"",IF(ISNUMBER($AS61),MAX(0,INT($AS61)-INT($E61)),MAX(0,TODAY()-INT($E61))))</f>
        <v/>
      </c>
      <c r="AK48" s="30" t="n"/>
      <c r="AL48" s="30" t="n"/>
      <c r="AM48" s="30" t="n"/>
      <c r="AN48" s="39" t="n"/>
      <c r="AO48" s="30" t="n"/>
      <c r="AP48" s="30" t="n"/>
      <c r="AQ48" s="39" t="n"/>
      <c r="AR48" s="30" t="n"/>
      <c r="AS48" s="39" t="n"/>
      <c r="AT48" s="30">
        <f>IF(OR($AS61="",NOT(ISNUMBER($AS61)),$AH61=""),"",IF(INT($AS61)&lt;=$AH61,"A tiempo","Fuera de término"))</f>
        <v/>
      </c>
      <c r="AU48" s="40" t="n"/>
      <c r="AV48" s="40" t="n"/>
      <c r="AW48" s="40" t="n"/>
      <c r="AX48" s="40" t="n"/>
      <c r="AY48" s="30" t="n"/>
      <c r="AZ48" s="30" t="n"/>
      <c r="BA48" s="30" t="n"/>
    </row>
    <row r="49" ht="15.75" customHeight="1" s="57">
      <c r="A49" s="29" t="n"/>
      <c r="B49" s="30" t="n"/>
      <c r="C49" s="39" t="n"/>
      <c r="D49" s="39" t="n"/>
      <c r="E49" s="39" t="n"/>
      <c r="F49" s="40" t="n"/>
      <c r="G49" s="30" t="n"/>
      <c r="H49" s="30" t="n"/>
      <c r="I49" s="30" t="n"/>
      <c r="J49" s="30" t="n"/>
      <c r="K49" s="30" t="n"/>
      <c r="L49" s="30" t="n"/>
      <c r="M49" s="30" t="n"/>
      <c r="N49" s="30" t="n"/>
      <c r="O49" s="30" t="n"/>
      <c r="P49" s="30" t="n"/>
      <c r="Q49" s="30" t="n"/>
      <c r="R49" s="30" t="n"/>
      <c r="S49" s="30" t="n"/>
      <c r="T49" s="30" t="n"/>
      <c r="U49" s="30" t="n"/>
      <c r="V49" s="30" t="n"/>
      <c r="W49" s="30" t="n"/>
      <c r="X49" s="30" t="n"/>
      <c r="Y49" s="30" t="n"/>
      <c r="Z49" s="30" t="n"/>
      <c r="AA49" s="30" t="n"/>
      <c r="AB49" s="30" t="n"/>
      <c r="AC49" s="30" t="n"/>
      <c r="AD49" s="41" t="n"/>
      <c r="AE49" s="30" t="n"/>
      <c r="AF49" s="42">
        <f>IF($AA62="","",IF(LEFT(UPPER(TRIM($AA62)),8)="FELICITA","N/A",IF($AE62="","",IFERROR(VLOOKUP(UPPER(TRIM($AE62)),Config!$A$6:$D$8,2,FALSE),IFERROR(VLOOKUP(IF(LEFT(UPPER(TRIM($AE62)),5)="SUPER","SUPER SALUD",IF(LEFT(UPPER(TRIM($AE62)),8)="SECRETAR","SECRETARIA DE SALUD",IF(LEFT(UPPER(TRIM($AE62)),4)="SEDE","SEDE",UPPER(TRIM($AE62))))),Config!$A$6:$D$8,2,FALSE),"⚠")))))</f>
        <v/>
      </c>
      <c r="AG49" s="30">
        <f>IF($AA62="","",IF(LEFT(UPPER(TRIM($AA62)),8)="FELICITA","N/A",IF($AE62="","",IFERROR(VLOOKUP(UPPER(TRIM($AE62)),Config!$A$6:$D$8,3,FALSE),IFERROR(VLOOKUP(IF(LEFT(UPPER(TRIM($AE62)),5)="SUPER","SUPER SALUD",IF(LEFT(UPPER(TRIM($AE62)),8)="SECRETAR","SECRETARIA DE SALUD",IF(LEFT(UPPER(TRIM($AE62)),4)="SEDE","SEDE",UPPER(TRIM($AE62))))),Config!$A$6:$D$8,3,FALSE),"")))))</f>
        <v/>
      </c>
      <c r="AH49" s="39">
        <f>IF(OR($E62="",NOT(ISNUMBER($E62)),$AF62="",$AF62="N/A",NOT(ISNUMBER($AF62))),"",IF($AG62="Hábiles",WORKDAY(INT($E62),$AF62,Config!$F$6:$F$39),INT($E62)+$AF62))</f>
        <v/>
      </c>
      <c r="AI49" s="30">
        <f>IF($E62="","",IF(LEFT(UPPER(TRIM($AA62)),8)="FELICITA","⭐ Felicitación",IF(NOT(ISNUMBER($E62)),"⚠ Revisar fecha",IF(UPPER(TRIM($AK62))="RESPONDIDA - CERRADA","✅ Cerrada",IF($AE62="","⚠ Falta entidad",IF($AH62="","⚠ Revisar término",IF(TODAY()&gt;$AH62,"🔴 Vencida",IF($AH62-TODAY()&lt;=Config!$B$12,"🟡 Próxima a vencer","🟢 En término"))))))))</f>
        <v/>
      </c>
      <c r="AJ49" s="42">
        <f>IF(OR($E62="",NOT(ISNUMBER($E62))),"",IF(ISNUMBER($AS62),MAX(0,INT($AS62)-INT($E62)),MAX(0,TODAY()-INT($E62))))</f>
        <v/>
      </c>
      <c r="AK49" s="30" t="n"/>
      <c r="AL49" s="30" t="n"/>
      <c r="AM49" s="30" t="n"/>
      <c r="AN49" s="39" t="n"/>
      <c r="AO49" s="30" t="n"/>
      <c r="AP49" s="30" t="n"/>
      <c r="AQ49" s="39" t="n"/>
      <c r="AR49" s="30" t="n"/>
      <c r="AS49" s="39" t="n"/>
      <c r="AT49" s="30">
        <f>IF(OR($AS62="",NOT(ISNUMBER($AS62)),$AH62=""),"",IF(INT($AS62)&lt;=$AH62,"A tiempo","Fuera de término"))</f>
        <v/>
      </c>
      <c r="AU49" s="40" t="n"/>
      <c r="AV49" s="40" t="n"/>
      <c r="AW49" s="40" t="n"/>
      <c r="AX49" s="40" t="n"/>
      <c r="AY49" s="30" t="n"/>
      <c r="AZ49" s="30" t="n"/>
      <c r="BA49" s="30" t="n"/>
    </row>
    <row r="50" ht="15.75" customHeight="1" s="57">
      <c r="A50" s="29" t="n"/>
      <c r="B50" s="30" t="n"/>
      <c r="C50" s="39" t="n"/>
      <c r="D50" s="39" t="n"/>
      <c r="E50" s="39" t="n"/>
      <c r="F50" s="40" t="n"/>
      <c r="G50" s="30" t="n"/>
      <c r="H50" s="30" t="n"/>
      <c r="I50" s="30" t="n"/>
      <c r="J50" s="30" t="n"/>
      <c r="K50" s="30" t="n"/>
      <c r="L50" s="30" t="n"/>
      <c r="M50" s="30" t="n"/>
      <c r="N50" s="30" t="n"/>
      <c r="O50" s="30" t="n"/>
      <c r="P50" s="30" t="n"/>
      <c r="Q50" s="30" t="n"/>
      <c r="R50" s="30" t="n"/>
      <c r="S50" s="30" t="n"/>
      <c r="T50" s="30" t="n"/>
      <c r="U50" s="30" t="n"/>
      <c r="V50" s="30" t="n"/>
      <c r="W50" s="30" t="n"/>
      <c r="X50" s="30" t="n"/>
      <c r="Y50" s="30" t="n"/>
      <c r="Z50" s="30" t="n"/>
      <c r="AA50" s="30" t="n"/>
      <c r="AB50" s="30" t="n"/>
      <c r="AC50" s="30" t="n"/>
      <c r="AD50" s="41" t="n"/>
      <c r="AE50" s="30" t="n"/>
      <c r="AF50" s="42">
        <f>IF($AA63="","",IF(LEFT(UPPER(TRIM($AA63)),8)="FELICITA","N/A",IF($AE63="","",IFERROR(VLOOKUP(UPPER(TRIM($AE63)),Config!$A$6:$D$8,2,FALSE),IFERROR(VLOOKUP(IF(LEFT(UPPER(TRIM($AE63)),5)="SUPER","SUPER SALUD",IF(LEFT(UPPER(TRIM($AE63)),8)="SECRETAR","SECRETARIA DE SALUD",IF(LEFT(UPPER(TRIM($AE63)),4)="SEDE","SEDE",UPPER(TRIM($AE63))))),Config!$A$6:$D$8,2,FALSE),"⚠")))))</f>
        <v/>
      </c>
      <c r="AG50" s="30">
        <f>IF($AA63="","",IF(LEFT(UPPER(TRIM($AA63)),8)="FELICITA","N/A",IF($AE63="","",IFERROR(VLOOKUP(UPPER(TRIM($AE63)),Config!$A$6:$D$8,3,FALSE),IFERROR(VLOOKUP(IF(LEFT(UPPER(TRIM($AE63)),5)="SUPER","SUPER SALUD",IF(LEFT(UPPER(TRIM($AE63)),8)="SECRETAR","SECRETARIA DE SALUD",IF(LEFT(UPPER(TRIM($AE63)),4)="SEDE","SEDE",UPPER(TRIM($AE63))))),Config!$A$6:$D$8,3,FALSE),"")))))</f>
        <v/>
      </c>
      <c r="AH50" s="39">
        <f>IF(OR($E63="",NOT(ISNUMBER($E63)),$AF63="",$AF63="N/A",NOT(ISNUMBER($AF63))),"",IF($AG63="Hábiles",WORKDAY(INT($E63),$AF63,Config!$F$6:$F$39),INT($E63)+$AF63))</f>
        <v/>
      </c>
      <c r="AI50" s="30">
        <f>IF($E63="","",IF(LEFT(UPPER(TRIM($AA63)),8)="FELICITA","⭐ Felicitación",IF(NOT(ISNUMBER($E63)),"⚠ Revisar fecha",IF(UPPER(TRIM($AK63))="RESPONDIDA - CERRADA","✅ Cerrada",IF($AE63="","⚠ Falta entidad",IF($AH63="","⚠ Revisar término",IF(TODAY()&gt;$AH63,"🔴 Vencida",IF($AH63-TODAY()&lt;=Config!$B$12,"🟡 Próxima a vencer","🟢 En término"))))))))</f>
        <v/>
      </c>
      <c r="AJ50" s="42">
        <f>IF(OR($E63="",NOT(ISNUMBER($E63))),"",IF(ISNUMBER($AS63),MAX(0,INT($AS63)-INT($E63)),MAX(0,TODAY()-INT($E63))))</f>
        <v/>
      </c>
      <c r="AK50" s="30" t="n"/>
      <c r="AL50" s="30" t="n"/>
      <c r="AM50" s="30" t="n"/>
      <c r="AN50" s="39" t="n"/>
      <c r="AO50" s="30" t="n"/>
      <c r="AP50" s="30" t="n"/>
      <c r="AQ50" s="39" t="n"/>
      <c r="AR50" s="30" t="n"/>
      <c r="AS50" s="39" t="n"/>
      <c r="AT50" s="30">
        <f>IF(OR($AS63="",NOT(ISNUMBER($AS63)),$AH63=""),"",IF(INT($AS63)&lt;=$AH63,"A tiempo","Fuera de término"))</f>
        <v/>
      </c>
      <c r="AU50" s="40" t="n"/>
      <c r="AV50" s="40" t="n"/>
      <c r="AW50" s="40" t="n"/>
      <c r="AX50" s="40" t="n"/>
      <c r="AY50" s="30" t="n"/>
      <c r="AZ50" s="30" t="n"/>
      <c r="BA50" s="30" t="n"/>
    </row>
    <row r="51" ht="15.75" customHeight="1" s="57">
      <c r="A51" s="29" t="n"/>
      <c r="B51" s="30" t="n"/>
      <c r="C51" s="39" t="n"/>
      <c r="D51" s="39" t="n"/>
      <c r="E51" s="39" t="n"/>
      <c r="F51" s="40" t="n"/>
      <c r="G51" s="30" t="n"/>
      <c r="H51" s="30" t="n"/>
      <c r="I51" s="30" t="n"/>
      <c r="J51" s="30" t="n"/>
      <c r="K51" s="30" t="n"/>
      <c r="L51" s="30" t="n"/>
      <c r="M51" s="30" t="n"/>
      <c r="N51" s="30" t="n"/>
      <c r="O51" s="30" t="n"/>
      <c r="P51" s="30" t="n"/>
      <c r="Q51" s="30" t="n"/>
      <c r="R51" s="30" t="n"/>
      <c r="S51" s="30" t="n"/>
      <c r="T51" s="30" t="n"/>
      <c r="U51" s="30" t="n"/>
      <c r="V51" s="30" t="n"/>
      <c r="W51" s="30" t="n"/>
      <c r="X51" s="30" t="n"/>
      <c r="Y51" s="30" t="n"/>
      <c r="Z51" s="30" t="n"/>
      <c r="AA51" s="30" t="n"/>
      <c r="AB51" s="30" t="n"/>
      <c r="AC51" s="30" t="n"/>
      <c r="AD51" s="41" t="n"/>
      <c r="AE51" s="30" t="n"/>
      <c r="AF51" s="42">
        <f>IF($AA64="","",IF(LEFT(UPPER(TRIM($AA64)),8)="FELICITA","N/A",IF($AE64="","",IFERROR(VLOOKUP(UPPER(TRIM($AE64)),Config!$A$6:$D$8,2,FALSE),IFERROR(VLOOKUP(IF(LEFT(UPPER(TRIM($AE64)),5)="SUPER","SUPER SALUD",IF(LEFT(UPPER(TRIM($AE64)),8)="SECRETAR","SECRETARIA DE SALUD",IF(LEFT(UPPER(TRIM($AE64)),4)="SEDE","SEDE",UPPER(TRIM($AE64))))),Config!$A$6:$D$8,2,FALSE),"⚠")))))</f>
        <v/>
      </c>
      <c r="AG51" s="30">
        <f>IF($AA64="","",IF(LEFT(UPPER(TRIM($AA64)),8)="FELICITA","N/A",IF($AE64="","",IFERROR(VLOOKUP(UPPER(TRIM($AE64)),Config!$A$6:$D$8,3,FALSE),IFERROR(VLOOKUP(IF(LEFT(UPPER(TRIM($AE64)),5)="SUPER","SUPER SALUD",IF(LEFT(UPPER(TRIM($AE64)),8)="SECRETAR","SECRETARIA DE SALUD",IF(LEFT(UPPER(TRIM($AE64)),4)="SEDE","SEDE",UPPER(TRIM($AE64))))),Config!$A$6:$D$8,3,FALSE),"")))))</f>
        <v/>
      </c>
      <c r="AH51" s="39">
        <f>IF(OR($E64="",NOT(ISNUMBER($E64)),$AF64="",$AF64="N/A",NOT(ISNUMBER($AF64))),"",IF($AG64="Hábiles",WORKDAY(INT($E64),$AF64,Config!$F$6:$F$39),INT($E64)+$AF64))</f>
        <v/>
      </c>
      <c r="AI51" s="30">
        <f>IF($E64="","",IF(LEFT(UPPER(TRIM($AA64)),8)="FELICITA","⭐ Felicitación",IF(NOT(ISNUMBER($E64)),"⚠ Revisar fecha",IF(UPPER(TRIM($AK64))="RESPONDIDA - CERRADA","✅ Cerrada",IF($AE64="","⚠ Falta entidad",IF($AH64="","⚠ Revisar término",IF(TODAY()&gt;$AH64,"🔴 Vencida",IF($AH64-TODAY()&lt;=Config!$B$12,"🟡 Próxima a vencer","🟢 En término"))))))))</f>
        <v/>
      </c>
      <c r="AJ51" s="42">
        <f>IF(OR($E64="",NOT(ISNUMBER($E64))),"",IF(ISNUMBER($AS64),MAX(0,INT($AS64)-INT($E64)),MAX(0,TODAY()-INT($E64))))</f>
        <v/>
      </c>
      <c r="AK51" s="30" t="n"/>
      <c r="AL51" s="30" t="n"/>
      <c r="AM51" s="30" t="n"/>
      <c r="AN51" s="39" t="n"/>
      <c r="AO51" s="30" t="n"/>
      <c r="AP51" s="30" t="n"/>
      <c r="AQ51" s="39" t="n"/>
      <c r="AR51" s="30" t="n"/>
      <c r="AS51" s="39" t="n"/>
      <c r="AT51" s="30">
        <f>IF(OR($AS64="",NOT(ISNUMBER($AS64)),$AH64=""),"",IF(INT($AS64)&lt;=$AH64,"A tiempo","Fuera de término"))</f>
        <v/>
      </c>
      <c r="AU51" s="40" t="n"/>
      <c r="AV51" s="40" t="n"/>
      <c r="AW51" s="40" t="n"/>
      <c r="AX51" s="40" t="n"/>
      <c r="AY51" s="30" t="n"/>
      <c r="AZ51" s="30" t="n"/>
      <c r="BA51" s="30" t="n"/>
    </row>
    <row r="52" ht="15.75" customHeight="1" s="57">
      <c r="A52" s="29" t="n"/>
      <c r="B52" s="30" t="n"/>
      <c r="C52" s="39" t="n"/>
      <c r="D52" s="39" t="n"/>
      <c r="E52" s="39" t="n"/>
      <c r="F52" s="40" t="n"/>
      <c r="G52" s="30" t="n"/>
      <c r="H52" s="30" t="n"/>
      <c r="I52" s="30" t="n"/>
      <c r="J52" s="30" t="n"/>
      <c r="K52" s="30" t="n"/>
      <c r="L52" s="30" t="n"/>
      <c r="M52" s="30" t="n"/>
      <c r="N52" s="30" t="n"/>
      <c r="O52" s="30" t="n"/>
      <c r="P52" s="30" t="n"/>
      <c r="Q52" s="30" t="n"/>
      <c r="R52" s="30" t="n"/>
      <c r="S52" s="30" t="n"/>
      <c r="T52" s="30" t="n"/>
      <c r="U52" s="30" t="n"/>
      <c r="V52" s="30" t="n"/>
      <c r="W52" s="30" t="n"/>
      <c r="X52" s="30" t="n"/>
      <c r="Y52" s="30" t="n"/>
      <c r="Z52" s="30" t="n"/>
      <c r="AA52" s="30" t="n"/>
      <c r="AB52" s="30" t="n"/>
      <c r="AC52" s="30" t="n"/>
      <c r="AD52" s="41" t="n"/>
      <c r="AE52" s="30" t="n"/>
      <c r="AF52" s="42">
        <f>IF($AA65="","",IF(LEFT(UPPER(TRIM($AA65)),8)="FELICITA","N/A",IF($AE65="","",IFERROR(VLOOKUP(UPPER(TRIM($AE65)),Config!$A$6:$D$8,2,FALSE),IFERROR(VLOOKUP(IF(LEFT(UPPER(TRIM($AE65)),5)="SUPER","SUPER SALUD",IF(LEFT(UPPER(TRIM($AE65)),8)="SECRETAR","SECRETARIA DE SALUD",IF(LEFT(UPPER(TRIM($AE65)),4)="SEDE","SEDE",UPPER(TRIM($AE65))))),Config!$A$6:$D$8,2,FALSE),"⚠")))))</f>
        <v/>
      </c>
      <c r="AG52" s="30">
        <f>IF($AA65="","",IF(LEFT(UPPER(TRIM($AA65)),8)="FELICITA","N/A",IF($AE65="","",IFERROR(VLOOKUP(UPPER(TRIM($AE65)),Config!$A$6:$D$8,3,FALSE),IFERROR(VLOOKUP(IF(LEFT(UPPER(TRIM($AE65)),5)="SUPER","SUPER SALUD",IF(LEFT(UPPER(TRIM($AE65)),8)="SECRETAR","SECRETARIA DE SALUD",IF(LEFT(UPPER(TRIM($AE65)),4)="SEDE","SEDE",UPPER(TRIM($AE65))))),Config!$A$6:$D$8,3,FALSE),"")))))</f>
        <v/>
      </c>
      <c r="AH52" s="39">
        <f>IF(OR($E65="",NOT(ISNUMBER($E65)),$AF65="",$AF65="N/A",NOT(ISNUMBER($AF65))),"",IF($AG65="Hábiles",WORKDAY(INT($E65),$AF65,Config!$F$6:$F$39),INT($E65)+$AF65))</f>
        <v/>
      </c>
      <c r="AI52" s="30">
        <f>IF($E65="","",IF(LEFT(UPPER(TRIM($AA65)),8)="FELICITA","⭐ Felicitación",IF(NOT(ISNUMBER($E65)),"⚠ Revisar fecha",IF(UPPER(TRIM($AK65))="RESPONDIDA - CERRADA","✅ Cerrada",IF($AE65="","⚠ Falta entidad",IF($AH65="","⚠ Revisar término",IF(TODAY()&gt;$AH65,"🔴 Vencida",IF($AH65-TODAY()&lt;=Config!$B$12,"🟡 Próxima a vencer","🟢 En término"))))))))</f>
        <v/>
      </c>
      <c r="AJ52" s="42">
        <f>IF(OR($E65="",NOT(ISNUMBER($E65))),"",IF(ISNUMBER($AS65),MAX(0,INT($AS65)-INT($E65)),MAX(0,TODAY()-INT($E65))))</f>
        <v/>
      </c>
      <c r="AK52" s="30" t="n"/>
      <c r="AL52" s="30" t="n"/>
      <c r="AM52" s="30" t="n"/>
      <c r="AN52" s="39" t="n"/>
      <c r="AO52" s="30" t="n"/>
      <c r="AP52" s="30" t="n"/>
      <c r="AQ52" s="39" t="n"/>
      <c r="AR52" s="30" t="n"/>
      <c r="AS52" s="39" t="n"/>
      <c r="AT52" s="30">
        <f>IF(OR($AS65="",NOT(ISNUMBER($AS65)),$AH65=""),"",IF(INT($AS65)&lt;=$AH65,"A tiempo","Fuera de término"))</f>
        <v/>
      </c>
      <c r="AU52" s="40" t="n"/>
      <c r="AV52" s="40" t="n"/>
      <c r="AW52" s="40" t="n"/>
      <c r="AX52" s="40" t="n"/>
      <c r="AY52" s="30" t="n"/>
      <c r="AZ52" s="30" t="n"/>
      <c r="BA52" s="30" t="n"/>
    </row>
    <row r="53" ht="15.75" customHeight="1" s="57">
      <c r="A53" s="29" t="n"/>
      <c r="B53" s="30" t="n"/>
      <c r="C53" s="39" t="n"/>
      <c r="D53" s="39" t="n"/>
      <c r="E53" s="39" t="n"/>
      <c r="F53" s="40" t="n"/>
      <c r="G53" s="30" t="n"/>
      <c r="H53" s="30" t="n"/>
      <c r="I53" s="30" t="n"/>
      <c r="J53" s="30" t="n"/>
      <c r="K53" s="30" t="n"/>
      <c r="L53" s="30" t="n"/>
      <c r="M53" s="30" t="n"/>
      <c r="N53" s="30" t="n"/>
      <c r="O53" s="30" t="n"/>
      <c r="P53" s="30" t="n"/>
      <c r="Q53" s="30" t="n"/>
      <c r="R53" s="30" t="n"/>
      <c r="S53" s="30" t="n"/>
      <c r="T53" s="30" t="n"/>
      <c r="U53" s="30" t="n"/>
      <c r="V53" s="30" t="n"/>
      <c r="W53" s="30" t="n"/>
      <c r="X53" s="30" t="n"/>
      <c r="Y53" s="30" t="n"/>
      <c r="Z53" s="30" t="n"/>
      <c r="AA53" s="30" t="n"/>
      <c r="AB53" s="30" t="n"/>
      <c r="AC53" s="30" t="n"/>
      <c r="AD53" s="41" t="n"/>
      <c r="AE53" s="30" t="n"/>
      <c r="AF53" s="42">
        <f>IF($AA66="","",IF(LEFT(UPPER(TRIM($AA66)),8)="FELICITA","N/A",IF($AE66="","",IFERROR(VLOOKUP(UPPER(TRIM($AE66)),Config!$A$6:$D$8,2,FALSE),IFERROR(VLOOKUP(IF(LEFT(UPPER(TRIM($AE66)),5)="SUPER","SUPER SALUD",IF(LEFT(UPPER(TRIM($AE66)),8)="SECRETAR","SECRETARIA DE SALUD",IF(LEFT(UPPER(TRIM($AE66)),4)="SEDE","SEDE",UPPER(TRIM($AE66))))),Config!$A$6:$D$8,2,FALSE),"⚠")))))</f>
        <v/>
      </c>
      <c r="AG53" s="30">
        <f>IF($AA66="","",IF(LEFT(UPPER(TRIM($AA66)),8)="FELICITA","N/A",IF($AE66="","",IFERROR(VLOOKUP(UPPER(TRIM($AE66)),Config!$A$6:$D$8,3,FALSE),IFERROR(VLOOKUP(IF(LEFT(UPPER(TRIM($AE66)),5)="SUPER","SUPER SALUD",IF(LEFT(UPPER(TRIM($AE66)),8)="SECRETAR","SECRETARIA DE SALUD",IF(LEFT(UPPER(TRIM($AE66)),4)="SEDE","SEDE",UPPER(TRIM($AE66))))),Config!$A$6:$D$8,3,FALSE),"")))))</f>
        <v/>
      </c>
      <c r="AH53" s="39">
        <f>IF(OR($E66="",NOT(ISNUMBER($E66)),$AF66="",$AF66="N/A",NOT(ISNUMBER($AF66))),"",IF($AG66="Hábiles",WORKDAY(INT($E66),$AF66,Config!$F$6:$F$39),INT($E66)+$AF66))</f>
        <v/>
      </c>
      <c r="AI53" s="30">
        <f>IF($E66="","",IF(LEFT(UPPER(TRIM($AA66)),8)="FELICITA","⭐ Felicitación",IF(NOT(ISNUMBER($E66)),"⚠ Revisar fecha",IF(UPPER(TRIM($AK66))="RESPONDIDA - CERRADA","✅ Cerrada",IF($AE66="","⚠ Falta entidad",IF($AH66="","⚠ Revisar término",IF(TODAY()&gt;$AH66,"🔴 Vencida",IF($AH66-TODAY()&lt;=Config!$B$12,"🟡 Próxima a vencer","🟢 En término"))))))))</f>
        <v/>
      </c>
      <c r="AJ53" s="42">
        <f>IF(OR($E66="",NOT(ISNUMBER($E66))),"",IF(ISNUMBER($AS66),MAX(0,INT($AS66)-INT($E66)),MAX(0,TODAY()-INT($E66))))</f>
        <v/>
      </c>
      <c r="AK53" s="30" t="n"/>
      <c r="AL53" s="30" t="n"/>
      <c r="AM53" s="30" t="n"/>
      <c r="AN53" s="39" t="n"/>
      <c r="AO53" s="30" t="n"/>
      <c r="AP53" s="30" t="n"/>
      <c r="AQ53" s="39" t="n"/>
      <c r="AR53" s="30" t="n"/>
      <c r="AS53" s="39" t="n"/>
      <c r="AT53" s="30">
        <f>IF(OR($AS66="",NOT(ISNUMBER($AS66)),$AH66=""),"",IF(INT($AS66)&lt;=$AH66,"A tiempo","Fuera de término"))</f>
        <v/>
      </c>
      <c r="AU53" s="40" t="n"/>
      <c r="AV53" s="40" t="n"/>
      <c r="AW53" s="40" t="n"/>
      <c r="AX53" s="40" t="n"/>
      <c r="AY53" s="30" t="n"/>
      <c r="AZ53" s="30" t="n"/>
      <c r="BA53" s="30" t="n"/>
    </row>
    <row r="54" ht="15.75" customHeight="1" s="57">
      <c r="A54" s="29" t="n"/>
      <c r="B54" s="30" t="n"/>
      <c r="C54" s="39" t="n"/>
      <c r="D54" s="39" t="n"/>
      <c r="E54" s="39" t="n"/>
      <c r="F54" s="40" t="n"/>
      <c r="G54" s="30" t="n"/>
      <c r="H54" s="30" t="n"/>
      <c r="I54" s="30" t="n"/>
      <c r="J54" s="30" t="n"/>
      <c r="K54" s="30" t="n"/>
      <c r="L54" s="30" t="n"/>
      <c r="M54" s="30" t="n"/>
      <c r="N54" s="30" t="n"/>
      <c r="O54" s="30" t="n"/>
      <c r="P54" s="30" t="n"/>
      <c r="Q54" s="30" t="n"/>
      <c r="R54" s="30" t="n"/>
      <c r="S54" s="30" t="n"/>
      <c r="T54" s="30" t="n"/>
      <c r="U54" s="30" t="n"/>
      <c r="V54" s="30" t="n"/>
      <c r="W54" s="30" t="n"/>
      <c r="X54" s="30" t="n"/>
      <c r="Y54" s="30" t="n"/>
      <c r="Z54" s="30" t="n"/>
      <c r="AA54" s="30" t="n"/>
      <c r="AB54" s="30" t="n"/>
      <c r="AC54" s="30" t="n"/>
      <c r="AD54" s="41" t="n"/>
      <c r="AE54" s="30" t="n"/>
      <c r="AF54" s="42">
        <f>IF($AA67="","",IF(LEFT(UPPER(TRIM($AA67)),8)="FELICITA","N/A",IF($AE67="","",IFERROR(VLOOKUP(UPPER(TRIM($AE67)),Config!$A$6:$D$8,2,FALSE),IFERROR(VLOOKUP(IF(LEFT(UPPER(TRIM($AE67)),5)="SUPER","SUPER SALUD",IF(LEFT(UPPER(TRIM($AE67)),8)="SECRETAR","SECRETARIA DE SALUD",IF(LEFT(UPPER(TRIM($AE67)),4)="SEDE","SEDE",UPPER(TRIM($AE67))))),Config!$A$6:$D$8,2,FALSE),"⚠")))))</f>
        <v/>
      </c>
      <c r="AG54" s="30">
        <f>IF($AA67="","",IF(LEFT(UPPER(TRIM($AA67)),8)="FELICITA","N/A",IF($AE67="","",IFERROR(VLOOKUP(UPPER(TRIM($AE67)),Config!$A$6:$D$8,3,FALSE),IFERROR(VLOOKUP(IF(LEFT(UPPER(TRIM($AE67)),5)="SUPER","SUPER SALUD",IF(LEFT(UPPER(TRIM($AE67)),8)="SECRETAR","SECRETARIA DE SALUD",IF(LEFT(UPPER(TRIM($AE67)),4)="SEDE","SEDE",UPPER(TRIM($AE67))))),Config!$A$6:$D$8,3,FALSE),"")))))</f>
        <v/>
      </c>
      <c r="AH54" s="39">
        <f>IF(OR($E67="",NOT(ISNUMBER($E67)),$AF67="",$AF67="N/A",NOT(ISNUMBER($AF67))),"",IF($AG67="Hábiles",WORKDAY(INT($E67),$AF67,Config!$F$6:$F$39),INT($E67)+$AF67))</f>
        <v/>
      </c>
      <c r="AI54" s="30">
        <f>IF($E67="","",IF(LEFT(UPPER(TRIM($AA67)),8)="FELICITA","⭐ Felicitación",IF(NOT(ISNUMBER($E67)),"⚠ Revisar fecha",IF(UPPER(TRIM($AK67))="RESPONDIDA - CERRADA","✅ Cerrada",IF($AE67="","⚠ Falta entidad",IF($AH67="","⚠ Revisar término",IF(TODAY()&gt;$AH67,"🔴 Vencida",IF($AH67-TODAY()&lt;=Config!$B$12,"🟡 Próxima a vencer","🟢 En término"))))))))</f>
        <v/>
      </c>
      <c r="AJ54" s="42">
        <f>IF(OR($E67="",NOT(ISNUMBER($E67))),"",IF(ISNUMBER($AS67),MAX(0,INT($AS67)-INT($E67)),MAX(0,TODAY()-INT($E67))))</f>
        <v/>
      </c>
      <c r="AK54" s="30" t="n"/>
      <c r="AL54" s="30" t="n"/>
      <c r="AM54" s="30" t="n"/>
      <c r="AN54" s="39" t="n"/>
      <c r="AO54" s="30" t="n"/>
      <c r="AP54" s="30" t="n"/>
      <c r="AQ54" s="39" t="n"/>
      <c r="AR54" s="30" t="n"/>
      <c r="AS54" s="39" t="n"/>
      <c r="AT54" s="30">
        <f>IF(OR($AS67="",NOT(ISNUMBER($AS67)),$AH67=""),"",IF(INT($AS67)&lt;=$AH67,"A tiempo","Fuera de término"))</f>
        <v/>
      </c>
      <c r="AU54" s="40" t="n"/>
      <c r="AV54" s="40" t="n"/>
      <c r="AW54" s="40" t="n"/>
      <c r="AX54" s="40" t="n"/>
      <c r="AY54" s="30" t="n"/>
      <c r="AZ54" s="30" t="n"/>
      <c r="BA54" s="30" t="n"/>
    </row>
    <row r="55" ht="15.75" customHeight="1" s="57">
      <c r="A55" s="29" t="n"/>
      <c r="B55" s="30" t="n"/>
      <c r="C55" s="39" t="n"/>
      <c r="D55" s="39" t="n"/>
      <c r="E55" s="39" t="n"/>
      <c r="F55" s="40" t="n"/>
      <c r="G55" s="30" t="n"/>
      <c r="H55" s="30" t="n"/>
      <c r="I55" s="30" t="n"/>
      <c r="J55" s="30" t="n"/>
      <c r="K55" s="30" t="n"/>
      <c r="L55" s="30" t="n"/>
      <c r="M55" s="30" t="n"/>
      <c r="N55" s="30" t="n"/>
      <c r="O55" s="30" t="n"/>
      <c r="P55" s="30" t="n"/>
      <c r="Q55" s="30" t="n"/>
      <c r="R55" s="30" t="n"/>
      <c r="S55" s="30" t="n"/>
      <c r="T55" s="30" t="n"/>
      <c r="U55" s="30" t="n"/>
      <c r="V55" s="30" t="n"/>
      <c r="W55" s="30" t="n"/>
      <c r="X55" s="30" t="n"/>
      <c r="Y55" s="30" t="n"/>
      <c r="Z55" s="30" t="n"/>
      <c r="AA55" s="30" t="n"/>
      <c r="AB55" s="30" t="n"/>
      <c r="AC55" s="30" t="n"/>
      <c r="AD55" s="41" t="n"/>
      <c r="AE55" s="30" t="n"/>
      <c r="AF55" s="42">
        <f>IF($AA68="","",IF(LEFT(UPPER(TRIM($AA68)),8)="FELICITA","N/A",IF($AE68="","",IFERROR(VLOOKUP(UPPER(TRIM($AE68)),Config!$A$6:$D$8,2,FALSE),IFERROR(VLOOKUP(IF(LEFT(UPPER(TRIM($AE68)),5)="SUPER","SUPER SALUD",IF(LEFT(UPPER(TRIM($AE68)),8)="SECRETAR","SECRETARIA DE SALUD",IF(LEFT(UPPER(TRIM($AE68)),4)="SEDE","SEDE",UPPER(TRIM($AE68))))),Config!$A$6:$D$8,2,FALSE),"⚠")))))</f>
        <v/>
      </c>
      <c r="AG55" s="30">
        <f>IF($AA68="","",IF(LEFT(UPPER(TRIM($AA68)),8)="FELICITA","N/A",IF($AE68="","",IFERROR(VLOOKUP(UPPER(TRIM($AE68)),Config!$A$6:$D$8,3,FALSE),IFERROR(VLOOKUP(IF(LEFT(UPPER(TRIM($AE68)),5)="SUPER","SUPER SALUD",IF(LEFT(UPPER(TRIM($AE68)),8)="SECRETAR","SECRETARIA DE SALUD",IF(LEFT(UPPER(TRIM($AE68)),4)="SEDE","SEDE",UPPER(TRIM($AE68))))),Config!$A$6:$D$8,3,FALSE),"")))))</f>
        <v/>
      </c>
      <c r="AH55" s="39">
        <f>IF(OR($E68="",NOT(ISNUMBER($E68)),$AF68="",$AF68="N/A",NOT(ISNUMBER($AF68))),"",IF($AG68="Hábiles",WORKDAY(INT($E68),$AF68,Config!$F$6:$F$39),INT($E68)+$AF68))</f>
        <v/>
      </c>
      <c r="AI55" s="30">
        <f>IF($E68="","",IF(LEFT(UPPER(TRIM($AA68)),8)="FELICITA","⭐ Felicitación",IF(NOT(ISNUMBER($E68)),"⚠ Revisar fecha",IF(UPPER(TRIM($AK68))="RESPONDIDA - CERRADA","✅ Cerrada",IF($AE68="","⚠ Falta entidad",IF($AH68="","⚠ Revisar término",IF(TODAY()&gt;$AH68,"🔴 Vencida",IF($AH68-TODAY()&lt;=Config!$B$12,"🟡 Próxima a vencer","🟢 En término"))))))))</f>
        <v/>
      </c>
      <c r="AJ55" s="42">
        <f>IF(OR($E68="",NOT(ISNUMBER($E68))),"",IF(ISNUMBER($AS68),MAX(0,INT($AS68)-INT($E68)),MAX(0,TODAY()-INT($E68))))</f>
        <v/>
      </c>
      <c r="AK55" s="30" t="n"/>
      <c r="AL55" s="30" t="n"/>
      <c r="AM55" s="30" t="n"/>
      <c r="AN55" s="39" t="n"/>
      <c r="AO55" s="30" t="n"/>
      <c r="AP55" s="30" t="n"/>
      <c r="AQ55" s="39" t="n"/>
      <c r="AR55" s="30" t="n"/>
      <c r="AS55" s="39" t="n"/>
      <c r="AT55" s="30">
        <f>IF(OR($AS68="",NOT(ISNUMBER($AS68)),$AH68=""),"",IF(INT($AS68)&lt;=$AH68,"A tiempo","Fuera de término"))</f>
        <v/>
      </c>
      <c r="AU55" s="40" t="n"/>
      <c r="AV55" s="40" t="n"/>
      <c r="AW55" s="40" t="n"/>
      <c r="AX55" s="40" t="n"/>
      <c r="AY55" s="30" t="n"/>
      <c r="AZ55" s="30" t="n"/>
      <c r="BA55" s="30" t="n"/>
    </row>
    <row r="56" ht="15.75" customHeight="1" s="57">
      <c r="A56" s="29" t="n"/>
      <c r="B56" s="30" t="n"/>
      <c r="C56" s="39" t="n"/>
      <c r="D56" s="39" t="n"/>
      <c r="E56" s="39" t="n"/>
      <c r="F56" s="40" t="n"/>
      <c r="G56" s="30" t="n"/>
      <c r="H56" s="30" t="n"/>
      <c r="I56" s="30" t="n"/>
      <c r="J56" s="30" t="n"/>
      <c r="K56" s="30" t="n"/>
      <c r="L56" s="30" t="n"/>
      <c r="M56" s="30" t="n"/>
      <c r="N56" s="30" t="n"/>
      <c r="O56" s="30" t="n"/>
      <c r="P56" s="30" t="n"/>
      <c r="Q56" s="30" t="n"/>
      <c r="R56" s="30" t="n"/>
      <c r="S56" s="30" t="n"/>
      <c r="T56" s="30" t="n"/>
      <c r="U56" s="30" t="n"/>
      <c r="V56" s="30" t="n"/>
      <c r="W56" s="30" t="n"/>
      <c r="X56" s="30" t="n"/>
      <c r="Y56" s="30" t="n"/>
      <c r="Z56" s="30" t="n"/>
      <c r="AA56" s="30" t="n"/>
      <c r="AB56" s="30" t="n"/>
      <c r="AC56" s="30" t="n"/>
      <c r="AD56" s="41" t="n"/>
      <c r="AE56" s="30" t="n"/>
      <c r="AF56" s="42">
        <f>IF($AA69="","",IF(LEFT(UPPER(TRIM($AA69)),8)="FELICITA","N/A",IF($AE69="","",IFERROR(VLOOKUP(UPPER(TRIM($AE69)),Config!$A$6:$D$8,2,FALSE),IFERROR(VLOOKUP(IF(LEFT(UPPER(TRIM($AE69)),5)="SUPER","SUPER SALUD",IF(LEFT(UPPER(TRIM($AE69)),8)="SECRETAR","SECRETARIA DE SALUD",IF(LEFT(UPPER(TRIM($AE69)),4)="SEDE","SEDE",UPPER(TRIM($AE69))))),Config!$A$6:$D$8,2,FALSE),"⚠")))))</f>
        <v/>
      </c>
      <c r="AG56" s="30">
        <f>IF($AA69="","",IF(LEFT(UPPER(TRIM($AA69)),8)="FELICITA","N/A",IF($AE69="","",IFERROR(VLOOKUP(UPPER(TRIM($AE69)),Config!$A$6:$D$8,3,FALSE),IFERROR(VLOOKUP(IF(LEFT(UPPER(TRIM($AE69)),5)="SUPER","SUPER SALUD",IF(LEFT(UPPER(TRIM($AE69)),8)="SECRETAR","SECRETARIA DE SALUD",IF(LEFT(UPPER(TRIM($AE69)),4)="SEDE","SEDE",UPPER(TRIM($AE69))))),Config!$A$6:$D$8,3,FALSE),"")))))</f>
        <v/>
      </c>
      <c r="AH56" s="39">
        <f>IF(OR($E69="",NOT(ISNUMBER($E69)),$AF69="",$AF69="N/A",NOT(ISNUMBER($AF69))),"",IF($AG69="Hábiles",WORKDAY(INT($E69),$AF69,Config!$F$6:$F$39),INT($E69)+$AF69))</f>
        <v/>
      </c>
      <c r="AI56" s="30">
        <f>IF($E69="","",IF(LEFT(UPPER(TRIM($AA69)),8)="FELICITA","⭐ Felicitación",IF(NOT(ISNUMBER($E69)),"⚠ Revisar fecha",IF(UPPER(TRIM($AK69))="RESPONDIDA - CERRADA","✅ Cerrada",IF($AE69="","⚠ Falta entidad",IF($AH69="","⚠ Revisar término",IF(TODAY()&gt;$AH69,"🔴 Vencida",IF($AH69-TODAY()&lt;=Config!$B$12,"🟡 Próxima a vencer","🟢 En término"))))))))</f>
        <v/>
      </c>
      <c r="AJ56" s="42">
        <f>IF(OR($E69="",NOT(ISNUMBER($E69))),"",IF(ISNUMBER($AS69),MAX(0,INT($AS69)-INT($E69)),MAX(0,TODAY()-INT($E69))))</f>
        <v/>
      </c>
      <c r="AK56" s="30" t="n"/>
      <c r="AL56" s="30" t="n"/>
      <c r="AM56" s="30" t="n"/>
      <c r="AN56" s="39" t="n"/>
      <c r="AO56" s="30" t="n"/>
      <c r="AP56" s="30" t="n"/>
      <c r="AQ56" s="39" t="n"/>
      <c r="AR56" s="30" t="n"/>
      <c r="AS56" s="39" t="n"/>
      <c r="AT56" s="30">
        <f>IF(OR($AS69="",NOT(ISNUMBER($AS69)),$AH69=""),"",IF(INT($AS69)&lt;=$AH69,"A tiempo","Fuera de término"))</f>
        <v/>
      </c>
      <c r="AU56" s="40" t="n"/>
      <c r="AV56" s="40" t="n"/>
      <c r="AW56" s="40" t="n"/>
      <c r="AX56" s="40" t="n"/>
      <c r="AY56" s="30" t="n"/>
      <c r="AZ56" s="30" t="n"/>
      <c r="BA56" s="30" t="n"/>
    </row>
    <row r="57" ht="15.75" customHeight="1" s="57">
      <c r="A57" s="29" t="n"/>
      <c r="B57" s="30" t="n"/>
      <c r="C57" s="39" t="n"/>
      <c r="D57" s="39" t="n"/>
      <c r="E57" s="39" t="n"/>
      <c r="F57" s="40" t="n"/>
      <c r="G57" s="30" t="n"/>
      <c r="H57" s="30" t="n"/>
      <c r="I57" s="30" t="n"/>
      <c r="J57" s="30" t="n"/>
      <c r="K57" s="30" t="n"/>
      <c r="L57" s="30" t="n"/>
      <c r="M57" s="30" t="n"/>
      <c r="N57" s="30" t="n"/>
      <c r="O57" s="30" t="n"/>
      <c r="P57" s="30" t="n"/>
      <c r="Q57" s="30" t="n"/>
      <c r="R57" s="30" t="n"/>
      <c r="S57" s="30" t="n"/>
      <c r="T57" s="30" t="n"/>
      <c r="U57" s="30" t="n"/>
      <c r="V57" s="30" t="n"/>
      <c r="W57" s="30" t="n"/>
      <c r="X57" s="30" t="n"/>
      <c r="Y57" s="30" t="n"/>
      <c r="Z57" s="30" t="n"/>
      <c r="AA57" s="30" t="n"/>
      <c r="AB57" s="30" t="n"/>
      <c r="AC57" s="30" t="n"/>
      <c r="AD57" s="41" t="n"/>
      <c r="AE57" s="30" t="n"/>
      <c r="AF57" s="42">
        <f>IF($AA70="","",IF(LEFT(UPPER(TRIM($AA70)),8)="FELICITA","N/A",IF($AE70="","",IFERROR(VLOOKUP(UPPER(TRIM($AE70)),Config!$A$6:$D$8,2,FALSE),IFERROR(VLOOKUP(IF(LEFT(UPPER(TRIM($AE70)),5)="SUPER","SUPER SALUD",IF(LEFT(UPPER(TRIM($AE70)),8)="SECRETAR","SECRETARIA DE SALUD",IF(LEFT(UPPER(TRIM($AE70)),4)="SEDE","SEDE",UPPER(TRIM($AE70))))),Config!$A$6:$D$8,2,FALSE),"⚠")))))</f>
        <v/>
      </c>
      <c r="AG57" s="30">
        <f>IF($AA70="","",IF(LEFT(UPPER(TRIM($AA70)),8)="FELICITA","N/A",IF($AE70="","",IFERROR(VLOOKUP(UPPER(TRIM($AE70)),Config!$A$6:$D$8,3,FALSE),IFERROR(VLOOKUP(IF(LEFT(UPPER(TRIM($AE70)),5)="SUPER","SUPER SALUD",IF(LEFT(UPPER(TRIM($AE70)),8)="SECRETAR","SECRETARIA DE SALUD",IF(LEFT(UPPER(TRIM($AE70)),4)="SEDE","SEDE",UPPER(TRIM($AE70))))),Config!$A$6:$D$8,3,FALSE),"")))))</f>
        <v/>
      </c>
      <c r="AH57" s="39">
        <f>IF(OR($E70="",NOT(ISNUMBER($E70)),$AF70="",$AF70="N/A",NOT(ISNUMBER($AF70))),"",IF($AG70="Hábiles",WORKDAY(INT($E70),$AF70,Config!$F$6:$F$39),INT($E70)+$AF70))</f>
        <v/>
      </c>
      <c r="AI57" s="30">
        <f>IF($E70="","",IF(LEFT(UPPER(TRIM($AA70)),8)="FELICITA","⭐ Felicitación",IF(NOT(ISNUMBER($E70)),"⚠ Revisar fecha",IF(UPPER(TRIM($AK70))="RESPONDIDA - CERRADA","✅ Cerrada",IF($AE70="","⚠ Falta entidad",IF($AH70="","⚠ Revisar término",IF(TODAY()&gt;$AH70,"🔴 Vencida",IF($AH70-TODAY()&lt;=Config!$B$12,"🟡 Próxima a vencer","🟢 En término"))))))))</f>
        <v/>
      </c>
      <c r="AJ57" s="42">
        <f>IF(OR($E70="",NOT(ISNUMBER($E70))),"",IF(ISNUMBER($AS70),MAX(0,INT($AS70)-INT($E70)),MAX(0,TODAY()-INT($E70))))</f>
        <v/>
      </c>
      <c r="AK57" s="30" t="n"/>
      <c r="AL57" s="30" t="n"/>
      <c r="AM57" s="30" t="n"/>
      <c r="AN57" s="39" t="n"/>
      <c r="AO57" s="30" t="n"/>
      <c r="AP57" s="30" t="n"/>
      <c r="AQ57" s="39" t="n"/>
      <c r="AR57" s="30" t="n"/>
      <c r="AS57" s="39" t="n"/>
      <c r="AT57" s="30">
        <f>IF(OR($AS70="",NOT(ISNUMBER($AS70)),$AH70=""),"",IF(INT($AS70)&lt;=$AH70,"A tiempo","Fuera de término"))</f>
        <v/>
      </c>
      <c r="AU57" s="40" t="n"/>
      <c r="AV57" s="40" t="n"/>
      <c r="AW57" s="40" t="n"/>
      <c r="AX57" s="40" t="n"/>
      <c r="AY57" s="30" t="n"/>
      <c r="AZ57" s="30" t="n"/>
      <c r="BA57" s="30" t="n"/>
    </row>
    <row r="58" ht="15.75" customHeight="1" s="57">
      <c r="A58" s="29" t="n"/>
      <c r="B58" s="30" t="n"/>
      <c r="C58" s="39" t="n"/>
      <c r="D58" s="39" t="n"/>
      <c r="E58" s="39" t="n"/>
      <c r="F58" s="40" t="n"/>
      <c r="G58" s="30" t="n"/>
      <c r="H58" s="30" t="n"/>
      <c r="I58" s="30" t="n"/>
      <c r="J58" s="30" t="n"/>
      <c r="K58" s="30" t="n"/>
      <c r="L58" s="30" t="n"/>
      <c r="M58" s="30" t="n"/>
      <c r="N58" s="30" t="n"/>
      <c r="O58" s="30" t="n"/>
      <c r="P58" s="30" t="n"/>
      <c r="Q58" s="30" t="n"/>
      <c r="R58" s="30" t="n"/>
      <c r="S58" s="30" t="n"/>
      <c r="T58" s="30" t="n"/>
      <c r="U58" s="30" t="n"/>
      <c r="V58" s="30" t="n"/>
      <c r="W58" s="30" t="n"/>
      <c r="X58" s="30" t="n"/>
      <c r="Y58" s="30" t="n"/>
      <c r="Z58" s="30" t="n"/>
      <c r="AA58" s="30" t="n"/>
      <c r="AB58" s="30" t="n"/>
      <c r="AC58" s="30" t="n"/>
      <c r="AD58" s="41" t="n"/>
      <c r="AE58" s="30" t="n"/>
      <c r="AF58" s="42">
        <f>IF($AA71="","",IF(LEFT(UPPER(TRIM($AA71)),8)="FELICITA","N/A",IF($AE71="","",IFERROR(VLOOKUP(UPPER(TRIM($AE71)),Config!$A$6:$D$8,2,FALSE),IFERROR(VLOOKUP(IF(LEFT(UPPER(TRIM($AE71)),5)="SUPER","SUPER SALUD",IF(LEFT(UPPER(TRIM($AE71)),8)="SECRETAR","SECRETARIA DE SALUD",IF(LEFT(UPPER(TRIM($AE71)),4)="SEDE","SEDE",UPPER(TRIM($AE71))))),Config!$A$6:$D$8,2,FALSE),"⚠")))))</f>
        <v/>
      </c>
      <c r="AG58" s="30">
        <f>IF($AA71="","",IF(LEFT(UPPER(TRIM($AA71)),8)="FELICITA","N/A",IF($AE71="","",IFERROR(VLOOKUP(UPPER(TRIM($AE71)),Config!$A$6:$D$8,3,FALSE),IFERROR(VLOOKUP(IF(LEFT(UPPER(TRIM($AE71)),5)="SUPER","SUPER SALUD",IF(LEFT(UPPER(TRIM($AE71)),8)="SECRETAR","SECRETARIA DE SALUD",IF(LEFT(UPPER(TRIM($AE71)),4)="SEDE","SEDE",UPPER(TRIM($AE71))))),Config!$A$6:$D$8,3,FALSE),"")))))</f>
        <v/>
      </c>
      <c r="AH58" s="39">
        <f>IF(OR($E71="",NOT(ISNUMBER($E71)),$AF71="",$AF71="N/A",NOT(ISNUMBER($AF71))),"",IF($AG71="Hábiles",WORKDAY(INT($E71),$AF71,Config!$F$6:$F$39),INT($E71)+$AF71))</f>
        <v/>
      </c>
      <c r="AI58" s="30">
        <f>IF($E71="","",IF(LEFT(UPPER(TRIM($AA71)),8)="FELICITA","⭐ Felicitación",IF(NOT(ISNUMBER($E71)),"⚠ Revisar fecha",IF(UPPER(TRIM($AK71))="RESPONDIDA - CERRADA","✅ Cerrada",IF($AE71="","⚠ Falta entidad",IF($AH71="","⚠ Revisar término",IF(TODAY()&gt;$AH71,"🔴 Vencida",IF($AH71-TODAY()&lt;=Config!$B$12,"🟡 Próxima a vencer","🟢 En término"))))))))</f>
        <v/>
      </c>
      <c r="AJ58" s="42">
        <f>IF(OR($E71="",NOT(ISNUMBER($E71))),"",IF(ISNUMBER($AS71),MAX(0,INT($AS71)-INT($E71)),MAX(0,TODAY()-INT($E71))))</f>
        <v/>
      </c>
      <c r="AK58" s="30" t="n"/>
      <c r="AL58" s="30" t="n"/>
      <c r="AM58" s="30" t="n"/>
      <c r="AN58" s="39" t="n"/>
      <c r="AO58" s="30" t="n"/>
      <c r="AP58" s="30" t="n"/>
      <c r="AQ58" s="39" t="n"/>
      <c r="AR58" s="30" t="n"/>
      <c r="AS58" s="39" t="n"/>
      <c r="AT58" s="30">
        <f>IF(OR($AS71="",NOT(ISNUMBER($AS71)),$AH71=""),"",IF(INT($AS71)&lt;=$AH71,"A tiempo","Fuera de término"))</f>
        <v/>
      </c>
      <c r="AU58" s="40" t="n"/>
      <c r="AV58" s="40" t="n"/>
      <c r="AW58" s="40" t="n"/>
      <c r="AX58" s="40" t="n"/>
      <c r="AY58" s="30" t="n"/>
      <c r="AZ58" s="30" t="n"/>
      <c r="BA58" s="30" t="n"/>
    </row>
    <row r="59" ht="15.75" customHeight="1" s="57">
      <c r="A59" s="29" t="n"/>
      <c r="B59" s="30" t="n"/>
      <c r="C59" s="39" t="n"/>
      <c r="D59" s="39" t="n"/>
      <c r="E59" s="39" t="n"/>
      <c r="F59" s="40" t="n"/>
      <c r="G59" s="30" t="n"/>
      <c r="H59" s="30" t="n"/>
      <c r="I59" s="30" t="n"/>
      <c r="J59" s="30" t="n"/>
      <c r="K59" s="30" t="n"/>
      <c r="L59" s="30" t="n"/>
      <c r="M59" s="30" t="n"/>
      <c r="N59" s="30" t="n"/>
      <c r="O59" s="30" t="n"/>
      <c r="P59" s="30" t="n"/>
      <c r="Q59" s="30" t="n"/>
      <c r="R59" s="30" t="n"/>
      <c r="S59" s="30" t="n"/>
      <c r="T59" s="30" t="n"/>
      <c r="U59" s="30" t="n"/>
      <c r="V59" s="30" t="n"/>
      <c r="W59" s="30" t="n"/>
      <c r="X59" s="30" t="n"/>
      <c r="Y59" s="30" t="n"/>
      <c r="Z59" s="30" t="n"/>
      <c r="AA59" s="30" t="n"/>
      <c r="AB59" s="30" t="n"/>
      <c r="AC59" s="30" t="n"/>
      <c r="AD59" s="41" t="n"/>
      <c r="AE59" s="30" t="n"/>
      <c r="AF59" s="42">
        <f>IF($AA72="","",IF(LEFT(UPPER(TRIM($AA72)),8)="FELICITA","N/A",IF($AE72="","",IFERROR(VLOOKUP(UPPER(TRIM($AE72)),Config!$A$6:$D$8,2,FALSE),IFERROR(VLOOKUP(IF(LEFT(UPPER(TRIM($AE72)),5)="SUPER","SUPER SALUD",IF(LEFT(UPPER(TRIM($AE72)),8)="SECRETAR","SECRETARIA DE SALUD",IF(LEFT(UPPER(TRIM($AE72)),4)="SEDE","SEDE",UPPER(TRIM($AE72))))),Config!$A$6:$D$8,2,FALSE),"⚠")))))</f>
        <v/>
      </c>
      <c r="AG59" s="30">
        <f>IF($AA72="","",IF(LEFT(UPPER(TRIM($AA72)),8)="FELICITA","N/A",IF($AE72="","",IFERROR(VLOOKUP(UPPER(TRIM($AE72)),Config!$A$6:$D$8,3,FALSE),IFERROR(VLOOKUP(IF(LEFT(UPPER(TRIM($AE72)),5)="SUPER","SUPER SALUD",IF(LEFT(UPPER(TRIM($AE72)),8)="SECRETAR","SECRETARIA DE SALUD",IF(LEFT(UPPER(TRIM($AE72)),4)="SEDE","SEDE",UPPER(TRIM($AE72))))),Config!$A$6:$D$8,3,FALSE),"")))))</f>
        <v/>
      </c>
      <c r="AH59" s="39">
        <f>IF(OR($E72="",NOT(ISNUMBER($E72)),$AF72="",$AF72="N/A",NOT(ISNUMBER($AF72))),"",IF($AG72="Hábiles",WORKDAY(INT($E72),$AF72,Config!$F$6:$F$39),INT($E72)+$AF72))</f>
        <v/>
      </c>
      <c r="AI59" s="30">
        <f>IF($E72="","",IF(LEFT(UPPER(TRIM($AA72)),8)="FELICITA","⭐ Felicitación",IF(NOT(ISNUMBER($E72)),"⚠ Revisar fecha",IF(UPPER(TRIM($AK72))="RESPONDIDA - CERRADA","✅ Cerrada",IF($AE72="","⚠ Falta entidad",IF($AH72="","⚠ Revisar término",IF(TODAY()&gt;$AH72,"🔴 Vencida",IF($AH72-TODAY()&lt;=Config!$B$12,"🟡 Próxima a vencer","🟢 En término"))))))))</f>
        <v/>
      </c>
      <c r="AJ59" s="42">
        <f>IF(OR($E72="",NOT(ISNUMBER($E72))),"",IF(ISNUMBER($AS72),MAX(0,INT($AS72)-INT($E72)),MAX(0,TODAY()-INT($E72))))</f>
        <v/>
      </c>
      <c r="AK59" s="30" t="n"/>
      <c r="AL59" s="30" t="n"/>
      <c r="AM59" s="30" t="n"/>
      <c r="AN59" s="39" t="n"/>
      <c r="AO59" s="30" t="n"/>
      <c r="AP59" s="30" t="n"/>
      <c r="AQ59" s="39" t="n"/>
      <c r="AR59" s="30" t="n"/>
      <c r="AS59" s="39" t="n"/>
      <c r="AT59" s="30">
        <f>IF(OR($AS72="",NOT(ISNUMBER($AS72)),$AH72=""),"",IF(INT($AS72)&lt;=$AH72,"A tiempo","Fuera de término"))</f>
        <v/>
      </c>
      <c r="AU59" s="40" t="n"/>
      <c r="AV59" s="40" t="n"/>
      <c r="AW59" s="40" t="n"/>
      <c r="AX59" s="40" t="n"/>
      <c r="AY59" s="30" t="n"/>
      <c r="AZ59" s="30" t="n"/>
      <c r="BA59" s="30" t="n"/>
    </row>
    <row r="60" ht="15.75" customHeight="1" s="57">
      <c r="A60" s="29" t="n"/>
      <c r="B60" s="30" t="n"/>
      <c r="C60" s="39" t="n"/>
      <c r="D60" s="39" t="n"/>
      <c r="E60" s="39" t="n"/>
      <c r="F60" s="40" t="n"/>
      <c r="G60" s="30" t="n"/>
      <c r="H60" s="30" t="n"/>
      <c r="I60" s="30" t="n"/>
      <c r="J60" s="30" t="n"/>
      <c r="K60" s="30" t="n"/>
      <c r="L60" s="30" t="n"/>
      <c r="M60" s="30" t="n"/>
      <c r="N60" s="30" t="n"/>
      <c r="O60" s="30" t="n"/>
      <c r="P60" s="30" t="n"/>
      <c r="Q60" s="30" t="n"/>
      <c r="R60" s="30" t="n"/>
      <c r="S60" s="30" t="n"/>
      <c r="T60" s="30" t="n"/>
      <c r="U60" s="30" t="n"/>
      <c r="V60" s="30" t="n"/>
      <c r="W60" s="30" t="n"/>
      <c r="X60" s="30" t="n"/>
      <c r="Y60" s="30" t="n"/>
      <c r="Z60" s="30" t="n"/>
      <c r="AA60" s="30" t="n"/>
      <c r="AB60" s="30" t="n"/>
      <c r="AC60" s="30" t="n"/>
      <c r="AD60" s="41" t="n"/>
      <c r="AE60" s="30" t="n"/>
      <c r="AF60" s="42">
        <f>IF($AA73="","",IF(LEFT(UPPER(TRIM($AA73)),8)="FELICITA","N/A",IF($AE73="","",IFERROR(VLOOKUP(UPPER(TRIM($AE73)),Config!$A$6:$D$8,2,FALSE),IFERROR(VLOOKUP(IF(LEFT(UPPER(TRIM($AE73)),5)="SUPER","SUPER SALUD",IF(LEFT(UPPER(TRIM($AE73)),8)="SECRETAR","SECRETARIA DE SALUD",IF(LEFT(UPPER(TRIM($AE73)),4)="SEDE","SEDE",UPPER(TRIM($AE73))))),Config!$A$6:$D$8,2,FALSE),"⚠")))))</f>
        <v/>
      </c>
      <c r="AG60" s="30">
        <f>IF($AA73="","",IF(LEFT(UPPER(TRIM($AA73)),8)="FELICITA","N/A",IF($AE73="","",IFERROR(VLOOKUP(UPPER(TRIM($AE73)),Config!$A$6:$D$8,3,FALSE),IFERROR(VLOOKUP(IF(LEFT(UPPER(TRIM($AE73)),5)="SUPER","SUPER SALUD",IF(LEFT(UPPER(TRIM($AE73)),8)="SECRETAR","SECRETARIA DE SALUD",IF(LEFT(UPPER(TRIM($AE73)),4)="SEDE","SEDE",UPPER(TRIM($AE73))))),Config!$A$6:$D$8,3,FALSE),"")))))</f>
        <v/>
      </c>
      <c r="AH60" s="39">
        <f>IF(OR($E73="",NOT(ISNUMBER($E73)),$AF73="",$AF73="N/A",NOT(ISNUMBER($AF73))),"",IF($AG73="Hábiles",WORKDAY(INT($E73),$AF73,Config!$F$6:$F$39),INT($E73)+$AF73))</f>
        <v/>
      </c>
      <c r="AI60" s="30">
        <f>IF($E73="","",IF(LEFT(UPPER(TRIM($AA73)),8)="FELICITA","⭐ Felicitación",IF(NOT(ISNUMBER($E73)),"⚠ Revisar fecha",IF(UPPER(TRIM($AK73))="RESPONDIDA - CERRADA","✅ Cerrada",IF($AE73="","⚠ Falta entidad",IF($AH73="","⚠ Revisar término",IF(TODAY()&gt;$AH73,"🔴 Vencida",IF($AH73-TODAY()&lt;=Config!$B$12,"🟡 Próxima a vencer","🟢 En término"))))))))</f>
        <v/>
      </c>
      <c r="AJ60" s="42">
        <f>IF(OR($E73="",NOT(ISNUMBER($E73))),"",IF(ISNUMBER($AS73),MAX(0,INT($AS73)-INT($E73)),MAX(0,TODAY()-INT($E73))))</f>
        <v/>
      </c>
      <c r="AK60" s="30" t="n"/>
      <c r="AL60" s="30" t="n"/>
      <c r="AM60" s="30" t="n"/>
      <c r="AN60" s="39" t="n"/>
      <c r="AO60" s="30" t="n"/>
      <c r="AP60" s="30" t="n"/>
      <c r="AQ60" s="39" t="n"/>
      <c r="AR60" s="30" t="n"/>
      <c r="AS60" s="39" t="n"/>
      <c r="AT60" s="30">
        <f>IF(OR($AS73="",NOT(ISNUMBER($AS73)),$AH73=""),"",IF(INT($AS73)&lt;=$AH73,"A tiempo","Fuera de término"))</f>
        <v/>
      </c>
      <c r="AU60" s="40" t="n"/>
      <c r="AV60" s="40" t="n"/>
      <c r="AW60" s="40" t="n"/>
      <c r="AX60" s="40" t="n"/>
      <c r="AY60" s="30" t="n"/>
      <c r="AZ60" s="30" t="n"/>
      <c r="BA60" s="30" t="n"/>
    </row>
    <row r="61" ht="15.75" customHeight="1" s="57">
      <c r="A61" s="29" t="n"/>
      <c r="B61" s="30" t="n"/>
      <c r="C61" s="39" t="n"/>
      <c r="D61" s="39" t="n"/>
      <c r="E61" s="39" t="n"/>
      <c r="F61" s="40" t="n"/>
      <c r="G61" s="30" t="n"/>
      <c r="H61" s="30" t="n"/>
      <c r="I61" s="30" t="n"/>
      <c r="J61" s="30" t="n"/>
      <c r="K61" s="30" t="n"/>
      <c r="L61" s="30" t="n"/>
      <c r="M61" s="30" t="n"/>
      <c r="N61" s="30" t="n"/>
      <c r="O61" s="30" t="n"/>
      <c r="P61" s="30" t="n"/>
      <c r="Q61" s="30" t="n"/>
      <c r="R61" s="30" t="n"/>
      <c r="S61" s="30" t="n"/>
      <c r="T61" s="30" t="n"/>
      <c r="U61" s="30" t="n"/>
      <c r="V61" s="30" t="n"/>
      <c r="W61" s="30" t="n"/>
      <c r="X61" s="30" t="n"/>
      <c r="Y61" s="30" t="n"/>
      <c r="Z61" s="30" t="n"/>
      <c r="AA61" s="30" t="n"/>
      <c r="AB61" s="30" t="n"/>
      <c r="AC61" s="30" t="n"/>
      <c r="AD61" s="41" t="n"/>
      <c r="AE61" s="30" t="n"/>
      <c r="AF61" s="42">
        <f>IF($AA74="","",IF(LEFT(UPPER(TRIM($AA74)),8)="FELICITA","N/A",IF($AE74="","",IFERROR(VLOOKUP(UPPER(TRIM($AE74)),Config!$A$6:$D$8,2,FALSE),IFERROR(VLOOKUP(IF(LEFT(UPPER(TRIM($AE74)),5)="SUPER","SUPER SALUD",IF(LEFT(UPPER(TRIM($AE74)),8)="SECRETAR","SECRETARIA DE SALUD",IF(LEFT(UPPER(TRIM($AE74)),4)="SEDE","SEDE",UPPER(TRIM($AE74))))),Config!$A$6:$D$8,2,FALSE),"⚠")))))</f>
        <v/>
      </c>
      <c r="AG61" s="30">
        <f>IF($AA74="","",IF(LEFT(UPPER(TRIM($AA74)),8)="FELICITA","N/A",IF($AE74="","",IFERROR(VLOOKUP(UPPER(TRIM($AE74)),Config!$A$6:$D$8,3,FALSE),IFERROR(VLOOKUP(IF(LEFT(UPPER(TRIM($AE74)),5)="SUPER","SUPER SALUD",IF(LEFT(UPPER(TRIM($AE74)),8)="SECRETAR","SECRETARIA DE SALUD",IF(LEFT(UPPER(TRIM($AE74)),4)="SEDE","SEDE",UPPER(TRIM($AE74))))),Config!$A$6:$D$8,3,FALSE),"")))))</f>
        <v/>
      </c>
      <c r="AH61" s="39">
        <f>IF(OR($E74="",NOT(ISNUMBER($E74)),$AF74="",$AF74="N/A",NOT(ISNUMBER($AF74))),"",IF($AG74="Hábiles",WORKDAY(INT($E74),$AF74,Config!$F$6:$F$39),INT($E74)+$AF74))</f>
        <v/>
      </c>
      <c r="AI61" s="30">
        <f>IF($E74="","",IF(LEFT(UPPER(TRIM($AA74)),8)="FELICITA","⭐ Felicitación",IF(NOT(ISNUMBER($E74)),"⚠ Revisar fecha",IF(UPPER(TRIM($AK74))="RESPONDIDA - CERRADA","✅ Cerrada",IF($AE74="","⚠ Falta entidad",IF($AH74="","⚠ Revisar término",IF(TODAY()&gt;$AH74,"🔴 Vencida",IF($AH74-TODAY()&lt;=Config!$B$12,"🟡 Próxima a vencer","🟢 En término"))))))))</f>
        <v/>
      </c>
      <c r="AJ61" s="42">
        <f>IF(OR($E74="",NOT(ISNUMBER($E74))),"",IF(ISNUMBER($AS74),MAX(0,INT($AS74)-INT($E74)),MAX(0,TODAY()-INT($E74))))</f>
        <v/>
      </c>
      <c r="AK61" s="30" t="n"/>
      <c r="AL61" s="30" t="n"/>
      <c r="AM61" s="30" t="n"/>
      <c r="AN61" s="39" t="n"/>
      <c r="AO61" s="30" t="n"/>
      <c r="AP61" s="30" t="n"/>
      <c r="AQ61" s="39" t="n"/>
      <c r="AR61" s="30" t="n"/>
      <c r="AS61" s="39" t="n"/>
      <c r="AT61" s="30">
        <f>IF(OR($AS74="",NOT(ISNUMBER($AS74)),$AH74=""),"",IF(INT($AS74)&lt;=$AH74,"A tiempo","Fuera de término"))</f>
        <v/>
      </c>
      <c r="AU61" s="40" t="n"/>
      <c r="AV61" s="40" t="n"/>
      <c r="AW61" s="40" t="n"/>
      <c r="AX61" s="40" t="n"/>
      <c r="AY61" s="30" t="n"/>
      <c r="AZ61" s="30" t="n"/>
      <c r="BA61" s="30" t="n"/>
    </row>
    <row r="62" ht="15.75" customHeight="1" s="57">
      <c r="A62" s="29" t="n"/>
      <c r="B62" s="30" t="n"/>
      <c r="C62" s="39" t="n"/>
      <c r="D62" s="39" t="n"/>
      <c r="E62" s="39" t="n"/>
      <c r="F62" s="40" t="n"/>
      <c r="G62" s="30" t="n"/>
      <c r="H62" s="30" t="n"/>
      <c r="I62" s="30" t="n"/>
      <c r="J62" s="30" t="n"/>
      <c r="K62" s="30" t="n"/>
      <c r="L62" s="30" t="n"/>
      <c r="M62" s="30" t="n"/>
      <c r="N62" s="30" t="n"/>
      <c r="O62" s="30" t="n"/>
      <c r="P62" s="30" t="n"/>
      <c r="Q62" s="30" t="n"/>
      <c r="R62" s="30" t="n"/>
      <c r="S62" s="30" t="n"/>
      <c r="T62" s="30" t="n"/>
      <c r="U62" s="30" t="n"/>
      <c r="V62" s="30" t="n"/>
      <c r="W62" s="30" t="n"/>
      <c r="X62" s="30" t="n"/>
      <c r="Y62" s="30" t="n"/>
      <c r="Z62" s="30" t="n"/>
      <c r="AA62" s="30" t="n"/>
      <c r="AB62" s="30" t="n"/>
      <c r="AC62" s="30" t="n"/>
      <c r="AD62" s="41" t="n"/>
      <c r="AE62" s="30" t="n"/>
      <c r="AF62" s="42">
        <f>IF($AA75="","",IF(LEFT(UPPER(TRIM($AA75)),8)="FELICITA","N/A",IF($AE75="","",IFERROR(VLOOKUP(UPPER(TRIM($AE75)),Config!$A$6:$D$8,2,FALSE),IFERROR(VLOOKUP(IF(LEFT(UPPER(TRIM($AE75)),5)="SUPER","SUPER SALUD",IF(LEFT(UPPER(TRIM($AE75)),8)="SECRETAR","SECRETARIA DE SALUD",IF(LEFT(UPPER(TRIM($AE75)),4)="SEDE","SEDE",UPPER(TRIM($AE75))))),Config!$A$6:$D$8,2,FALSE),"⚠")))))</f>
        <v/>
      </c>
      <c r="AG62" s="30">
        <f>IF($AA75="","",IF(LEFT(UPPER(TRIM($AA75)),8)="FELICITA","N/A",IF($AE75="","",IFERROR(VLOOKUP(UPPER(TRIM($AE75)),Config!$A$6:$D$8,3,FALSE),IFERROR(VLOOKUP(IF(LEFT(UPPER(TRIM($AE75)),5)="SUPER","SUPER SALUD",IF(LEFT(UPPER(TRIM($AE75)),8)="SECRETAR","SECRETARIA DE SALUD",IF(LEFT(UPPER(TRIM($AE75)),4)="SEDE","SEDE",UPPER(TRIM($AE75))))),Config!$A$6:$D$8,3,FALSE),"")))))</f>
        <v/>
      </c>
      <c r="AH62" s="39">
        <f>IF(OR($E75="",NOT(ISNUMBER($E75)),$AF75="",$AF75="N/A",NOT(ISNUMBER($AF75))),"",IF($AG75="Hábiles",WORKDAY(INT($E75),$AF75,Config!$F$6:$F$39),INT($E75)+$AF75))</f>
        <v/>
      </c>
      <c r="AI62" s="30">
        <f>IF($E75="","",IF(LEFT(UPPER(TRIM($AA75)),8)="FELICITA","⭐ Felicitación",IF(NOT(ISNUMBER($E75)),"⚠ Revisar fecha",IF(UPPER(TRIM($AK75))="RESPONDIDA - CERRADA","✅ Cerrada",IF($AE75="","⚠ Falta entidad",IF($AH75="","⚠ Revisar término",IF(TODAY()&gt;$AH75,"🔴 Vencida",IF($AH75-TODAY()&lt;=Config!$B$12,"🟡 Próxima a vencer","🟢 En término"))))))))</f>
        <v/>
      </c>
      <c r="AJ62" s="42">
        <f>IF(OR($E75="",NOT(ISNUMBER($E75))),"",IF(ISNUMBER($AS75),MAX(0,INT($AS75)-INT($E75)),MAX(0,TODAY()-INT($E75))))</f>
        <v/>
      </c>
      <c r="AK62" s="30" t="n"/>
      <c r="AL62" s="30" t="n"/>
      <c r="AM62" s="30" t="n"/>
      <c r="AN62" s="39" t="n"/>
      <c r="AO62" s="30" t="n"/>
      <c r="AP62" s="30" t="n"/>
      <c r="AQ62" s="39" t="n"/>
      <c r="AR62" s="30" t="n"/>
      <c r="AS62" s="39" t="n"/>
      <c r="AT62" s="30">
        <f>IF(OR($AS75="",NOT(ISNUMBER($AS75)),$AH75=""),"",IF(INT($AS75)&lt;=$AH75,"A tiempo","Fuera de término"))</f>
        <v/>
      </c>
      <c r="AU62" s="40" t="n"/>
      <c r="AV62" s="40" t="n"/>
      <c r="AW62" s="40" t="n"/>
      <c r="AX62" s="40" t="n"/>
      <c r="AY62" s="30" t="n"/>
      <c r="AZ62" s="30" t="n"/>
      <c r="BA62" s="30" t="n"/>
    </row>
    <row r="63" ht="15.75" customHeight="1" s="57">
      <c r="A63" s="29" t="n"/>
      <c r="B63" s="30" t="n"/>
      <c r="C63" s="39" t="n"/>
      <c r="D63" s="39" t="n"/>
      <c r="E63" s="39" t="n"/>
      <c r="F63" s="40" t="n"/>
      <c r="G63" s="30" t="n"/>
      <c r="H63" s="30" t="n"/>
      <c r="I63" s="30" t="n"/>
      <c r="J63" s="30" t="n"/>
      <c r="K63" s="30" t="n"/>
      <c r="L63" s="30" t="n"/>
      <c r="M63" s="30" t="n"/>
      <c r="N63" s="30" t="n"/>
      <c r="O63" s="30" t="n"/>
      <c r="P63" s="30" t="n"/>
      <c r="Q63" s="30" t="n"/>
      <c r="R63" s="30" t="n"/>
      <c r="S63" s="30" t="n"/>
      <c r="T63" s="30" t="n"/>
      <c r="U63" s="30" t="n"/>
      <c r="V63" s="30" t="n"/>
      <c r="W63" s="30" t="n"/>
      <c r="X63" s="30" t="n"/>
      <c r="Y63" s="30" t="n"/>
      <c r="Z63" s="30" t="n"/>
      <c r="AA63" s="30" t="n"/>
      <c r="AB63" s="30" t="n"/>
      <c r="AC63" s="30" t="n"/>
      <c r="AD63" s="41" t="n"/>
      <c r="AE63" s="30" t="n"/>
      <c r="AF63" s="42">
        <f>IF($AA76="","",IF(LEFT(UPPER(TRIM($AA76)),8)="FELICITA","N/A",IF($AE76="","",IFERROR(VLOOKUP(UPPER(TRIM($AE76)),Config!$A$6:$D$8,2,FALSE),IFERROR(VLOOKUP(IF(LEFT(UPPER(TRIM($AE76)),5)="SUPER","SUPER SALUD",IF(LEFT(UPPER(TRIM($AE76)),8)="SECRETAR","SECRETARIA DE SALUD",IF(LEFT(UPPER(TRIM($AE76)),4)="SEDE","SEDE",UPPER(TRIM($AE76))))),Config!$A$6:$D$8,2,FALSE),"⚠")))))</f>
        <v/>
      </c>
      <c r="AG63" s="30">
        <f>IF($AA76="","",IF(LEFT(UPPER(TRIM($AA76)),8)="FELICITA","N/A",IF($AE76="","",IFERROR(VLOOKUP(UPPER(TRIM($AE76)),Config!$A$6:$D$8,3,FALSE),IFERROR(VLOOKUP(IF(LEFT(UPPER(TRIM($AE76)),5)="SUPER","SUPER SALUD",IF(LEFT(UPPER(TRIM($AE76)),8)="SECRETAR","SECRETARIA DE SALUD",IF(LEFT(UPPER(TRIM($AE76)),4)="SEDE","SEDE",UPPER(TRIM($AE76))))),Config!$A$6:$D$8,3,FALSE),"")))))</f>
        <v/>
      </c>
      <c r="AH63" s="39">
        <f>IF(OR($E76="",NOT(ISNUMBER($E76)),$AF76="",$AF76="N/A",NOT(ISNUMBER($AF76))),"",IF($AG76="Hábiles",WORKDAY(INT($E76),$AF76,Config!$F$6:$F$39),INT($E76)+$AF76))</f>
        <v/>
      </c>
      <c r="AI63" s="30">
        <f>IF($E76="","",IF(LEFT(UPPER(TRIM($AA76)),8)="FELICITA","⭐ Felicitación",IF(NOT(ISNUMBER($E76)),"⚠ Revisar fecha",IF(UPPER(TRIM($AK76))="RESPONDIDA - CERRADA","✅ Cerrada",IF($AE76="","⚠ Falta entidad",IF($AH76="","⚠ Revisar término",IF(TODAY()&gt;$AH76,"🔴 Vencida",IF($AH76-TODAY()&lt;=Config!$B$12,"🟡 Próxima a vencer","🟢 En término"))))))))</f>
        <v/>
      </c>
      <c r="AJ63" s="42">
        <f>IF(OR($E76="",NOT(ISNUMBER($E76))),"",IF(ISNUMBER($AS76),MAX(0,INT($AS76)-INT($E76)),MAX(0,TODAY()-INT($E76))))</f>
        <v/>
      </c>
      <c r="AK63" s="30" t="n"/>
      <c r="AL63" s="30" t="n"/>
      <c r="AM63" s="30" t="n"/>
      <c r="AN63" s="39" t="n"/>
      <c r="AO63" s="30" t="n"/>
      <c r="AP63" s="30" t="n"/>
      <c r="AQ63" s="39" t="n"/>
      <c r="AR63" s="30" t="n"/>
      <c r="AS63" s="39" t="n"/>
      <c r="AT63" s="30">
        <f>IF(OR($AS76="",NOT(ISNUMBER($AS76)),$AH76=""),"",IF(INT($AS76)&lt;=$AH76,"A tiempo","Fuera de término"))</f>
        <v/>
      </c>
      <c r="AU63" s="40" t="n"/>
      <c r="AV63" s="40" t="n"/>
      <c r="AW63" s="40" t="n"/>
      <c r="AX63" s="40" t="n"/>
      <c r="AY63" s="30" t="n"/>
      <c r="AZ63" s="30" t="n"/>
      <c r="BA63" s="30" t="n"/>
    </row>
    <row r="64" ht="15.75" customHeight="1" s="57">
      <c r="A64" s="29" t="n"/>
      <c r="B64" s="30" t="n"/>
      <c r="C64" s="39" t="n"/>
      <c r="D64" s="39" t="n"/>
      <c r="E64" s="39" t="n"/>
      <c r="F64" s="40" t="n"/>
      <c r="G64" s="30" t="n"/>
      <c r="H64" s="30" t="n"/>
      <c r="I64" s="30" t="n"/>
      <c r="J64" s="30" t="n"/>
      <c r="K64" s="30" t="n"/>
      <c r="L64" s="30" t="n"/>
      <c r="M64" s="30" t="n"/>
      <c r="N64" s="30" t="n"/>
      <c r="O64" s="30" t="n"/>
      <c r="P64" s="30" t="n"/>
      <c r="Q64" s="30" t="n"/>
      <c r="R64" s="30" t="n"/>
      <c r="S64" s="30" t="n"/>
      <c r="T64" s="30" t="n"/>
      <c r="U64" s="30" t="n"/>
      <c r="V64" s="30" t="n"/>
      <c r="W64" s="30" t="n"/>
      <c r="X64" s="30" t="n"/>
      <c r="Y64" s="30" t="n"/>
      <c r="Z64" s="30" t="n"/>
      <c r="AA64" s="30" t="n"/>
      <c r="AB64" s="30" t="n"/>
      <c r="AC64" s="30" t="n"/>
      <c r="AD64" s="41" t="n"/>
      <c r="AE64" s="30" t="n"/>
      <c r="AF64" s="42">
        <f>IF($AA77="","",IF(LEFT(UPPER(TRIM($AA77)),8)="FELICITA","N/A",IF($AE77="","",IFERROR(VLOOKUP(UPPER(TRIM($AE77)),Config!$A$6:$D$8,2,FALSE),IFERROR(VLOOKUP(IF(LEFT(UPPER(TRIM($AE77)),5)="SUPER","SUPER SALUD",IF(LEFT(UPPER(TRIM($AE77)),8)="SECRETAR","SECRETARIA DE SALUD",IF(LEFT(UPPER(TRIM($AE77)),4)="SEDE","SEDE",UPPER(TRIM($AE77))))),Config!$A$6:$D$8,2,FALSE),"⚠")))))</f>
        <v/>
      </c>
      <c r="AG64" s="30">
        <f>IF($AA77="","",IF(LEFT(UPPER(TRIM($AA77)),8)="FELICITA","N/A",IF($AE77="","",IFERROR(VLOOKUP(UPPER(TRIM($AE77)),Config!$A$6:$D$8,3,FALSE),IFERROR(VLOOKUP(IF(LEFT(UPPER(TRIM($AE77)),5)="SUPER","SUPER SALUD",IF(LEFT(UPPER(TRIM($AE77)),8)="SECRETAR","SECRETARIA DE SALUD",IF(LEFT(UPPER(TRIM($AE77)),4)="SEDE","SEDE",UPPER(TRIM($AE77))))),Config!$A$6:$D$8,3,FALSE),"")))))</f>
        <v/>
      </c>
      <c r="AH64" s="39">
        <f>IF(OR($E77="",NOT(ISNUMBER($E77)),$AF77="",$AF77="N/A",NOT(ISNUMBER($AF77))),"",IF($AG77="Hábiles",WORKDAY(INT($E77),$AF77,Config!$F$6:$F$39),INT($E77)+$AF77))</f>
        <v/>
      </c>
      <c r="AI64" s="30">
        <f>IF($E77="","",IF(LEFT(UPPER(TRIM($AA77)),8)="FELICITA","⭐ Felicitación",IF(NOT(ISNUMBER($E77)),"⚠ Revisar fecha",IF(UPPER(TRIM($AK77))="RESPONDIDA - CERRADA","✅ Cerrada",IF($AE77="","⚠ Falta entidad",IF($AH77="","⚠ Revisar término",IF(TODAY()&gt;$AH77,"🔴 Vencida",IF($AH77-TODAY()&lt;=Config!$B$12,"🟡 Próxima a vencer","🟢 En término"))))))))</f>
        <v/>
      </c>
      <c r="AJ64" s="42">
        <f>IF(OR($E77="",NOT(ISNUMBER($E77))),"",IF(ISNUMBER($AS77),MAX(0,INT($AS77)-INT($E77)),MAX(0,TODAY()-INT($E77))))</f>
        <v/>
      </c>
      <c r="AK64" s="30" t="n"/>
      <c r="AL64" s="30" t="n"/>
      <c r="AM64" s="30" t="n"/>
      <c r="AN64" s="39" t="n"/>
      <c r="AO64" s="30" t="n"/>
      <c r="AP64" s="30" t="n"/>
      <c r="AQ64" s="39" t="n"/>
      <c r="AR64" s="30" t="n"/>
      <c r="AS64" s="39" t="n"/>
      <c r="AT64" s="30">
        <f>IF(OR($AS77="",NOT(ISNUMBER($AS77)),$AH77=""),"",IF(INT($AS77)&lt;=$AH77,"A tiempo","Fuera de término"))</f>
        <v/>
      </c>
      <c r="AU64" s="40" t="n"/>
      <c r="AV64" s="40" t="n"/>
      <c r="AW64" s="40" t="n"/>
      <c r="AX64" s="40" t="n"/>
      <c r="AY64" s="30" t="n"/>
      <c r="AZ64" s="30" t="n"/>
      <c r="BA64" s="30" t="n"/>
    </row>
    <row r="65" ht="15.75" customHeight="1" s="57">
      <c r="A65" s="29" t="n"/>
      <c r="B65" s="30" t="n"/>
      <c r="C65" s="39" t="n"/>
      <c r="D65" s="39" t="n"/>
      <c r="E65" s="39" t="n"/>
      <c r="F65" s="40" t="n"/>
      <c r="G65" s="30" t="n"/>
      <c r="H65" s="30" t="n"/>
      <c r="I65" s="30" t="n"/>
      <c r="J65" s="30" t="n"/>
      <c r="K65" s="30" t="n"/>
      <c r="L65" s="30" t="n"/>
      <c r="M65" s="30" t="n"/>
      <c r="N65" s="30" t="n"/>
      <c r="O65" s="30" t="n"/>
      <c r="P65" s="30" t="n"/>
      <c r="Q65" s="30" t="n"/>
      <c r="R65" s="30" t="n"/>
      <c r="S65" s="30" t="n"/>
      <c r="T65" s="30" t="n"/>
      <c r="U65" s="30" t="n"/>
      <c r="V65" s="30" t="n"/>
      <c r="W65" s="30" t="n"/>
      <c r="X65" s="30" t="n"/>
      <c r="Y65" s="30" t="n"/>
      <c r="Z65" s="30" t="n"/>
      <c r="AA65" s="30" t="n"/>
      <c r="AB65" s="30" t="n"/>
      <c r="AC65" s="30" t="n"/>
      <c r="AD65" s="41" t="n"/>
      <c r="AE65" s="30" t="n"/>
      <c r="AF65" s="42">
        <f>IF($AA78="","",IF(LEFT(UPPER(TRIM($AA78)),8)="FELICITA","N/A",IF($AE78="","",IFERROR(VLOOKUP(UPPER(TRIM($AE78)),Config!$A$6:$D$8,2,FALSE),IFERROR(VLOOKUP(IF(LEFT(UPPER(TRIM($AE78)),5)="SUPER","SUPER SALUD",IF(LEFT(UPPER(TRIM($AE78)),8)="SECRETAR","SECRETARIA DE SALUD",IF(LEFT(UPPER(TRIM($AE78)),4)="SEDE","SEDE",UPPER(TRIM($AE78))))),Config!$A$6:$D$8,2,FALSE),"⚠")))))</f>
        <v/>
      </c>
      <c r="AG65" s="30">
        <f>IF($AA78="","",IF(LEFT(UPPER(TRIM($AA78)),8)="FELICITA","N/A",IF($AE78="","",IFERROR(VLOOKUP(UPPER(TRIM($AE78)),Config!$A$6:$D$8,3,FALSE),IFERROR(VLOOKUP(IF(LEFT(UPPER(TRIM($AE78)),5)="SUPER","SUPER SALUD",IF(LEFT(UPPER(TRIM($AE78)),8)="SECRETAR","SECRETARIA DE SALUD",IF(LEFT(UPPER(TRIM($AE78)),4)="SEDE","SEDE",UPPER(TRIM($AE78))))),Config!$A$6:$D$8,3,FALSE),"")))))</f>
        <v/>
      </c>
      <c r="AH65" s="39">
        <f>IF(OR($E78="",NOT(ISNUMBER($E78)),$AF78="",$AF78="N/A",NOT(ISNUMBER($AF78))),"",IF($AG78="Hábiles",WORKDAY(INT($E78),$AF78,Config!$F$6:$F$39),INT($E78)+$AF78))</f>
        <v/>
      </c>
      <c r="AI65" s="30">
        <f>IF($E78="","",IF(LEFT(UPPER(TRIM($AA78)),8)="FELICITA","⭐ Felicitación",IF(NOT(ISNUMBER($E78)),"⚠ Revisar fecha",IF(UPPER(TRIM($AK78))="RESPONDIDA - CERRADA","✅ Cerrada",IF($AE78="","⚠ Falta entidad",IF($AH78="","⚠ Revisar término",IF(TODAY()&gt;$AH78,"🔴 Vencida",IF($AH78-TODAY()&lt;=Config!$B$12,"🟡 Próxima a vencer","🟢 En término"))))))))</f>
        <v/>
      </c>
      <c r="AJ65" s="42">
        <f>IF(OR($E78="",NOT(ISNUMBER($E78))),"",IF(ISNUMBER($AS78),MAX(0,INT($AS78)-INT($E78)),MAX(0,TODAY()-INT($E78))))</f>
        <v/>
      </c>
      <c r="AK65" s="30" t="n"/>
      <c r="AL65" s="30" t="n"/>
      <c r="AM65" s="30" t="n"/>
      <c r="AN65" s="39" t="n"/>
      <c r="AO65" s="30" t="n"/>
      <c r="AP65" s="30" t="n"/>
      <c r="AQ65" s="39" t="n"/>
      <c r="AR65" s="30" t="n"/>
      <c r="AS65" s="39" t="n"/>
      <c r="AT65" s="30">
        <f>IF(OR($AS78="",NOT(ISNUMBER($AS78)),$AH78=""),"",IF(INT($AS78)&lt;=$AH78,"A tiempo","Fuera de término"))</f>
        <v/>
      </c>
      <c r="AU65" s="40" t="n"/>
      <c r="AV65" s="40" t="n"/>
      <c r="AW65" s="40" t="n"/>
      <c r="AX65" s="40" t="n"/>
      <c r="AY65" s="30" t="n"/>
      <c r="AZ65" s="30" t="n"/>
      <c r="BA65" s="30" t="n"/>
    </row>
    <row r="66" ht="15.75" customHeight="1" s="57">
      <c r="A66" s="29" t="n"/>
      <c r="B66" s="30" t="n"/>
      <c r="C66" s="39" t="n"/>
      <c r="D66" s="39" t="n"/>
      <c r="E66" s="39" t="n"/>
      <c r="F66" s="40" t="n"/>
      <c r="G66" s="30" t="n"/>
      <c r="H66" s="30" t="n"/>
      <c r="I66" s="30" t="n"/>
      <c r="J66" s="30" t="n"/>
      <c r="K66" s="30" t="n"/>
      <c r="L66" s="30" t="n"/>
      <c r="M66" s="30" t="n"/>
      <c r="N66" s="30" t="n"/>
      <c r="O66" s="30" t="n"/>
      <c r="P66" s="30" t="n"/>
      <c r="Q66" s="30" t="n"/>
      <c r="R66" s="30" t="n"/>
      <c r="S66" s="30" t="n"/>
      <c r="T66" s="30" t="n"/>
      <c r="U66" s="30" t="n"/>
      <c r="V66" s="30" t="n"/>
      <c r="W66" s="30" t="n"/>
      <c r="X66" s="30" t="n"/>
      <c r="Y66" s="30" t="n"/>
      <c r="Z66" s="30" t="n"/>
      <c r="AA66" s="30" t="n"/>
      <c r="AB66" s="30" t="n"/>
      <c r="AC66" s="30" t="n"/>
      <c r="AD66" s="41" t="n"/>
      <c r="AE66" s="30" t="n"/>
      <c r="AF66" s="42">
        <f>IF($AA79="","",IF(LEFT(UPPER(TRIM($AA79)),8)="FELICITA","N/A",IF($AE79="","",IFERROR(VLOOKUP(UPPER(TRIM($AE79)),Config!$A$6:$D$8,2,FALSE),IFERROR(VLOOKUP(IF(LEFT(UPPER(TRIM($AE79)),5)="SUPER","SUPER SALUD",IF(LEFT(UPPER(TRIM($AE79)),8)="SECRETAR","SECRETARIA DE SALUD",IF(LEFT(UPPER(TRIM($AE79)),4)="SEDE","SEDE",UPPER(TRIM($AE79))))),Config!$A$6:$D$8,2,FALSE),"⚠")))))</f>
        <v/>
      </c>
      <c r="AG66" s="30">
        <f>IF($AA79="","",IF(LEFT(UPPER(TRIM($AA79)),8)="FELICITA","N/A",IF($AE79="","",IFERROR(VLOOKUP(UPPER(TRIM($AE79)),Config!$A$6:$D$8,3,FALSE),IFERROR(VLOOKUP(IF(LEFT(UPPER(TRIM($AE79)),5)="SUPER","SUPER SALUD",IF(LEFT(UPPER(TRIM($AE79)),8)="SECRETAR","SECRETARIA DE SALUD",IF(LEFT(UPPER(TRIM($AE79)),4)="SEDE","SEDE",UPPER(TRIM($AE79))))),Config!$A$6:$D$8,3,FALSE),"")))))</f>
        <v/>
      </c>
      <c r="AH66" s="39">
        <f>IF(OR($E79="",NOT(ISNUMBER($E79)),$AF79="",$AF79="N/A",NOT(ISNUMBER($AF79))),"",IF($AG79="Hábiles",WORKDAY(INT($E79),$AF79,Config!$F$6:$F$39),INT($E79)+$AF79))</f>
        <v/>
      </c>
      <c r="AI66" s="30">
        <f>IF($E79="","",IF(LEFT(UPPER(TRIM($AA79)),8)="FELICITA","⭐ Felicitación",IF(NOT(ISNUMBER($E79)),"⚠ Revisar fecha",IF(UPPER(TRIM($AK79))="RESPONDIDA - CERRADA","✅ Cerrada",IF($AE79="","⚠ Falta entidad",IF($AH79="","⚠ Revisar término",IF(TODAY()&gt;$AH79,"🔴 Vencida",IF($AH79-TODAY()&lt;=Config!$B$12,"🟡 Próxima a vencer","🟢 En término"))))))))</f>
        <v/>
      </c>
      <c r="AJ66" s="42">
        <f>IF(OR($E79="",NOT(ISNUMBER($E79))),"",IF(ISNUMBER($AS79),MAX(0,INT($AS79)-INT($E79)),MAX(0,TODAY()-INT($E79))))</f>
        <v/>
      </c>
      <c r="AK66" s="30" t="n"/>
      <c r="AL66" s="30" t="n"/>
      <c r="AM66" s="30" t="n"/>
      <c r="AN66" s="39" t="n"/>
      <c r="AO66" s="30" t="n"/>
      <c r="AP66" s="30" t="n"/>
      <c r="AQ66" s="39" t="n"/>
      <c r="AR66" s="30" t="n"/>
      <c r="AS66" s="39" t="n"/>
      <c r="AT66" s="30">
        <f>IF(OR($AS79="",NOT(ISNUMBER($AS79)),$AH79=""),"",IF(INT($AS79)&lt;=$AH79,"A tiempo","Fuera de término"))</f>
        <v/>
      </c>
      <c r="AU66" s="40" t="n"/>
      <c r="AV66" s="40" t="n"/>
      <c r="AW66" s="40" t="n"/>
      <c r="AX66" s="40" t="n"/>
      <c r="AY66" s="30" t="n"/>
      <c r="AZ66" s="30" t="n"/>
      <c r="BA66" s="30" t="n"/>
    </row>
    <row r="67" ht="15.75" customHeight="1" s="57">
      <c r="A67" s="29" t="n"/>
      <c r="B67" s="30" t="n"/>
      <c r="C67" s="39" t="n"/>
      <c r="D67" s="39" t="n"/>
      <c r="E67" s="39" t="n"/>
      <c r="F67" s="40" t="n"/>
      <c r="G67" s="30" t="n"/>
      <c r="H67" s="30" t="n"/>
      <c r="I67" s="30" t="n"/>
      <c r="J67" s="30" t="n"/>
      <c r="K67" s="30" t="n"/>
      <c r="L67" s="30" t="n"/>
      <c r="M67" s="30" t="n"/>
      <c r="N67" s="30" t="n"/>
      <c r="O67" s="30" t="n"/>
      <c r="P67" s="30" t="n"/>
      <c r="Q67" s="30" t="n"/>
      <c r="R67" s="30" t="n"/>
      <c r="S67" s="30" t="n"/>
      <c r="T67" s="30" t="n"/>
      <c r="U67" s="30" t="n"/>
      <c r="V67" s="30" t="n"/>
      <c r="W67" s="30" t="n"/>
      <c r="X67" s="30" t="n"/>
      <c r="Y67" s="30" t="n"/>
      <c r="Z67" s="30" t="n"/>
      <c r="AA67" s="30" t="n"/>
      <c r="AB67" s="30" t="n"/>
      <c r="AC67" s="30" t="n"/>
      <c r="AD67" s="41" t="n"/>
      <c r="AE67" s="30" t="n"/>
      <c r="AF67" s="42">
        <f>IF($AA80="","",IF(LEFT(UPPER(TRIM($AA80)),8)="FELICITA","N/A",IF($AE80="","",IFERROR(VLOOKUP(UPPER(TRIM($AE80)),Config!$A$6:$D$8,2,FALSE),IFERROR(VLOOKUP(IF(LEFT(UPPER(TRIM($AE80)),5)="SUPER","SUPER SALUD",IF(LEFT(UPPER(TRIM($AE80)),8)="SECRETAR","SECRETARIA DE SALUD",IF(LEFT(UPPER(TRIM($AE80)),4)="SEDE","SEDE",UPPER(TRIM($AE80))))),Config!$A$6:$D$8,2,FALSE),"⚠")))))</f>
        <v/>
      </c>
      <c r="AG67" s="30">
        <f>IF($AA80="","",IF(LEFT(UPPER(TRIM($AA80)),8)="FELICITA","N/A",IF($AE80="","",IFERROR(VLOOKUP(UPPER(TRIM($AE80)),Config!$A$6:$D$8,3,FALSE),IFERROR(VLOOKUP(IF(LEFT(UPPER(TRIM($AE80)),5)="SUPER","SUPER SALUD",IF(LEFT(UPPER(TRIM($AE80)),8)="SECRETAR","SECRETARIA DE SALUD",IF(LEFT(UPPER(TRIM($AE80)),4)="SEDE","SEDE",UPPER(TRIM($AE80))))),Config!$A$6:$D$8,3,FALSE),"")))))</f>
        <v/>
      </c>
      <c r="AH67" s="39">
        <f>IF(OR($E80="",NOT(ISNUMBER($E80)),$AF80="",$AF80="N/A",NOT(ISNUMBER($AF80))),"",IF($AG80="Hábiles",WORKDAY(INT($E80),$AF80,Config!$F$6:$F$39),INT($E80)+$AF80))</f>
        <v/>
      </c>
      <c r="AI67" s="30">
        <f>IF($E80="","",IF(LEFT(UPPER(TRIM($AA80)),8)="FELICITA","⭐ Felicitación",IF(NOT(ISNUMBER($E80)),"⚠ Revisar fecha",IF(UPPER(TRIM($AK80))="RESPONDIDA - CERRADA","✅ Cerrada",IF($AE80="","⚠ Falta entidad",IF($AH80="","⚠ Revisar término",IF(TODAY()&gt;$AH80,"🔴 Vencida",IF($AH80-TODAY()&lt;=Config!$B$12,"🟡 Próxima a vencer","🟢 En término"))))))))</f>
        <v/>
      </c>
      <c r="AJ67" s="42">
        <f>IF(OR($E80="",NOT(ISNUMBER($E80))),"",IF(ISNUMBER($AS80),MAX(0,INT($AS80)-INT($E80)),MAX(0,TODAY()-INT($E80))))</f>
        <v/>
      </c>
      <c r="AK67" s="30" t="n"/>
      <c r="AL67" s="30" t="n"/>
      <c r="AM67" s="30" t="n"/>
      <c r="AN67" s="39" t="n"/>
      <c r="AO67" s="30" t="n"/>
      <c r="AP67" s="30" t="n"/>
      <c r="AQ67" s="39" t="n"/>
      <c r="AR67" s="30" t="n"/>
      <c r="AS67" s="39" t="n"/>
      <c r="AT67" s="30">
        <f>IF(OR($AS80="",NOT(ISNUMBER($AS80)),$AH80=""),"",IF(INT($AS80)&lt;=$AH80,"A tiempo","Fuera de término"))</f>
        <v/>
      </c>
      <c r="AU67" s="40" t="n"/>
      <c r="AV67" s="40" t="n"/>
      <c r="AW67" s="40" t="n"/>
      <c r="AX67" s="40" t="n"/>
      <c r="AY67" s="30" t="n"/>
      <c r="AZ67" s="30" t="n"/>
      <c r="BA67" s="30" t="n"/>
    </row>
    <row r="68" ht="15.75" customHeight="1" s="57">
      <c r="A68" s="29" t="n"/>
      <c r="B68" s="30" t="n"/>
      <c r="C68" s="39" t="n"/>
      <c r="D68" s="39" t="n"/>
      <c r="E68" s="39" t="n"/>
      <c r="F68" s="40" t="n"/>
      <c r="G68" s="30" t="n"/>
      <c r="H68" s="30" t="n"/>
      <c r="I68" s="30" t="n"/>
      <c r="J68" s="30" t="n"/>
      <c r="K68" s="30" t="n"/>
      <c r="L68" s="30" t="n"/>
      <c r="M68" s="30" t="n"/>
      <c r="N68" s="30" t="n"/>
      <c r="O68" s="30" t="n"/>
      <c r="P68" s="30" t="n"/>
      <c r="Q68" s="30" t="n"/>
      <c r="R68" s="30" t="n"/>
      <c r="S68" s="30" t="n"/>
      <c r="T68" s="30" t="n"/>
      <c r="U68" s="30" t="n"/>
      <c r="V68" s="30" t="n"/>
      <c r="W68" s="30" t="n"/>
      <c r="X68" s="30" t="n"/>
      <c r="Y68" s="30" t="n"/>
      <c r="Z68" s="30" t="n"/>
      <c r="AA68" s="30" t="n"/>
      <c r="AB68" s="30" t="n"/>
      <c r="AC68" s="30" t="n"/>
      <c r="AD68" s="41" t="n"/>
      <c r="AE68" s="30" t="n"/>
      <c r="AF68" s="42">
        <f>IF($AA81="","",IF(LEFT(UPPER(TRIM($AA81)),8)="FELICITA","N/A",IF($AE81="","",IFERROR(VLOOKUP(UPPER(TRIM($AE81)),Config!$A$6:$D$8,2,FALSE),IFERROR(VLOOKUP(IF(LEFT(UPPER(TRIM($AE81)),5)="SUPER","SUPER SALUD",IF(LEFT(UPPER(TRIM($AE81)),8)="SECRETAR","SECRETARIA DE SALUD",IF(LEFT(UPPER(TRIM($AE81)),4)="SEDE","SEDE",UPPER(TRIM($AE81))))),Config!$A$6:$D$8,2,FALSE),"⚠")))))</f>
        <v/>
      </c>
      <c r="AG68" s="30">
        <f>IF($AA81="","",IF(LEFT(UPPER(TRIM($AA81)),8)="FELICITA","N/A",IF($AE81="","",IFERROR(VLOOKUP(UPPER(TRIM($AE81)),Config!$A$6:$D$8,3,FALSE),IFERROR(VLOOKUP(IF(LEFT(UPPER(TRIM($AE81)),5)="SUPER","SUPER SALUD",IF(LEFT(UPPER(TRIM($AE81)),8)="SECRETAR","SECRETARIA DE SALUD",IF(LEFT(UPPER(TRIM($AE81)),4)="SEDE","SEDE",UPPER(TRIM($AE81))))),Config!$A$6:$D$8,3,FALSE),"")))))</f>
        <v/>
      </c>
      <c r="AH68" s="39">
        <f>IF(OR($E81="",NOT(ISNUMBER($E81)),$AF81="",$AF81="N/A",NOT(ISNUMBER($AF81))),"",IF($AG81="Hábiles",WORKDAY(INT($E81),$AF81,Config!$F$6:$F$39),INT($E81)+$AF81))</f>
        <v/>
      </c>
      <c r="AI68" s="30">
        <f>IF($E81="","",IF(LEFT(UPPER(TRIM($AA81)),8)="FELICITA","⭐ Felicitación",IF(NOT(ISNUMBER($E81)),"⚠ Revisar fecha",IF(UPPER(TRIM($AK81))="RESPONDIDA - CERRADA","✅ Cerrada",IF($AE81="","⚠ Falta entidad",IF($AH81="","⚠ Revisar término",IF(TODAY()&gt;$AH81,"🔴 Vencida",IF($AH81-TODAY()&lt;=Config!$B$12,"🟡 Próxima a vencer","🟢 En término"))))))))</f>
        <v/>
      </c>
      <c r="AJ68" s="42">
        <f>IF(OR($E81="",NOT(ISNUMBER($E81))),"",IF(ISNUMBER($AS81),MAX(0,INT($AS81)-INT($E81)),MAX(0,TODAY()-INT($E81))))</f>
        <v/>
      </c>
      <c r="AK68" s="30" t="n"/>
      <c r="AL68" s="30" t="n"/>
      <c r="AM68" s="30" t="n"/>
      <c r="AN68" s="39" t="n"/>
      <c r="AO68" s="30" t="n"/>
      <c r="AP68" s="30" t="n"/>
      <c r="AQ68" s="39" t="n"/>
      <c r="AR68" s="30" t="n"/>
      <c r="AS68" s="39" t="n"/>
      <c r="AT68" s="30">
        <f>IF(OR($AS81="",NOT(ISNUMBER($AS81)),$AH81=""),"",IF(INT($AS81)&lt;=$AH81,"A tiempo","Fuera de término"))</f>
        <v/>
      </c>
      <c r="AU68" s="40" t="n"/>
      <c r="AV68" s="40" t="n"/>
      <c r="AW68" s="40" t="n"/>
      <c r="AX68" s="40" t="n"/>
      <c r="AY68" s="30" t="n"/>
      <c r="AZ68" s="30" t="n"/>
      <c r="BA68" s="30" t="n"/>
    </row>
    <row r="69" ht="15.75" customHeight="1" s="57">
      <c r="A69" s="29" t="n"/>
      <c r="B69" s="30" t="n"/>
      <c r="C69" s="39" t="n"/>
      <c r="D69" s="39" t="n"/>
      <c r="E69" s="39" t="n"/>
      <c r="F69" s="40" t="n"/>
      <c r="G69" s="30" t="n"/>
      <c r="H69" s="30" t="n"/>
      <c r="I69" s="30" t="n"/>
      <c r="J69" s="30" t="n"/>
      <c r="K69" s="30" t="n"/>
      <c r="L69" s="30" t="n"/>
      <c r="M69" s="30" t="n"/>
      <c r="N69" s="30" t="n"/>
      <c r="O69" s="30" t="n"/>
      <c r="P69" s="30" t="n"/>
      <c r="Q69" s="30" t="n"/>
      <c r="R69" s="30" t="n"/>
      <c r="S69" s="30" t="n"/>
      <c r="T69" s="30" t="n"/>
      <c r="U69" s="30" t="n"/>
      <c r="V69" s="30" t="n"/>
      <c r="W69" s="30" t="n"/>
      <c r="X69" s="30" t="n"/>
      <c r="Y69" s="30" t="n"/>
      <c r="Z69" s="30" t="n"/>
      <c r="AA69" s="30" t="n"/>
      <c r="AB69" s="30" t="n"/>
      <c r="AC69" s="30" t="n"/>
      <c r="AD69" s="41" t="n"/>
      <c r="AE69" s="30" t="n"/>
      <c r="AF69" s="42">
        <f>IF($AA82="","",IF(LEFT(UPPER(TRIM($AA82)),8)="FELICITA","N/A",IF($AE82="","",IFERROR(VLOOKUP(UPPER(TRIM($AE82)),Config!$A$6:$D$8,2,FALSE),IFERROR(VLOOKUP(IF(LEFT(UPPER(TRIM($AE82)),5)="SUPER","SUPER SALUD",IF(LEFT(UPPER(TRIM($AE82)),8)="SECRETAR","SECRETARIA DE SALUD",IF(LEFT(UPPER(TRIM($AE82)),4)="SEDE","SEDE",UPPER(TRIM($AE82))))),Config!$A$6:$D$8,2,FALSE),"⚠")))))</f>
        <v/>
      </c>
      <c r="AG69" s="30">
        <f>IF($AA82="","",IF(LEFT(UPPER(TRIM($AA82)),8)="FELICITA","N/A",IF($AE82="","",IFERROR(VLOOKUP(UPPER(TRIM($AE82)),Config!$A$6:$D$8,3,FALSE),IFERROR(VLOOKUP(IF(LEFT(UPPER(TRIM($AE82)),5)="SUPER","SUPER SALUD",IF(LEFT(UPPER(TRIM($AE82)),8)="SECRETAR","SECRETARIA DE SALUD",IF(LEFT(UPPER(TRIM($AE82)),4)="SEDE","SEDE",UPPER(TRIM($AE82))))),Config!$A$6:$D$8,3,FALSE),"")))))</f>
        <v/>
      </c>
      <c r="AH69" s="39">
        <f>IF(OR($E82="",NOT(ISNUMBER($E82)),$AF82="",$AF82="N/A",NOT(ISNUMBER($AF82))),"",IF($AG82="Hábiles",WORKDAY(INT($E82),$AF82,Config!$F$6:$F$39),INT($E82)+$AF82))</f>
        <v/>
      </c>
      <c r="AI69" s="30">
        <f>IF($E82="","",IF(LEFT(UPPER(TRIM($AA82)),8)="FELICITA","⭐ Felicitación",IF(NOT(ISNUMBER($E82)),"⚠ Revisar fecha",IF(UPPER(TRIM($AK82))="RESPONDIDA - CERRADA","✅ Cerrada",IF($AE82="","⚠ Falta entidad",IF($AH82="","⚠ Revisar término",IF(TODAY()&gt;$AH82,"🔴 Vencida",IF($AH82-TODAY()&lt;=Config!$B$12,"🟡 Próxima a vencer","🟢 En término"))))))))</f>
        <v/>
      </c>
      <c r="AJ69" s="42">
        <f>IF(OR($E82="",NOT(ISNUMBER($E82))),"",IF(ISNUMBER($AS82),MAX(0,INT($AS82)-INT($E82)),MAX(0,TODAY()-INT($E82))))</f>
        <v/>
      </c>
      <c r="AK69" s="30" t="n"/>
      <c r="AL69" s="30" t="n"/>
      <c r="AM69" s="30" t="n"/>
      <c r="AN69" s="39" t="n"/>
      <c r="AO69" s="30" t="n"/>
      <c r="AP69" s="30" t="n"/>
      <c r="AQ69" s="39" t="n"/>
      <c r="AR69" s="30" t="n"/>
      <c r="AS69" s="39" t="n"/>
      <c r="AT69" s="30">
        <f>IF(OR($AS82="",NOT(ISNUMBER($AS82)),$AH82=""),"",IF(INT($AS82)&lt;=$AH82,"A tiempo","Fuera de término"))</f>
        <v/>
      </c>
      <c r="AU69" s="40" t="n"/>
      <c r="AV69" s="40" t="n"/>
      <c r="AW69" s="40" t="n"/>
      <c r="AX69" s="40" t="n"/>
      <c r="AY69" s="30" t="n"/>
      <c r="AZ69" s="30" t="n"/>
      <c r="BA69" s="30" t="n"/>
    </row>
    <row r="70" ht="15.75" customHeight="1" s="57">
      <c r="A70" s="29" t="n"/>
      <c r="B70" s="30" t="n"/>
      <c r="C70" s="39" t="n"/>
      <c r="D70" s="39" t="n"/>
      <c r="E70" s="39" t="n"/>
      <c r="F70" s="40" t="n"/>
      <c r="G70" s="30" t="n"/>
      <c r="H70" s="30" t="n"/>
      <c r="I70" s="30" t="n"/>
      <c r="J70" s="30" t="n"/>
      <c r="K70" s="30" t="n"/>
      <c r="L70" s="30" t="n"/>
      <c r="M70" s="30" t="n"/>
      <c r="N70" s="30" t="n"/>
      <c r="O70" s="30" t="n"/>
      <c r="P70" s="30" t="n"/>
      <c r="Q70" s="30" t="n"/>
      <c r="R70" s="30" t="n"/>
      <c r="S70" s="30" t="n"/>
      <c r="T70" s="30" t="n"/>
      <c r="U70" s="30" t="n"/>
      <c r="V70" s="30" t="n"/>
      <c r="W70" s="30" t="n"/>
      <c r="X70" s="30" t="n"/>
      <c r="Y70" s="30" t="n"/>
      <c r="Z70" s="30" t="n"/>
      <c r="AA70" s="30" t="n"/>
      <c r="AB70" s="30" t="n"/>
      <c r="AC70" s="30" t="n"/>
      <c r="AD70" s="41" t="n"/>
      <c r="AE70" s="30" t="n"/>
      <c r="AF70" s="42">
        <f>IF($AA83="","",IF(LEFT(UPPER(TRIM($AA83)),8)="FELICITA","N/A",IF($AE83="","",IFERROR(VLOOKUP(UPPER(TRIM($AE83)),Config!$A$6:$D$8,2,FALSE),IFERROR(VLOOKUP(IF(LEFT(UPPER(TRIM($AE83)),5)="SUPER","SUPER SALUD",IF(LEFT(UPPER(TRIM($AE83)),8)="SECRETAR","SECRETARIA DE SALUD",IF(LEFT(UPPER(TRIM($AE83)),4)="SEDE","SEDE",UPPER(TRIM($AE83))))),Config!$A$6:$D$8,2,FALSE),"⚠")))))</f>
        <v/>
      </c>
      <c r="AG70" s="30">
        <f>IF($AA83="","",IF(LEFT(UPPER(TRIM($AA83)),8)="FELICITA","N/A",IF($AE83="","",IFERROR(VLOOKUP(UPPER(TRIM($AE83)),Config!$A$6:$D$8,3,FALSE),IFERROR(VLOOKUP(IF(LEFT(UPPER(TRIM($AE83)),5)="SUPER","SUPER SALUD",IF(LEFT(UPPER(TRIM($AE83)),8)="SECRETAR","SECRETARIA DE SALUD",IF(LEFT(UPPER(TRIM($AE83)),4)="SEDE","SEDE",UPPER(TRIM($AE83))))),Config!$A$6:$D$8,3,FALSE),"")))))</f>
        <v/>
      </c>
      <c r="AH70" s="39">
        <f>IF(OR($E83="",NOT(ISNUMBER($E83)),$AF83="",$AF83="N/A",NOT(ISNUMBER($AF83))),"",IF($AG83="Hábiles",WORKDAY(INT($E83),$AF83,Config!$F$6:$F$39),INT($E83)+$AF83))</f>
        <v/>
      </c>
      <c r="AI70" s="30">
        <f>IF($E83="","",IF(LEFT(UPPER(TRIM($AA83)),8)="FELICITA","⭐ Felicitación",IF(NOT(ISNUMBER($E83)),"⚠ Revisar fecha",IF(UPPER(TRIM($AK83))="RESPONDIDA - CERRADA","✅ Cerrada",IF($AE83="","⚠ Falta entidad",IF($AH83="","⚠ Revisar término",IF(TODAY()&gt;$AH83,"🔴 Vencida",IF($AH83-TODAY()&lt;=Config!$B$12,"🟡 Próxima a vencer","🟢 En término"))))))))</f>
        <v/>
      </c>
      <c r="AJ70" s="42">
        <f>IF(OR($E83="",NOT(ISNUMBER($E83))),"",IF(ISNUMBER($AS83),MAX(0,INT($AS83)-INT($E83)),MAX(0,TODAY()-INT($E83))))</f>
        <v/>
      </c>
      <c r="AK70" s="30" t="n"/>
      <c r="AL70" s="30" t="n"/>
      <c r="AM70" s="30" t="n"/>
      <c r="AN70" s="39" t="n"/>
      <c r="AO70" s="30" t="n"/>
      <c r="AP70" s="30" t="n"/>
      <c r="AQ70" s="39" t="n"/>
      <c r="AR70" s="30" t="n"/>
      <c r="AS70" s="39" t="n"/>
      <c r="AT70" s="30">
        <f>IF(OR($AS83="",NOT(ISNUMBER($AS83)),$AH83=""),"",IF(INT($AS83)&lt;=$AH83,"A tiempo","Fuera de término"))</f>
        <v/>
      </c>
      <c r="AU70" s="40" t="n"/>
      <c r="AV70" s="40" t="n"/>
      <c r="AW70" s="40" t="n"/>
      <c r="AX70" s="40" t="n"/>
      <c r="AY70" s="30" t="n"/>
      <c r="AZ70" s="30" t="n"/>
      <c r="BA70" s="30" t="n"/>
    </row>
    <row r="71" ht="15.75" customHeight="1" s="57">
      <c r="A71" s="29" t="n"/>
      <c r="B71" s="30" t="n"/>
      <c r="C71" s="39" t="n"/>
      <c r="D71" s="39" t="n"/>
      <c r="E71" s="39" t="n"/>
      <c r="F71" s="40" t="n"/>
      <c r="G71" s="30" t="n"/>
      <c r="H71" s="30" t="n"/>
      <c r="I71" s="30" t="n"/>
      <c r="J71" s="30" t="n"/>
      <c r="K71" s="30" t="n"/>
      <c r="L71" s="30" t="n"/>
      <c r="M71" s="30" t="n"/>
      <c r="N71" s="30" t="n"/>
      <c r="O71" s="30" t="n"/>
      <c r="P71" s="30" t="n"/>
      <c r="Q71" s="30" t="n"/>
      <c r="R71" s="30" t="n"/>
      <c r="S71" s="30" t="n"/>
      <c r="T71" s="30" t="n"/>
      <c r="U71" s="30" t="n"/>
      <c r="V71" s="30" t="n"/>
      <c r="W71" s="30" t="n"/>
      <c r="X71" s="30" t="n"/>
      <c r="Y71" s="30" t="n"/>
      <c r="Z71" s="30" t="n"/>
      <c r="AA71" s="30" t="n"/>
      <c r="AB71" s="30" t="n"/>
      <c r="AC71" s="30" t="n"/>
      <c r="AD71" s="41" t="n"/>
      <c r="AE71" s="30" t="n"/>
      <c r="AF71" s="42">
        <f>IF($AA84="","",IF(LEFT(UPPER(TRIM($AA84)),8)="FELICITA","N/A",IF($AE84="","",IFERROR(VLOOKUP(UPPER(TRIM($AE84)),Config!$A$6:$D$8,2,FALSE),IFERROR(VLOOKUP(IF(LEFT(UPPER(TRIM($AE84)),5)="SUPER","SUPER SALUD",IF(LEFT(UPPER(TRIM($AE84)),8)="SECRETAR","SECRETARIA DE SALUD",IF(LEFT(UPPER(TRIM($AE84)),4)="SEDE","SEDE",UPPER(TRIM($AE84))))),Config!$A$6:$D$8,2,FALSE),"⚠")))))</f>
        <v/>
      </c>
      <c r="AG71" s="30">
        <f>IF($AA84="","",IF(LEFT(UPPER(TRIM($AA84)),8)="FELICITA","N/A",IF($AE84="","",IFERROR(VLOOKUP(UPPER(TRIM($AE84)),Config!$A$6:$D$8,3,FALSE),IFERROR(VLOOKUP(IF(LEFT(UPPER(TRIM($AE84)),5)="SUPER","SUPER SALUD",IF(LEFT(UPPER(TRIM($AE84)),8)="SECRETAR","SECRETARIA DE SALUD",IF(LEFT(UPPER(TRIM($AE84)),4)="SEDE","SEDE",UPPER(TRIM($AE84))))),Config!$A$6:$D$8,3,FALSE),"")))))</f>
        <v/>
      </c>
      <c r="AH71" s="39">
        <f>IF(OR($E84="",NOT(ISNUMBER($E84)),$AF84="",$AF84="N/A",NOT(ISNUMBER($AF84))),"",IF($AG84="Hábiles",WORKDAY(INT($E84),$AF84,Config!$F$6:$F$39),INT($E84)+$AF84))</f>
        <v/>
      </c>
      <c r="AI71" s="30">
        <f>IF($E84="","",IF(LEFT(UPPER(TRIM($AA84)),8)="FELICITA","⭐ Felicitación",IF(NOT(ISNUMBER($E84)),"⚠ Revisar fecha",IF(UPPER(TRIM($AK84))="RESPONDIDA - CERRADA","✅ Cerrada",IF($AE84="","⚠ Falta entidad",IF($AH84="","⚠ Revisar término",IF(TODAY()&gt;$AH84,"🔴 Vencida",IF($AH84-TODAY()&lt;=Config!$B$12,"🟡 Próxima a vencer","🟢 En término"))))))))</f>
        <v/>
      </c>
      <c r="AJ71" s="42">
        <f>IF(OR($E84="",NOT(ISNUMBER($E84))),"",IF(ISNUMBER($AS84),MAX(0,INT($AS84)-INT($E84)),MAX(0,TODAY()-INT($E84))))</f>
        <v/>
      </c>
      <c r="AK71" s="30" t="n"/>
      <c r="AL71" s="30" t="n"/>
      <c r="AM71" s="30" t="n"/>
      <c r="AN71" s="39" t="n"/>
      <c r="AO71" s="30" t="n"/>
      <c r="AP71" s="30" t="n"/>
      <c r="AQ71" s="39" t="n"/>
      <c r="AR71" s="30" t="n"/>
      <c r="AS71" s="39" t="n"/>
      <c r="AT71" s="30">
        <f>IF(OR($AS84="",NOT(ISNUMBER($AS84)),$AH84=""),"",IF(INT($AS84)&lt;=$AH84,"A tiempo","Fuera de término"))</f>
        <v/>
      </c>
      <c r="AU71" s="40" t="n"/>
      <c r="AV71" s="40" t="n"/>
      <c r="AW71" s="40" t="n"/>
      <c r="AX71" s="40" t="n"/>
      <c r="AY71" s="30" t="n"/>
      <c r="AZ71" s="30" t="n"/>
      <c r="BA71" s="30" t="n"/>
    </row>
    <row r="72" ht="15.75" customHeight="1" s="57">
      <c r="A72" s="29" t="n"/>
      <c r="B72" s="30" t="n"/>
      <c r="C72" s="39" t="n"/>
      <c r="D72" s="39" t="n"/>
      <c r="E72" s="39" t="n"/>
      <c r="F72" s="40" t="n"/>
      <c r="G72" s="30" t="n"/>
      <c r="H72" s="30" t="n"/>
      <c r="I72" s="30" t="n"/>
      <c r="J72" s="30" t="n"/>
      <c r="K72" s="30" t="n"/>
      <c r="L72" s="30" t="n"/>
      <c r="M72" s="30" t="n"/>
      <c r="N72" s="30" t="n"/>
      <c r="O72" s="30" t="n"/>
      <c r="P72" s="30" t="n"/>
      <c r="Q72" s="30" t="n"/>
      <c r="R72" s="30" t="n"/>
      <c r="S72" s="30" t="n"/>
      <c r="T72" s="30" t="n"/>
      <c r="U72" s="30" t="n"/>
      <c r="V72" s="30" t="n"/>
      <c r="W72" s="30" t="n"/>
      <c r="X72" s="30" t="n"/>
      <c r="Y72" s="30" t="n"/>
      <c r="Z72" s="30" t="n"/>
      <c r="AA72" s="30" t="n"/>
      <c r="AB72" s="30" t="n"/>
      <c r="AC72" s="30" t="n"/>
      <c r="AD72" s="41" t="n"/>
      <c r="AE72" s="30" t="n"/>
      <c r="AF72" s="42">
        <f>IF($AA85="","",IF(LEFT(UPPER(TRIM($AA85)),8)="FELICITA","N/A",IF($AE85="","",IFERROR(VLOOKUP(UPPER(TRIM($AE85)),Config!$A$6:$D$8,2,FALSE),IFERROR(VLOOKUP(IF(LEFT(UPPER(TRIM($AE85)),5)="SUPER","SUPER SALUD",IF(LEFT(UPPER(TRIM($AE85)),8)="SECRETAR","SECRETARIA DE SALUD",IF(LEFT(UPPER(TRIM($AE85)),4)="SEDE","SEDE",UPPER(TRIM($AE85))))),Config!$A$6:$D$8,2,FALSE),"⚠")))))</f>
        <v/>
      </c>
      <c r="AG72" s="30">
        <f>IF($AA85="","",IF(LEFT(UPPER(TRIM($AA85)),8)="FELICITA","N/A",IF($AE85="","",IFERROR(VLOOKUP(UPPER(TRIM($AE85)),Config!$A$6:$D$8,3,FALSE),IFERROR(VLOOKUP(IF(LEFT(UPPER(TRIM($AE85)),5)="SUPER","SUPER SALUD",IF(LEFT(UPPER(TRIM($AE85)),8)="SECRETAR","SECRETARIA DE SALUD",IF(LEFT(UPPER(TRIM($AE85)),4)="SEDE","SEDE",UPPER(TRIM($AE85))))),Config!$A$6:$D$8,3,FALSE),"")))))</f>
        <v/>
      </c>
      <c r="AH72" s="39">
        <f>IF(OR($E85="",NOT(ISNUMBER($E85)),$AF85="",$AF85="N/A",NOT(ISNUMBER($AF85))),"",IF($AG85="Hábiles",WORKDAY(INT($E85),$AF85,Config!$F$6:$F$39),INT($E85)+$AF85))</f>
        <v/>
      </c>
      <c r="AI72" s="30">
        <f>IF($E85="","",IF(LEFT(UPPER(TRIM($AA85)),8)="FELICITA","⭐ Felicitación",IF(NOT(ISNUMBER($E85)),"⚠ Revisar fecha",IF(UPPER(TRIM($AK85))="RESPONDIDA - CERRADA","✅ Cerrada",IF($AE85="","⚠ Falta entidad",IF($AH85="","⚠ Revisar término",IF(TODAY()&gt;$AH85,"🔴 Vencida",IF($AH85-TODAY()&lt;=Config!$B$12,"🟡 Próxima a vencer","🟢 En término"))))))))</f>
        <v/>
      </c>
      <c r="AJ72" s="42">
        <f>IF(OR($E85="",NOT(ISNUMBER($E85))),"",IF(ISNUMBER($AS85),MAX(0,INT($AS85)-INT($E85)),MAX(0,TODAY()-INT($E85))))</f>
        <v/>
      </c>
      <c r="AK72" s="30" t="n"/>
      <c r="AL72" s="30" t="n"/>
      <c r="AM72" s="30" t="n"/>
      <c r="AN72" s="39" t="n"/>
      <c r="AO72" s="30" t="n"/>
      <c r="AP72" s="30" t="n"/>
      <c r="AQ72" s="39" t="n"/>
      <c r="AR72" s="30" t="n"/>
      <c r="AS72" s="39" t="n"/>
      <c r="AT72" s="30">
        <f>IF(OR($AS85="",NOT(ISNUMBER($AS85)),$AH85=""),"",IF(INT($AS85)&lt;=$AH85,"A tiempo","Fuera de término"))</f>
        <v/>
      </c>
      <c r="AU72" s="40" t="n"/>
      <c r="AV72" s="40" t="n"/>
      <c r="AW72" s="40" t="n"/>
      <c r="AX72" s="40" t="n"/>
      <c r="AY72" s="30" t="n"/>
      <c r="AZ72" s="30" t="n"/>
      <c r="BA72" s="30" t="n"/>
    </row>
    <row r="73" ht="15.75" customHeight="1" s="57">
      <c r="A73" s="29" t="n"/>
      <c r="B73" s="30" t="n"/>
      <c r="C73" s="39" t="n"/>
      <c r="D73" s="39" t="n"/>
      <c r="E73" s="39" t="n"/>
      <c r="F73" s="40" t="n"/>
      <c r="G73" s="30" t="n"/>
      <c r="H73" s="30" t="n"/>
      <c r="I73" s="30" t="n"/>
      <c r="J73" s="30" t="n"/>
      <c r="K73" s="30" t="n"/>
      <c r="L73" s="30" t="n"/>
      <c r="M73" s="30" t="n"/>
      <c r="N73" s="30" t="n"/>
      <c r="O73" s="30" t="n"/>
      <c r="P73" s="30" t="n"/>
      <c r="Q73" s="30" t="n"/>
      <c r="R73" s="30" t="n"/>
      <c r="S73" s="30" t="n"/>
      <c r="T73" s="30" t="n"/>
      <c r="U73" s="30" t="n"/>
      <c r="V73" s="30" t="n"/>
      <c r="W73" s="30" t="n"/>
      <c r="X73" s="30" t="n"/>
      <c r="Y73" s="30" t="n"/>
      <c r="Z73" s="30" t="n"/>
      <c r="AA73" s="30" t="n"/>
      <c r="AB73" s="30" t="n"/>
      <c r="AC73" s="30" t="n"/>
      <c r="AD73" s="41" t="n"/>
      <c r="AE73" s="30" t="n"/>
      <c r="AF73" s="42">
        <f>IF($AA86="","",IF(LEFT(UPPER(TRIM($AA86)),8)="FELICITA","N/A",IF($AE86="","",IFERROR(VLOOKUP(UPPER(TRIM($AE86)),Config!$A$6:$D$8,2,FALSE),IFERROR(VLOOKUP(IF(LEFT(UPPER(TRIM($AE86)),5)="SUPER","SUPER SALUD",IF(LEFT(UPPER(TRIM($AE86)),8)="SECRETAR","SECRETARIA DE SALUD",IF(LEFT(UPPER(TRIM($AE86)),4)="SEDE","SEDE",UPPER(TRIM($AE86))))),Config!$A$6:$D$8,2,FALSE),"⚠")))))</f>
        <v/>
      </c>
      <c r="AG73" s="30">
        <f>IF($AA86="","",IF(LEFT(UPPER(TRIM($AA86)),8)="FELICITA","N/A",IF($AE86="","",IFERROR(VLOOKUP(UPPER(TRIM($AE86)),Config!$A$6:$D$8,3,FALSE),IFERROR(VLOOKUP(IF(LEFT(UPPER(TRIM($AE86)),5)="SUPER","SUPER SALUD",IF(LEFT(UPPER(TRIM($AE86)),8)="SECRETAR","SECRETARIA DE SALUD",IF(LEFT(UPPER(TRIM($AE86)),4)="SEDE","SEDE",UPPER(TRIM($AE86))))),Config!$A$6:$D$8,3,FALSE),"")))))</f>
        <v/>
      </c>
      <c r="AH73" s="39">
        <f>IF(OR($E86="",NOT(ISNUMBER($E86)),$AF86="",$AF86="N/A",NOT(ISNUMBER($AF86))),"",IF($AG86="Hábiles",WORKDAY(INT($E86),$AF86,Config!$F$6:$F$39),INT($E86)+$AF86))</f>
        <v/>
      </c>
      <c r="AI73" s="30">
        <f>IF($E86="","",IF(LEFT(UPPER(TRIM($AA86)),8)="FELICITA","⭐ Felicitación",IF(NOT(ISNUMBER($E86)),"⚠ Revisar fecha",IF(UPPER(TRIM($AK86))="RESPONDIDA - CERRADA","✅ Cerrada",IF($AE86="","⚠ Falta entidad",IF($AH86="","⚠ Revisar término",IF(TODAY()&gt;$AH86,"🔴 Vencida",IF($AH86-TODAY()&lt;=Config!$B$12,"🟡 Próxima a vencer","🟢 En término"))))))))</f>
        <v/>
      </c>
      <c r="AJ73" s="42">
        <f>IF(OR($E86="",NOT(ISNUMBER($E86))),"",IF(ISNUMBER($AS86),MAX(0,INT($AS86)-INT($E86)),MAX(0,TODAY()-INT($E86))))</f>
        <v/>
      </c>
      <c r="AK73" s="30" t="n"/>
      <c r="AL73" s="30" t="n"/>
      <c r="AM73" s="30" t="n"/>
      <c r="AN73" s="39" t="n"/>
      <c r="AO73" s="30" t="n"/>
      <c r="AP73" s="30" t="n"/>
      <c r="AQ73" s="39" t="n"/>
      <c r="AR73" s="30" t="n"/>
      <c r="AS73" s="39" t="n"/>
      <c r="AT73" s="30">
        <f>IF(OR($AS86="",NOT(ISNUMBER($AS86)),$AH86=""),"",IF(INT($AS86)&lt;=$AH86,"A tiempo","Fuera de término"))</f>
        <v/>
      </c>
      <c r="AU73" s="40" t="n"/>
      <c r="AV73" s="40" t="n"/>
      <c r="AW73" s="40" t="n"/>
      <c r="AX73" s="40" t="n"/>
      <c r="AY73" s="30" t="n"/>
      <c r="AZ73" s="30" t="n"/>
      <c r="BA73" s="30" t="n"/>
    </row>
    <row r="74" ht="15.75" customHeight="1" s="57">
      <c r="A74" s="29" t="n"/>
      <c r="B74" s="30" t="n"/>
      <c r="C74" s="39" t="n"/>
      <c r="D74" s="39" t="n"/>
      <c r="E74" s="39" t="n"/>
      <c r="F74" s="40" t="n"/>
      <c r="G74" s="30" t="n"/>
      <c r="H74" s="30" t="n"/>
      <c r="I74" s="30" t="n"/>
      <c r="J74" s="30" t="n"/>
      <c r="K74" s="30" t="n"/>
      <c r="L74" s="30" t="n"/>
      <c r="M74" s="30" t="n"/>
      <c r="N74" s="30" t="n"/>
      <c r="O74" s="30" t="n"/>
      <c r="P74" s="30" t="n"/>
      <c r="Q74" s="30" t="n"/>
      <c r="R74" s="30" t="n"/>
      <c r="S74" s="30" t="n"/>
      <c r="T74" s="30" t="n"/>
      <c r="U74" s="30" t="n"/>
      <c r="V74" s="30" t="n"/>
      <c r="W74" s="30" t="n"/>
      <c r="X74" s="30" t="n"/>
      <c r="Y74" s="30" t="n"/>
      <c r="Z74" s="30" t="n"/>
      <c r="AA74" s="30" t="n"/>
      <c r="AB74" s="30" t="n"/>
      <c r="AC74" s="30" t="n"/>
      <c r="AD74" s="41" t="n"/>
      <c r="AE74" s="30" t="n"/>
      <c r="AF74" s="42">
        <f>IF($AA87="","",IF(LEFT(UPPER(TRIM($AA87)),8)="FELICITA","N/A",IF($AE87="","",IFERROR(VLOOKUP(UPPER(TRIM($AE87)),Config!$A$6:$D$8,2,FALSE),IFERROR(VLOOKUP(IF(LEFT(UPPER(TRIM($AE87)),5)="SUPER","SUPER SALUD",IF(LEFT(UPPER(TRIM($AE87)),8)="SECRETAR","SECRETARIA DE SALUD",IF(LEFT(UPPER(TRIM($AE87)),4)="SEDE","SEDE",UPPER(TRIM($AE87))))),Config!$A$6:$D$8,2,FALSE),"⚠")))))</f>
        <v/>
      </c>
      <c r="AG74" s="30">
        <f>IF($AA87="","",IF(LEFT(UPPER(TRIM($AA87)),8)="FELICITA","N/A",IF($AE87="","",IFERROR(VLOOKUP(UPPER(TRIM($AE87)),Config!$A$6:$D$8,3,FALSE),IFERROR(VLOOKUP(IF(LEFT(UPPER(TRIM($AE87)),5)="SUPER","SUPER SALUD",IF(LEFT(UPPER(TRIM($AE87)),8)="SECRETAR","SECRETARIA DE SALUD",IF(LEFT(UPPER(TRIM($AE87)),4)="SEDE","SEDE",UPPER(TRIM($AE87))))),Config!$A$6:$D$8,3,FALSE),"")))))</f>
        <v/>
      </c>
      <c r="AH74" s="39">
        <f>IF(OR($E87="",NOT(ISNUMBER($E87)),$AF87="",$AF87="N/A",NOT(ISNUMBER($AF87))),"",IF($AG87="Hábiles",WORKDAY(INT($E87),$AF87,Config!$F$6:$F$39),INT($E87)+$AF87))</f>
        <v/>
      </c>
      <c r="AI74" s="30">
        <f>IF($E87="","",IF(LEFT(UPPER(TRIM($AA87)),8)="FELICITA","⭐ Felicitación",IF(NOT(ISNUMBER($E87)),"⚠ Revisar fecha",IF(UPPER(TRIM($AK87))="RESPONDIDA - CERRADA","✅ Cerrada",IF($AE87="","⚠ Falta entidad",IF($AH87="","⚠ Revisar término",IF(TODAY()&gt;$AH87,"🔴 Vencida",IF($AH87-TODAY()&lt;=Config!$B$12,"🟡 Próxima a vencer","🟢 En término"))))))))</f>
        <v/>
      </c>
      <c r="AJ74" s="42">
        <f>IF(OR($E87="",NOT(ISNUMBER($E87))),"",IF(ISNUMBER($AS87),MAX(0,INT($AS87)-INT($E87)),MAX(0,TODAY()-INT($E87))))</f>
        <v/>
      </c>
      <c r="AK74" s="30" t="n"/>
      <c r="AL74" s="30" t="n"/>
      <c r="AM74" s="30" t="n"/>
      <c r="AN74" s="39" t="n"/>
      <c r="AO74" s="30" t="n"/>
      <c r="AP74" s="30" t="n"/>
      <c r="AQ74" s="39" t="n"/>
      <c r="AR74" s="30" t="n"/>
      <c r="AS74" s="39" t="n"/>
      <c r="AT74" s="30">
        <f>IF(OR($AS87="",NOT(ISNUMBER($AS87)),$AH87=""),"",IF(INT($AS87)&lt;=$AH87,"A tiempo","Fuera de término"))</f>
        <v/>
      </c>
      <c r="AU74" s="40" t="n"/>
      <c r="AV74" s="40" t="n"/>
      <c r="AW74" s="40" t="n"/>
      <c r="AX74" s="40" t="n"/>
      <c r="AY74" s="30" t="n"/>
      <c r="AZ74" s="30" t="n"/>
      <c r="BA74" s="30" t="n"/>
    </row>
    <row r="75" ht="15.75" customHeight="1" s="57">
      <c r="A75" s="29" t="n"/>
      <c r="B75" s="30" t="n"/>
      <c r="C75" s="39" t="n"/>
      <c r="D75" s="39" t="n"/>
      <c r="E75" s="39" t="n"/>
      <c r="F75" s="40" t="n"/>
      <c r="G75" s="30" t="n"/>
      <c r="H75" s="30" t="n"/>
      <c r="I75" s="30" t="n"/>
      <c r="J75" s="30" t="n"/>
      <c r="K75" s="30" t="n"/>
      <c r="L75" s="30" t="n"/>
      <c r="M75" s="30" t="n"/>
      <c r="N75" s="30" t="n"/>
      <c r="O75" s="30" t="n"/>
      <c r="P75" s="30" t="n"/>
      <c r="Q75" s="30" t="n"/>
      <c r="R75" s="30" t="n"/>
      <c r="S75" s="30" t="n"/>
      <c r="T75" s="30" t="n"/>
      <c r="U75" s="30" t="n"/>
      <c r="V75" s="30" t="n"/>
      <c r="W75" s="30" t="n"/>
      <c r="X75" s="30" t="n"/>
      <c r="Y75" s="30" t="n"/>
      <c r="Z75" s="30" t="n"/>
      <c r="AA75" s="30" t="n"/>
      <c r="AB75" s="30" t="n"/>
      <c r="AC75" s="30" t="n"/>
      <c r="AD75" s="41" t="n"/>
      <c r="AE75" s="30" t="n"/>
      <c r="AF75" s="42">
        <f>IF($AA88="","",IF(LEFT(UPPER(TRIM($AA88)),8)="FELICITA","N/A",IF($AE88="","",IFERROR(VLOOKUP(UPPER(TRIM($AE88)),Config!$A$6:$D$8,2,FALSE),IFERROR(VLOOKUP(IF(LEFT(UPPER(TRIM($AE88)),5)="SUPER","SUPER SALUD",IF(LEFT(UPPER(TRIM($AE88)),8)="SECRETAR","SECRETARIA DE SALUD",IF(LEFT(UPPER(TRIM($AE88)),4)="SEDE","SEDE",UPPER(TRIM($AE88))))),Config!$A$6:$D$8,2,FALSE),"⚠")))))</f>
        <v/>
      </c>
      <c r="AG75" s="30">
        <f>IF($AA88="","",IF(LEFT(UPPER(TRIM($AA88)),8)="FELICITA","N/A",IF($AE88="","",IFERROR(VLOOKUP(UPPER(TRIM($AE88)),Config!$A$6:$D$8,3,FALSE),IFERROR(VLOOKUP(IF(LEFT(UPPER(TRIM($AE88)),5)="SUPER","SUPER SALUD",IF(LEFT(UPPER(TRIM($AE88)),8)="SECRETAR","SECRETARIA DE SALUD",IF(LEFT(UPPER(TRIM($AE88)),4)="SEDE","SEDE",UPPER(TRIM($AE88))))),Config!$A$6:$D$8,3,FALSE),"")))))</f>
        <v/>
      </c>
      <c r="AH75" s="39">
        <f>IF(OR($E88="",NOT(ISNUMBER($E88)),$AF88="",$AF88="N/A",NOT(ISNUMBER($AF88))),"",IF($AG88="Hábiles",WORKDAY(INT($E88),$AF88,Config!$F$6:$F$39),INT($E88)+$AF88))</f>
        <v/>
      </c>
      <c r="AI75" s="30">
        <f>IF($E88="","",IF(LEFT(UPPER(TRIM($AA88)),8)="FELICITA","⭐ Felicitación",IF(NOT(ISNUMBER($E88)),"⚠ Revisar fecha",IF(UPPER(TRIM($AK88))="RESPONDIDA - CERRADA","✅ Cerrada",IF($AE88="","⚠ Falta entidad",IF($AH88="","⚠ Revisar término",IF(TODAY()&gt;$AH88,"🔴 Vencida",IF($AH88-TODAY()&lt;=Config!$B$12,"🟡 Próxima a vencer","🟢 En término"))))))))</f>
        <v/>
      </c>
      <c r="AJ75" s="42">
        <f>IF(OR($E88="",NOT(ISNUMBER($E88))),"",IF(ISNUMBER($AS88),MAX(0,INT($AS88)-INT($E88)),MAX(0,TODAY()-INT($E88))))</f>
        <v/>
      </c>
      <c r="AK75" s="30" t="n"/>
      <c r="AL75" s="30" t="n"/>
      <c r="AM75" s="30" t="n"/>
      <c r="AN75" s="39" t="n"/>
      <c r="AO75" s="30" t="n"/>
      <c r="AP75" s="30" t="n"/>
      <c r="AQ75" s="39" t="n"/>
      <c r="AR75" s="30" t="n"/>
      <c r="AS75" s="39" t="n"/>
      <c r="AT75" s="30">
        <f>IF(OR($AS88="",NOT(ISNUMBER($AS88)),$AH88=""),"",IF(INT($AS88)&lt;=$AH88,"A tiempo","Fuera de término"))</f>
        <v/>
      </c>
      <c r="AU75" s="40" t="n"/>
      <c r="AV75" s="40" t="n"/>
      <c r="AW75" s="40" t="n"/>
      <c r="AX75" s="40" t="n"/>
      <c r="AY75" s="30" t="n"/>
      <c r="AZ75" s="30" t="n"/>
      <c r="BA75" s="30" t="n"/>
    </row>
    <row r="76" ht="15.75" customHeight="1" s="57">
      <c r="A76" s="29" t="n"/>
      <c r="B76" s="30" t="n"/>
      <c r="C76" s="39" t="n"/>
      <c r="D76" s="39" t="n"/>
      <c r="E76" s="39" t="n"/>
      <c r="F76" s="40" t="n"/>
      <c r="G76" s="30" t="n"/>
      <c r="H76" s="30" t="n"/>
      <c r="I76" s="30" t="n"/>
      <c r="J76" s="30" t="n"/>
      <c r="K76" s="30" t="n"/>
      <c r="L76" s="30" t="n"/>
      <c r="M76" s="30" t="n"/>
      <c r="N76" s="30" t="n"/>
      <c r="O76" s="30" t="n"/>
      <c r="P76" s="30" t="n"/>
      <c r="Q76" s="30" t="n"/>
      <c r="R76" s="30" t="n"/>
      <c r="S76" s="30" t="n"/>
      <c r="T76" s="30" t="n"/>
      <c r="U76" s="30" t="n"/>
      <c r="V76" s="30" t="n"/>
      <c r="W76" s="30" t="n"/>
      <c r="X76" s="30" t="n"/>
      <c r="Y76" s="30" t="n"/>
      <c r="Z76" s="30" t="n"/>
      <c r="AA76" s="30" t="n"/>
      <c r="AB76" s="30" t="n"/>
      <c r="AC76" s="30" t="n"/>
      <c r="AD76" s="41" t="n"/>
      <c r="AE76" s="30" t="n"/>
      <c r="AF76" s="42">
        <f>IF($AA89="","",IF(LEFT(UPPER(TRIM($AA89)),8)="FELICITA","N/A",IF($AE89="","",IFERROR(VLOOKUP(UPPER(TRIM($AE89)),Config!$A$6:$D$8,2,FALSE),IFERROR(VLOOKUP(IF(LEFT(UPPER(TRIM($AE89)),5)="SUPER","SUPER SALUD",IF(LEFT(UPPER(TRIM($AE89)),8)="SECRETAR","SECRETARIA DE SALUD",IF(LEFT(UPPER(TRIM($AE89)),4)="SEDE","SEDE",UPPER(TRIM($AE89))))),Config!$A$6:$D$8,2,FALSE),"⚠")))))</f>
        <v/>
      </c>
      <c r="AG76" s="30">
        <f>IF($AA89="","",IF(LEFT(UPPER(TRIM($AA89)),8)="FELICITA","N/A",IF($AE89="","",IFERROR(VLOOKUP(UPPER(TRIM($AE89)),Config!$A$6:$D$8,3,FALSE),IFERROR(VLOOKUP(IF(LEFT(UPPER(TRIM($AE89)),5)="SUPER","SUPER SALUD",IF(LEFT(UPPER(TRIM($AE89)),8)="SECRETAR","SECRETARIA DE SALUD",IF(LEFT(UPPER(TRIM($AE89)),4)="SEDE","SEDE",UPPER(TRIM($AE89))))),Config!$A$6:$D$8,3,FALSE),"")))))</f>
        <v/>
      </c>
      <c r="AH76" s="39">
        <f>IF(OR($E89="",NOT(ISNUMBER($E89)),$AF89="",$AF89="N/A",NOT(ISNUMBER($AF89))),"",IF($AG89="Hábiles",WORKDAY(INT($E89),$AF89,Config!$F$6:$F$39),INT($E89)+$AF89))</f>
        <v/>
      </c>
      <c r="AI76" s="30">
        <f>IF($E89="","",IF(LEFT(UPPER(TRIM($AA89)),8)="FELICITA","⭐ Felicitación",IF(NOT(ISNUMBER($E89)),"⚠ Revisar fecha",IF(UPPER(TRIM($AK89))="RESPONDIDA - CERRADA","✅ Cerrada",IF($AE89="","⚠ Falta entidad",IF($AH89="","⚠ Revisar término",IF(TODAY()&gt;$AH89,"🔴 Vencida",IF($AH89-TODAY()&lt;=Config!$B$12,"🟡 Próxima a vencer","🟢 En término"))))))))</f>
        <v/>
      </c>
      <c r="AJ76" s="42">
        <f>IF(OR($E89="",NOT(ISNUMBER($E89))),"",IF(ISNUMBER($AS89),MAX(0,INT($AS89)-INT($E89)),MAX(0,TODAY()-INT($E89))))</f>
        <v/>
      </c>
      <c r="AK76" s="30" t="n"/>
      <c r="AL76" s="30" t="n"/>
      <c r="AM76" s="30" t="n"/>
      <c r="AN76" s="39" t="n"/>
      <c r="AO76" s="30" t="n"/>
      <c r="AP76" s="30" t="n"/>
      <c r="AQ76" s="39" t="n"/>
      <c r="AR76" s="30" t="n"/>
      <c r="AS76" s="39" t="n"/>
      <c r="AT76" s="30">
        <f>IF(OR($AS89="",NOT(ISNUMBER($AS89)),$AH89=""),"",IF(INT($AS89)&lt;=$AH89,"A tiempo","Fuera de término"))</f>
        <v/>
      </c>
      <c r="AU76" s="40" t="n"/>
      <c r="AV76" s="40" t="n"/>
      <c r="AW76" s="40" t="n"/>
      <c r="AX76" s="40" t="n"/>
      <c r="AY76" s="30" t="n"/>
      <c r="AZ76" s="30" t="n"/>
      <c r="BA76" s="30" t="n"/>
    </row>
    <row r="77" ht="15.75" customHeight="1" s="57">
      <c r="A77" s="29" t="n"/>
      <c r="B77" s="30" t="n"/>
      <c r="C77" s="39" t="n"/>
      <c r="D77" s="39" t="n"/>
      <c r="E77" s="39" t="n"/>
      <c r="F77" s="40" t="n"/>
      <c r="G77" s="30" t="n"/>
      <c r="H77" s="30" t="n"/>
      <c r="I77" s="30" t="n"/>
      <c r="J77" s="30" t="n"/>
      <c r="K77" s="30" t="n"/>
      <c r="L77" s="30" t="n"/>
      <c r="M77" s="30" t="n"/>
      <c r="N77" s="30" t="n"/>
      <c r="O77" s="30" t="n"/>
      <c r="P77" s="30" t="n"/>
      <c r="Q77" s="30" t="n"/>
      <c r="R77" s="30" t="n"/>
      <c r="S77" s="30" t="n"/>
      <c r="T77" s="30" t="n"/>
      <c r="U77" s="30" t="n"/>
      <c r="V77" s="30" t="n"/>
      <c r="W77" s="30" t="n"/>
      <c r="X77" s="30" t="n"/>
      <c r="Y77" s="30" t="n"/>
      <c r="Z77" s="30" t="n"/>
      <c r="AA77" s="30" t="n"/>
      <c r="AB77" s="30" t="n"/>
      <c r="AC77" s="30" t="n"/>
      <c r="AD77" s="41" t="n"/>
      <c r="AE77" s="30" t="n"/>
      <c r="AF77" s="42">
        <f>IF($AA90="","",IF(LEFT(UPPER(TRIM($AA90)),8)="FELICITA","N/A",IF($AE90="","",IFERROR(VLOOKUP(UPPER(TRIM($AE90)),Config!$A$6:$D$8,2,FALSE),IFERROR(VLOOKUP(IF(LEFT(UPPER(TRIM($AE90)),5)="SUPER","SUPER SALUD",IF(LEFT(UPPER(TRIM($AE90)),8)="SECRETAR","SECRETARIA DE SALUD",IF(LEFT(UPPER(TRIM($AE90)),4)="SEDE","SEDE",UPPER(TRIM($AE90))))),Config!$A$6:$D$8,2,FALSE),"⚠")))))</f>
        <v/>
      </c>
      <c r="AG77" s="30">
        <f>IF($AA90="","",IF(LEFT(UPPER(TRIM($AA90)),8)="FELICITA","N/A",IF($AE90="","",IFERROR(VLOOKUP(UPPER(TRIM($AE90)),Config!$A$6:$D$8,3,FALSE),IFERROR(VLOOKUP(IF(LEFT(UPPER(TRIM($AE90)),5)="SUPER","SUPER SALUD",IF(LEFT(UPPER(TRIM($AE90)),8)="SECRETAR","SECRETARIA DE SALUD",IF(LEFT(UPPER(TRIM($AE90)),4)="SEDE","SEDE",UPPER(TRIM($AE90))))),Config!$A$6:$D$8,3,FALSE),"")))))</f>
        <v/>
      </c>
      <c r="AH77" s="39">
        <f>IF(OR($E90="",NOT(ISNUMBER($E90)),$AF90="",$AF90="N/A",NOT(ISNUMBER($AF90))),"",IF($AG90="Hábiles",WORKDAY(INT($E90),$AF90,Config!$F$6:$F$39),INT($E90)+$AF90))</f>
        <v/>
      </c>
      <c r="AI77" s="30">
        <f>IF($E90="","",IF(LEFT(UPPER(TRIM($AA90)),8)="FELICITA","⭐ Felicitación",IF(NOT(ISNUMBER($E90)),"⚠ Revisar fecha",IF(UPPER(TRIM($AK90))="RESPONDIDA - CERRADA","✅ Cerrada",IF($AE90="","⚠ Falta entidad",IF($AH90="","⚠ Revisar término",IF(TODAY()&gt;$AH90,"🔴 Vencida",IF($AH90-TODAY()&lt;=Config!$B$12,"🟡 Próxima a vencer","🟢 En término"))))))))</f>
        <v/>
      </c>
      <c r="AJ77" s="42">
        <f>IF(OR($E90="",NOT(ISNUMBER($E90))),"",IF(ISNUMBER($AS90),MAX(0,INT($AS90)-INT($E90)),MAX(0,TODAY()-INT($E90))))</f>
        <v/>
      </c>
      <c r="AK77" s="30" t="n"/>
      <c r="AL77" s="30" t="n"/>
      <c r="AM77" s="30" t="n"/>
      <c r="AN77" s="39" t="n"/>
      <c r="AO77" s="30" t="n"/>
      <c r="AP77" s="30" t="n"/>
      <c r="AQ77" s="39" t="n"/>
      <c r="AR77" s="30" t="n"/>
      <c r="AS77" s="39" t="n"/>
      <c r="AT77" s="30">
        <f>IF(OR($AS90="",NOT(ISNUMBER($AS90)),$AH90=""),"",IF(INT($AS90)&lt;=$AH90,"A tiempo","Fuera de término"))</f>
        <v/>
      </c>
      <c r="AU77" s="40" t="n"/>
      <c r="AV77" s="40" t="n"/>
      <c r="AW77" s="40" t="n"/>
      <c r="AX77" s="40" t="n"/>
      <c r="AY77" s="30" t="n"/>
      <c r="AZ77" s="30" t="n"/>
      <c r="BA77" s="30" t="n"/>
    </row>
    <row r="78" ht="15.75" customHeight="1" s="57">
      <c r="A78" s="29" t="n"/>
      <c r="B78" s="30" t="n"/>
      <c r="C78" s="39" t="n"/>
      <c r="D78" s="39" t="n"/>
      <c r="E78" s="39" t="n"/>
      <c r="F78" s="40" t="n"/>
      <c r="G78" s="30" t="n"/>
      <c r="H78" s="30" t="n"/>
      <c r="I78" s="30" t="n"/>
      <c r="J78" s="30" t="n"/>
      <c r="K78" s="30" t="n"/>
      <c r="L78" s="30" t="n"/>
      <c r="M78" s="30" t="n"/>
      <c r="N78" s="30" t="n"/>
      <c r="O78" s="30" t="n"/>
      <c r="P78" s="30" t="n"/>
      <c r="Q78" s="30" t="n"/>
      <c r="R78" s="30" t="n"/>
      <c r="S78" s="30" t="n"/>
      <c r="T78" s="30" t="n"/>
      <c r="U78" s="30" t="n"/>
      <c r="V78" s="30" t="n"/>
      <c r="W78" s="30" t="n"/>
      <c r="X78" s="30" t="n"/>
      <c r="Y78" s="30" t="n"/>
      <c r="Z78" s="30" t="n"/>
      <c r="AA78" s="30" t="n"/>
      <c r="AB78" s="30" t="n"/>
      <c r="AC78" s="30" t="n"/>
      <c r="AD78" s="41" t="n"/>
      <c r="AE78" s="30" t="n"/>
      <c r="AF78" s="42">
        <f>IF($AA91="","",IF(LEFT(UPPER(TRIM($AA91)),8)="FELICITA","N/A",IF($AE91="","",IFERROR(VLOOKUP(UPPER(TRIM($AE91)),Config!$A$6:$D$8,2,FALSE),IFERROR(VLOOKUP(IF(LEFT(UPPER(TRIM($AE91)),5)="SUPER","SUPER SALUD",IF(LEFT(UPPER(TRIM($AE91)),8)="SECRETAR","SECRETARIA DE SALUD",IF(LEFT(UPPER(TRIM($AE91)),4)="SEDE","SEDE",UPPER(TRIM($AE91))))),Config!$A$6:$D$8,2,FALSE),"⚠")))))</f>
        <v/>
      </c>
      <c r="AG78" s="30">
        <f>IF($AA91="","",IF(LEFT(UPPER(TRIM($AA91)),8)="FELICITA","N/A",IF($AE91="","",IFERROR(VLOOKUP(UPPER(TRIM($AE91)),Config!$A$6:$D$8,3,FALSE),IFERROR(VLOOKUP(IF(LEFT(UPPER(TRIM($AE91)),5)="SUPER","SUPER SALUD",IF(LEFT(UPPER(TRIM($AE91)),8)="SECRETAR","SECRETARIA DE SALUD",IF(LEFT(UPPER(TRIM($AE91)),4)="SEDE","SEDE",UPPER(TRIM($AE91))))),Config!$A$6:$D$8,3,FALSE),"")))))</f>
        <v/>
      </c>
      <c r="AH78" s="39">
        <f>IF(OR($E91="",NOT(ISNUMBER($E91)),$AF91="",$AF91="N/A",NOT(ISNUMBER($AF91))),"",IF($AG91="Hábiles",WORKDAY(INT($E91),$AF91,Config!$F$6:$F$39),INT($E91)+$AF91))</f>
        <v/>
      </c>
      <c r="AI78" s="30">
        <f>IF($E91="","",IF(LEFT(UPPER(TRIM($AA91)),8)="FELICITA","⭐ Felicitación",IF(NOT(ISNUMBER($E91)),"⚠ Revisar fecha",IF(UPPER(TRIM($AK91))="RESPONDIDA - CERRADA","✅ Cerrada",IF($AE91="","⚠ Falta entidad",IF($AH91="","⚠ Revisar término",IF(TODAY()&gt;$AH91,"🔴 Vencida",IF($AH91-TODAY()&lt;=Config!$B$12,"🟡 Próxima a vencer","🟢 En término"))))))))</f>
        <v/>
      </c>
      <c r="AJ78" s="42">
        <f>IF(OR($E91="",NOT(ISNUMBER($E91))),"",IF(ISNUMBER($AS91),MAX(0,INT($AS91)-INT($E91)),MAX(0,TODAY()-INT($E91))))</f>
        <v/>
      </c>
      <c r="AK78" s="30" t="n"/>
      <c r="AL78" s="30" t="n"/>
      <c r="AM78" s="30" t="n"/>
      <c r="AN78" s="39" t="n"/>
      <c r="AO78" s="30" t="n"/>
      <c r="AP78" s="30" t="n"/>
      <c r="AQ78" s="39" t="n"/>
      <c r="AR78" s="30" t="n"/>
      <c r="AS78" s="39" t="n"/>
      <c r="AT78" s="30">
        <f>IF(OR($AS91="",NOT(ISNUMBER($AS91)),$AH91=""),"",IF(INT($AS91)&lt;=$AH91,"A tiempo","Fuera de término"))</f>
        <v/>
      </c>
      <c r="AU78" s="40" t="n"/>
      <c r="AV78" s="40" t="n"/>
      <c r="AW78" s="40" t="n"/>
      <c r="AX78" s="40" t="n"/>
      <c r="AY78" s="30" t="n"/>
      <c r="AZ78" s="30" t="n"/>
      <c r="BA78" s="30" t="n"/>
    </row>
    <row r="79" ht="15.75" customHeight="1" s="57">
      <c r="A79" s="29" t="n"/>
      <c r="B79" s="30" t="n"/>
      <c r="C79" s="39" t="n"/>
      <c r="D79" s="39" t="n"/>
      <c r="E79" s="39" t="n"/>
      <c r="F79" s="40" t="n"/>
      <c r="G79" s="30" t="n"/>
      <c r="H79" s="30" t="n"/>
      <c r="I79" s="30" t="n"/>
      <c r="J79" s="30" t="n"/>
      <c r="K79" s="30" t="n"/>
      <c r="L79" s="30" t="n"/>
      <c r="M79" s="30" t="n"/>
      <c r="N79" s="30" t="n"/>
      <c r="O79" s="30" t="n"/>
      <c r="P79" s="30" t="n"/>
      <c r="Q79" s="30" t="n"/>
      <c r="R79" s="30" t="n"/>
      <c r="S79" s="30" t="n"/>
      <c r="T79" s="30" t="n"/>
      <c r="U79" s="30" t="n"/>
      <c r="V79" s="30" t="n"/>
      <c r="W79" s="30" t="n"/>
      <c r="X79" s="30" t="n"/>
      <c r="Y79" s="30" t="n"/>
      <c r="Z79" s="30" t="n"/>
      <c r="AA79" s="30" t="n"/>
      <c r="AB79" s="30" t="n"/>
      <c r="AC79" s="30" t="n"/>
      <c r="AD79" s="41" t="n"/>
      <c r="AE79" s="30" t="n"/>
      <c r="AF79" s="42">
        <f>IF($AA92="","",IF(LEFT(UPPER(TRIM($AA92)),8)="FELICITA","N/A",IF($AE92="","",IFERROR(VLOOKUP(UPPER(TRIM($AE92)),Config!$A$6:$D$8,2,FALSE),IFERROR(VLOOKUP(IF(LEFT(UPPER(TRIM($AE92)),5)="SUPER","SUPER SALUD",IF(LEFT(UPPER(TRIM($AE92)),8)="SECRETAR","SECRETARIA DE SALUD",IF(LEFT(UPPER(TRIM($AE92)),4)="SEDE","SEDE",UPPER(TRIM($AE92))))),Config!$A$6:$D$8,2,FALSE),"⚠")))))</f>
        <v/>
      </c>
      <c r="AG79" s="30">
        <f>IF($AA92="","",IF(LEFT(UPPER(TRIM($AA92)),8)="FELICITA","N/A",IF($AE92="","",IFERROR(VLOOKUP(UPPER(TRIM($AE92)),Config!$A$6:$D$8,3,FALSE),IFERROR(VLOOKUP(IF(LEFT(UPPER(TRIM($AE92)),5)="SUPER","SUPER SALUD",IF(LEFT(UPPER(TRIM($AE92)),8)="SECRETAR","SECRETARIA DE SALUD",IF(LEFT(UPPER(TRIM($AE92)),4)="SEDE","SEDE",UPPER(TRIM($AE92))))),Config!$A$6:$D$8,3,FALSE),"")))))</f>
        <v/>
      </c>
      <c r="AH79" s="39">
        <f>IF(OR($E92="",NOT(ISNUMBER($E92)),$AF92="",$AF92="N/A",NOT(ISNUMBER($AF92))),"",IF($AG92="Hábiles",WORKDAY(INT($E92),$AF92,Config!$F$6:$F$39),INT($E92)+$AF92))</f>
        <v/>
      </c>
      <c r="AI79" s="30">
        <f>IF($E92="","",IF(LEFT(UPPER(TRIM($AA92)),8)="FELICITA","⭐ Felicitación",IF(NOT(ISNUMBER($E92)),"⚠ Revisar fecha",IF(UPPER(TRIM($AK92))="RESPONDIDA - CERRADA","✅ Cerrada",IF($AE92="","⚠ Falta entidad",IF($AH92="","⚠ Revisar término",IF(TODAY()&gt;$AH92,"🔴 Vencida",IF($AH92-TODAY()&lt;=Config!$B$12,"🟡 Próxima a vencer","🟢 En término"))))))))</f>
        <v/>
      </c>
      <c r="AJ79" s="42">
        <f>IF(OR($E92="",NOT(ISNUMBER($E92))),"",IF(ISNUMBER($AS92),MAX(0,INT($AS92)-INT($E92)),MAX(0,TODAY()-INT($E92))))</f>
        <v/>
      </c>
      <c r="AK79" s="30" t="n"/>
      <c r="AL79" s="30" t="n"/>
      <c r="AM79" s="30" t="n"/>
      <c r="AN79" s="39" t="n"/>
      <c r="AO79" s="30" t="n"/>
      <c r="AP79" s="30" t="n"/>
      <c r="AQ79" s="39" t="n"/>
      <c r="AR79" s="30" t="n"/>
      <c r="AS79" s="39" t="n"/>
      <c r="AT79" s="30">
        <f>IF(OR($AS92="",NOT(ISNUMBER($AS92)),$AH92=""),"",IF(INT($AS92)&lt;=$AH92,"A tiempo","Fuera de término"))</f>
        <v/>
      </c>
      <c r="AU79" s="40" t="n"/>
      <c r="AV79" s="40" t="n"/>
      <c r="AW79" s="40" t="n"/>
      <c r="AX79" s="40" t="n"/>
      <c r="AY79" s="30" t="n"/>
      <c r="AZ79" s="30" t="n"/>
      <c r="BA79" s="30" t="n"/>
    </row>
    <row r="80" ht="15.75" customHeight="1" s="57">
      <c r="A80" s="29" t="n"/>
      <c r="B80" s="30" t="n"/>
      <c r="C80" s="39" t="n"/>
      <c r="D80" s="39" t="n"/>
      <c r="E80" s="39" t="n"/>
      <c r="F80" s="40" t="n"/>
      <c r="G80" s="30" t="n"/>
      <c r="H80" s="30" t="n"/>
      <c r="I80" s="30" t="n"/>
      <c r="J80" s="30" t="n"/>
      <c r="K80" s="30" t="n"/>
      <c r="L80" s="30" t="n"/>
      <c r="M80" s="30" t="n"/>
      <c r="N80" s="30" t="n"/>
      <c r="O80" s="30" t="n"/>
      <c r="P80" s="30" t="n"/>
      <c r="Q80" s="30" t="n"/>
      <c r="R80" s="30" t="n"/>
      <c r="S80" s="30" t="n"/>
      <c r="T80" s="30" t="n"/>
      <c r="U80" s="30" t="n"/>
      <c r="V80" s="30" t="n"/>
      <c r="W80" s="30" t="n"/>
      <c r="X80" s="30" t="n"/>
      <c r="Y80" s="30" t="n"/>
      <c r="Z80" s="30" t="n"/>
      <c r="AA80" s="30" t="n"/>
      <c r="AB80" s="30" t="n"/>
      <c r="AC80" s="30" t="n"/>
      <c r="AD80" s="41" t="n"/>
      <c r="AE80" s="30" t="n"/>
      <c r="AF80" s="42">
        <f>IF($AA93="","",IF(LEFT(UPPER(TRIM($AA93)),8)="FELICITA","N/A",IF($AE93="","",IFERROR(VLOOKUP(UPPER(TRIM($AE93)),Config!$A$6:$D$8,2,FALSE),IFERROR(VLOOKUP(IF(LEFT(UPPER(TRIM($AE93)),5)="SUPER","SUPER SALUD",IF(LEFT(UPPER(TRIM($AE93)),8)="SECRETAR","SECRETARIA DE SALUD",IF(LEFT(UPPER(TRIM($AE93)),4)="SEDE","SEDE",UPPER(TRIM($AE93))))),Config!$A$6:$D$8,2,FALSE),"⚠")))))</f>
        <v/>
      </c>
      <c r="AG80" s="30">
        <f>IF($AA93="","",IF(LEFT(UPPER(TRIM($AA93)),8)="FELICITA","N/A",IF($AE93="","",IFERROR(VLOOKUP(UPPER(TRIM($AE93)),Config!$A$6:$D$8,3,FALSE),IFERROR(VLOOKUP(IF(LEFT(UPPER(TRIM($AE93)),5)="SUPER","SUPER SALUD",IF(LEFT(UPPER(TRIM($AE93)),8)="SECRETAR","SECRETARIA DE SALUD",IF(LEFT(UPPER(TRIM($AE93)),4)="SEDE","SEDE",UPPER(TRIM($AE93))))),Config!$A$6:$D$8,3,FALSE),"")))))</f>
        <v/>
      </c>
      <c r="AH80" s="39">
        <f>IF(OR($E93="",NOT(ISNUMBER($E93)),$AF93="",$AF93="N/A",NOT(ISNUMBER($AF93))),"",IF($AG93="Hábiles",WORKDAY(INT($E93),$AF93,Config!$F$6:$F$39),INT($E93)+$AF93))</f>
        <v/>
      </c>
      <c r="AI80" s="30">
        <f>IF($E93="","",IF(LEFT(UPPER(TRIM($AA93)),8)="FELICITA","⭐ Felicitación",IF(NOT(ISNUMBER($E93)),"⚠ Revisar fecha",IF(UPPER(TRIM($AK93))="RESPONDIDA - CERRADA","✅ Cerrada",IF($AE93="","⚠ Falta entidad",IF($AH93="","⚠ Revisar término",IF(TODAY()&gt;$AH93,"🔴 Vencida",IF($AH93-TODAY()&lt;=Config!$B$12,"🟡 Próxima a vencer","🟢 En término"))))))))</f>
        <v/>
      </c>
      <c r="AJ80" s="42">
        <f>IF(OR($E93="",NOT(ISNUMBER($E93))),"",IF(ISNUMBER($AS93),MAX(0,INT($AS93)-INT($E93)),MAX(0,TODAY()-INT($E93))))</f>
        <v/>
      </c>
      <c r="AK80" s="30" t="n"/>
      <c r="AL80" s="30" t="n"/>
      <c r="AM80" s="30" t="n"/>
      <c r="AN80" s="39" t="n"/>
      <c r="AO80" s="30" t="n"/>
      <c r="AP80" s="30" t="n"/>
      <c r="AQ80" s="39" t="n"/>
      <c r="AR80" s="30" t="n"/>
      <c r="AS80" s="39" t="n"/>
      <c r="AT80" s="30">
        <f>IF(OR($AS93="",NOT(ISNUMBER($AS93)),$AH93=""),"",IF(INT($AS93)&lt;=$AH93,"A tiempo","Fuera de término"))</f>
        <v/>
      </c>
      <c r="AU80" s="40" t="n"/>
      <c r="AV80" s="40" t="n"/>
      <c r="AW80" s="40" t="n"/>
      <c r="AX80" s="40" t="n"/>
      <c r="AY80" s="30" t="n"/>
      <c r="AZ80" s="30" t="n"/>
      <c r="BA80" s="30" t="n"/>
    </row>
    <row r="81" ht="15.75" customHeight="1" s="57">
      <c r="A81" s="29" t="n"/>
      <c r="B81" s="30" t="n"/>
      <c r="C81" s="39" t="n"/>
      <c r="D81" s="39" t="n"/>
      <c r="E81" s="39" t="n"/>
      <c r="F81" s="40" t="n"/>
      <c r="G81" s="30" t="n"/>
      <c r="H81" s="30" t="n"/>
      <c r="I81" s="30" t="n"/>
      <c r="J81" s="30" t="n"/>
      <c r="K81" s="30" t="n"/>
      <c r="L81" s="30" t="n"/>
      <c r="M81" s="30" t="n"/>
      <c r="N81" s="30" t="n"/>
      <c r="O81" s="30" t="n"/>
      <c r="P81" s="30" t="n"/>
      <c r="Q81" s="30" t="n"/>
      <c r="R81" s="30" t="n"/>
      <c r="S81" s="30" t="n"/>
      <c r="T81" s="30" t="n"/>
      <c r="U81" s="30" t="n"/>
      <c r="V81" s="30" t="n"/>
      <c r="W81" s="30" t="n"/>
      <c r="X81" s="30" t="n"/>
      <c r="Y81" s="30" t="n"/>
      <c r="Z81" s="30" t="n"/>
      <c r="AA81" s="30" t="n"/>
      <c r="AB81" s="30" t="n"/>
      <c r="AC81" s="30" t="n"/>
      <c r="AD81" s="41" t="n"/>
      <c r="AE81" s="30" t="n"/>
      <c r="AF81" s="42">
        <f>IF($AA94="","",IF(LEFT(UPPER(TRIM($AA94)),8)="FELICITA","N/A",IF($AE94="","",IFERROR(VLOOKUP(UPPER(TRIM($AE94)),Config!$A$6:$D$8,2,FALSE),IFERROR(VLOOKUP(IF(LEFT(UPPER(TRIM($AE94)),5)="SUPER","SUPER SALUD",IF(LEFT(UPPER(TRIM($AE94)),8)="SECRETAR","SECRETARIA DE SALUD",IF(LEFT(UPPER(TRIM($AE94)),4)="SEDE","SEDE",UPPER(TRIM($AE94))))),Config!$A$6:$D$8,2,FALSE),"⚠")))))</f>
        <v/>
      </c>
      <c r="AG81" s="30">
        <f>IF($AA94="","",IF(LEFT(UPPER(TRIM($AA94)),8)="FELICITA","N/A",IF($AE94="","",IFERROR(VLOOKUP(UPPER(TRIM($AE94)),Config!$A$6:$D$8,3,FALSE),IFERROR(VLOOKUP(IF(LEFT(UPPER(TRIM($AE94)),5)="SUPER","SUPER SALUD",IF(LEFT(UPPER(TRIM($AE94)),8)="SECRETAR","SECRETARIA DE SALUD",IF(LEFT(UPPER(TRIM($AE94)),4)="SEDE","SEDE",UPPER(TRIM($AE94))))),Config!$A$6:$D$8,3,FALSE),"")))))</f>
        <v/>
      </c>
      <c r="AH81" s="39">
        <f>IF(OR($E94="",NOT(ISNUMBER($E94)),$AF94="",$AF94="N/A",NOT(ISNUMBER($AF94))),"",IF($AG94="Hábiles",WORKDAY(INT($E94),$AF94,Config!$F$6:$F$39),INT($E94)+$AF94))</f>
        <v/>
      </c>
      <c r="AI81" s="30">
        <f>IF($E94="","",IF(LEFT(UPPER(TRIM($AA94)),8)="FELICITA","⭐ Felicitación",IF(NOT(ISNUMBER($E94)),"⚠ Revisar fecha",IF(UPPER(TRIM($AK94))="RESPONDIDA - CERRADA","✅ Cerrada",IF($AE94="","⚠ Falta entidad",IF($AH94="","⚠ Revisar término",IF(TODAY()&gt;$AH94,"🔴 Vencida",IF($AH94-TODAY()&lt;=Config!$B$12,"🟡 Próxima a vencer","🟢 En término"))))))))</f>
        <v/>
      </c>
      <c r="AJ81" s="42">
        <f>IF(OR($E94="",NOT(ISNUMBER($E94))),"",IF(ISNUMBER($AS94),MAX(0,INT($AS94)-INT($E94)),MAX(0,TODAY()-INT($E94))))</f>
        <v/>
      </c>
      <c r="AK81" s="30" t="n"/>
      <c r="AL81" s="30" t="n"/>
      <c r="AM81" s="30" t="n"/>
      <c r="AN81" s="39" t="n"/>
      <c r="AO81" s="30" t="n"/>
      <c r="AP81" s="30" t="n"/>
      <c r="AQ81" s="39" t="n"/>
      <c r="AR81" s="30" t="n"/>
      <c r="AS81" s="39" t="n"/>
      <c r="AT81" s="30">
        <f>IF(OR($AS94="",NOT(ISNUMBER($AS94)),$AH94=""),"",IF(INT($AS94)&lt;=$AH94,"A tiempo","Fuera de término"))</f>
        <v/>
      </c>
      <c r="AU81" s="40" t="n"/>
      <c r="AV81" s="40" t="n"/>
      <c r="AW81" s="40" t="n"/>
      <c r="AX81" s="40" t="n"/>
      <c r="AY81" s="30" t="n"/>
      <c r="AZ81" s="30" t="n"/>
      <c r="BA81" s="30" t="n"/>
    </row>
    <row r="82" ht="15.75" customHeight="1" s="57">
      <c r="A82" s="29" t="n"/>
      <c r="B82" s="30" t="n"/>
      <c r="C82" s="39" t="n"/>
      <c r="D82" s="39" t="n"/>
      <c r="E82" s="39" t="n"/>
      <c r="F82" s="40" t="n"/>
      <c r="G82" s="30" t="n"/>
      <c r="H82" s="30" t="n"/>
      <c r="I82" s="30" t="n"/>
      <c r="J82" s="30" t="n"/>
      <c r="K82" s="30" t="n"/>
      <c r="L82" s="30" t="n"/>
      <c r="M82" s="30" t="n"/>
      <c r="N82" s="30" t="n"/>
      <c r="O82" s="30" t="n"/>
      <c r="P82" s="30" t="n"/>
      <c r="Q82" s="30" t="n"/>
      <c r="R82" s="30" t="n"/>
      <c r="S82" s="30" t="n"/>
      <c r="T82" s="30" t="n"/>
      <c r="U82" s="30" t="n"/>
      <c r="V82" s="30" t="n"/>
      <c r="W82" s="30" t="n"/>
      <c r="X82" s="30" t="n"/>
      <c r="Y82" s="30" t="n"/>
      <c r="Z82" s="30" t="n"/>
      <c r="AA82" s="30" t="n"/>
      <c r="AB82" s="30" t="n"/>
      <c r="AC82" s="30" t="n"/>
      <c r="AD82" s="41" t="n"/>
      <c r="AE82" s="30" t="n"/>
      <c r="AF82" s="42">
        <f>IF($AA95="","",IF(LEFT(UPPER(TRIM($AA95)),8)="FELICITA","N/A",IF($AE95="","",IFERROR(VLOOKUP(UPPER(TRIM($AE95)),Config!$A$6:$D$8,2,FALSE),IFERROR(VLOOKUP(IF(LEFT(UPPER(TRIM($AE95)),5)="SUPER","SUPER SALUD",IF(LEFT(UPPER(TRIM($AE95)),8)="SECRETAR","SECRETARIA DE SALUD",IF(LEFT(UPPER(TRIM($AE95)),4)="SEDE","SEDE",UPPER(TRIM($AE95))))),Config!$A$6:$D$8,2,FALSE),"⚠")))))</f>
        <v/>
      </c>
      <c r="AG82" s="30">
        <f>IF($AA95="","",IF(LEFT(UPPER(TRIM($AA95)),8)="FELICITA","N/A",IF($AE95="","",IFERROR(VLOOKUP(UPPER(TRIM($AE95)),Config!$A$6:$D$8,3,FALSE),IFERROR(VLOOKUP(IF(LEFT(UPPER(TRIM($AE95)),5)="SUPER","SUPER SALUD",IF(LEFT(UPPER(TRIM($AE95)),8)="SECRETAR","SECRETARIA DE SALUD",IF(LEFT(UPPER(TRIM($AE95)),4)="SEDE","SEDE",UPPER(TRIM($AE95))))),Config!$A$6:$D$8,3,FALSE),"")))))</f>
        <v/>
      </c>
      <c r="AH82" s="39">
        <f>IF(OR($E95="",NOT(ISNUMBER($E95)),$AF95="",$AF95="N/A",NOT(ISNUMBER($AF95))),"",IF($AG95="Hábiles",WORKDAY(INT($E95),$AF95,Config!$F$6:$F$39),INT($E95)+$AF95))</f>
        <v/>
      </c>
      <c r="AI82" s="30">
        <f>IF($E95="","",IF(LEFT(UPPER(TRIM($AA95)),8)="FELICITA","⭐ Felicitación",IF(NOT(ISNUMBER($E95)),"⚠ Revisar fecha",IF(UPPER(TRIM($AK95))="RESPONDIDA - CERRADA","✅ Cerrada",IF($AE95="","⚠ Falta entidad",IF($AH95="","⚠ Revisar término",IF(TODAY()&gt;$AH95,"🔴 Vencida",IF($AH95-TODAY()&lt;=Config!$B$12,"🟡 Próxima a vencer","🟢 En término"))))))))</f>
        <v/>
      </c>
      <c r="AJ82" s="42">
        <f>IF(OR($E95="",NOT(ISNUMBER($E95))),"",IF(ISNUMBER($AS95),MAX(0,INT($AS95)-INT($E95)),MAX(0,TODAY()-INT($E95))))</f>
        <v/>
      </c>
      <c r="AK82" s="30" t="n"/>
      <c r="AL82" s="30" t="n"/>
      <c r="AM82" s="30" t="n"/>
      <c r="AN82" s="39" t="n"/>
      <c r="AO82" s="30" t="n"/>
      <c r="AP82" s="30" t="n"/>
      <c r="AQ82" s="39" t="n"/>
      <c r="AR82" s="30" t="n"/>
      <c r="AS82" s="39" t="n"/>
      <c r="AT82" s="30">
        <f>IF(OR($AS95="",NOT(ISNUMBER($AS95)),$AH95=""),"",IF(INT($AS95)&lt;=$AH95,"A tiempo","Fuera de término"))</f>
        <v/>
      </c>
      <c r="AU82" s="40" t="n"/>
      <c r="AV82" s="40" t="n"/>
      <c r="AW82" s="40" t="n"/>
      <c r="AX82" s="40" t="n"/>
      <c r="AY82" s="30" t="n"/>
      <c r="AZ82" s="30" t="n"/>
      <c r="BA82" s="30" t="n"/>
    </row>
    <row r="83" ht="15.75" customHeight="1" s="57">
      <c r="A83" s="29" t="n"/>
      <c r="B83" s="30" t="n"/>
      <c r="C83" s="39" t="n"/>
      <c r="D83" s="39" t="n"/>
      <c r="E83" s="39" t="n"/>
      <c r="F83" s="40" t="n"/>
      <c r="G83" s="30" t="n"/>
      <c r="H83" s="30" t="n"/>
      <c r="I83" s="30" t="n"/>
      <c r="J83" s="30" t="n"/>
      <c r="K83" s="30" t="n"/>
      <c r="L83" s="30" t="n"/>
      <c r="M83" s="30" t="n"/>
      <c r="N83" s="30" t="n"/>
      <c r="O83" s="30" t="n"/>
      <c r="P83" s="30" t="n"/>
      <c r="Q83" s="30" t="n"/>
      <c r="R83" s="30" t="n"/>
      <c r="S83" s="30" t="n"/>
      <c r="T83" s="30" t="n"/>
      <c r="U83" s="30" t="n"/>
      <c r="V83" s="30" t="n"/>
      <c r="W83" s="30" t="n"/>
      <c r="X83" s="30" t="n"/>
      <c r="Y83" s="30" t="n"/>
      <c r="Z83" s="30" t="n"/>
      <c r="AA83" s="30" t="n"/>
      <c r="AB83" s="30" t="n"/>
      <c r="AC83" s="30" t="n"/>
      <c r="AD83" s="41" t="n"/>
      <c r="AE83" s="30" t="n"/>
      <c r="AF83" s="42">
        <f>IF($AA96="","",IF(LEFT(UPPER(TRIM($AA96)),8)="FELICITA","N/A",IF($AE96="","",IFERROR(VLOOKUP(UPPER(TRIM($AE96)),Config!$A$6:$D$8,2,FALSE),IFERROR(VLOOKUP(IF(LEFT(UPPER(TRIM($AE96)),5)="SUPER","SUPER SALUD",IF(LEFT(UPPER(TRIM($AE96)),8)="SECRETAR","SECRETARIA DE SALUD",IF(LEFT(UPPER(TRIM($AE96)),4)="SEDE","SEDE",UPPER(TRIM($AE96))))),Config!$A$6:$D$8,2,FALSE),"⚠")))))</f>
        <v/>
      </c>
      <c r="AG83" s="30">
        <f>IF($AA96="","",IF(LEFT(UPPER(TRIM($AA96)),8)="FELICITA","N/A",IF($AE96="","",IFERROR(VLOOKUP(UPPER(TRIM($AE96)),Config!$A$6:$D$8,3,FALSE),IFERROR(VLOOKUP(IF(LEFT(UPPER(TRIM($AE96)),5)="SUPER","SUPER SALUD",IF(LEFT(UPPER(TRIM($AE96)),8)="SECRETAR","SECRETARIA DE SALUD",IF(LEFT(UPPER(TRIM($AE96)),4)="SEDE","SEDE",UPPER(TRIM($AE96))))),Config!$A$6:$D$8,3,FALSE),"")))))</f>
        <v/>
      </c>
      <c r="AH83" s="39">
        <f>IF(OR($E96="",NOT(ISNUMBER($E96)),$AF96="",$AF96="N/A",NOT(ISNUMBER($AF96))),"",IF($AG96="Hábiles",WORKDAY(INT($E96),$AF96,Config!$F$6:$F$39),INT($E96)+$AF96))</f>
        <v/>
      </c>
      <c r="AI83" s="30">
        <f>IF($E96="","",IF(LEFT(UPPER(TRIM($AA96)),8)="FELICITA","⭐ Felicitación",IF(NOT(ISNUMBER($E96)),"⚠ Revisar fecha",IF(UPPER(TRIM($AK96))="RESPONDIDA - CERRADA","✅ Cerrada",IF($AE96="","⚠ Falta entidad",IF($AH96="","⚠ Revisar término",IF(TODAY()&gt;$AH96,"🔴 Vencida",IF($AH96-TODAY()&lt;=Config!$B$12,"🟡 Próxima a vencer","🟢 En término"))))))))</f>
        <v/>
      </c>
      <c r="AJ83" s="42">
        <f>IF(OR($E96="",NOT(ISNUMBER($E96))),"",IF(ISNUMBER($AS96),MAX(0,INT($AS96)-INT($E96)),MAX(0,TODAY()-INT($E96))))</f>
        <v/>
      </c>
      <c r="AK83" s="30" t="n"/>
      <c r="AL83" s="30" t="n"/>
      <c r="AM83" s="30" t="n"/>
      <c r="AN83" s="39" t="n"/>
      <c r="AO83" s="30" t="n"/>
      <c r="AP83" s="30" t="n"/>
      <c r="AQ83" s="39" t="n"/>
      <c r="AR83" s="30" t="n"/>
      <c r="AS83" s="39" t="n"/>
      <c r="AT83" s="30">
        <f>IF(OR($AS96="",NOT(ISNUMBER($AS96)),$AH96=""),"",IF(INT($AS96)&lt;=$AH96,"A tiempo","Fuera de término"))</f>
        <v/>
      </c>
      <c r="AU83" s="40" t="n"/>
      <c r="AV83" s="40" t="n"/>
      <c r="AW83" s="40" t="n"/>
      <c r="AX83" s="40" t="n"/>
      <c r="AY83" s="30" t="n"/>
      <c r="AZ83" s="30" t="n"/>
      <c r="BA83" s="30" t="n"/>
    </row>
    <row r="84" ht="15.75" customHeight="1" s="57">
      <c r="A84" s="29" t="n"/>
      <c r="B84" s="30" t="n"/>
      <c r="C84" s="39" t="n"/>
      <c r="D84" s="39" t="n"/>
      <c r="E84" s="39" t="n"/>
      <c r="F84" s="40" t="n"/>
      <c r="G84" s="30" t="n"/>
      <c r="H84" s="30" t="n"/>
      <c r="I84" s="30" t="n"/>
      <c r="J84" s="30" t="n"/>
      <c r="K84" s="30" t="n"/>
      <c r="L84" s="30" t="n"/>
      <c r="M84" s="30" t="n"/>
      <c r="N84" s="30" t="n"/>
      <c r="O84" s="30" t="n"/>
      <c r="P84" s="30" t="n"/>
      <c r="Q84" s="30" t="n"/>
      <c r="R84" s="30" t="n"/>
      <c r="S84" s="30" t="n"/>
      <c r="T84" s="30" t="n"/>
      <c r="U84" s="30" t="n"/>
      <c r="V84" s="30" t="n"/>
      <c r="W84" s="30" t="n"/>
      <c r="X84" s="30" t="n"/>
      <c r="Y84" s="30" t="n"/>
      <c r="Z84" s="30" t="n"/>
      <c r="AA84" s="30" t="n"/>
      <c r="AB84" s="30" t="n"/>
      <c r="AC84" s="30" t="n"/>
      <c r="AD84" s="41" t="n"/>
      <c r="AE84" s="30" t="n"/>
      <c r="AF84" s="42">
        <f>IF($AA97="","",IF(LEFT(UPPER(TRIM($AA97)),8)="FELICITA","N/A",IF($AE97="","",IFERROR(VLOOKUP(UPPER(TRIM($AE97)),Config!$A$6:$D$8,2,FALSE),IFERROR(VLOOKUP(IF(LEFT(UPPER(TRIM($AE97)),5)="SUPER","SUPER SALUD",IF(LEFT(UPPER(TRIM($AE97)),8)="SECRETAR","SECRETARIA DE SALUD",IF(LEFT(UPPER(TRIM($AE97)),4)="SEDE","SEDE",UPPER(TRIM($AE97))))),Config!$A$6:$D$8,2,FALSE),"⚠")))))</f>
        <v/>
      </c>
      <c r="AG84" s="30">
        <f>IF($AA97="","",IF(LEFT(UPPER(TRIM($AA97)),8)="FELICITA","N/A",IF($AE97="","",IFERROR(VLOOKUP(UPPER(TRIM($AE97)),Config!$A$6:$D$8,3,FALSE),IFERROR(VLOOKUP(IF(LEFT(UPPER(TRIM($AE97)),5)="SUPER","SUPER SALUD",IF(LEFT(UPPER(TRIM($AE97)),8)="SECRETAR","SECRETARIA DE SALUD",IF(LEFT(UPPER(TRIM($AE97)),4)="SEDE","SEDE",UPPER(TRIM($AE97))))),Config!$A$6:$D$8,3,FALSE),"")))))</f>
        <v/>
      </c>
      <c r="AH84" s="39">
        <f>IF(OR($E97="",NOT(ISNUMBER($E97)),$AF97="",$AF97="N/A",NOT(ISNUMBER($AF97))),"",IF($AG97="Hábiles",WORKDAY(INT($E97),$AF97,Config!$F$6:$F$39),INT($E97)+$AF97))</f>
        <v/>
      </c>
      <c r="AI84" s="30">
        <f>IF($E97="","",IF(LEFT(UPPER(TRIM($AA97)),8)="FELICITA","⭐ Felicitación",IF(NOT(ISNUMBER($E97)),"⚠ Revisar fecha",IF(UPPER(TRIM($AK97))="RESPONDIDA - CERRADA","✅ Cerrada",IF($AE97="","⚠ Falta entidad",IF($AH97="","⚠ Revisar término",IF(TODAY()&gt;$AH97,"🔴 Vencida",IF($AH97-TODAY()&lt;=Config!$B$12,"🟡 Próxima a vencer","🟢 En término"))))))))</f>
        <v/>
      </c>
      <c r="AJ84" s="42">
        <f>IF(OR($E97="",NOT(ISNUMBER($E97))),"",IF(ISNUMBER($AS97),MAX(0,INT($AS97)-INT($E97)),MAX(0,TODAY()-INT($E97))))</f>
        <v/>
      </c>
      <c r="AK84" s="30" t="n"/>
      <c r="AL84" s="30" t="n"/>
      <c r="AM84" s="30" t="n"/>
      <c r="AN84" s="39" t="n"/>
      <c r="AO84" s="30" t="n"/>
      <c r="AP84" s="30" t="n"/>
      <c r="AQ84" s="39" t="n"/>
      <c r="AR84" s="30" t="n"/>
      <c r="AS84" s="39" t="n"/>
      <c r="AT84" s="30">
        <f>IF(OR($AS97="",NOT(ISNUMBER($AS97)),$AH97=""),"",IF(INT($AS97)&lt;=$AH97,"A tiempo","Fuera de término"))</f>
        <v/>
      </c>
      <c r="AU84" s="40" t="n"/>
      <c r="AV84" s="40" t="n"/>
      <c r="AW84" s="40" t="n"/>
      <c r="AX84" s="40" t="n"/>
      <c r="AY84" s="30" t="n"/>
      <c r="AZ84" s="30" t="n"/>
      <c r="BA84" s="30" t="n"/>
    </row>
    <row r="85" ht="15.75" customHeight="1" s="57">
      <c r="A85" s="29" t="n"/>
      <c r="B85" s="30" t="n"/>
      <c r="C85" s="39" t="n"/>
      <c r="D85" s="39" t="n"/>
      <c r="E85" s="39" t="n"/>
      <c r="F85" s="40" t="n"/>
      <c r="G85" s="30" t="n"/>
      <c r="H85" s="30" t="n"/>
      <c r="I85" s="30" t="n"/>
      <c r="J85" s="30" t="n"/>
      <c r="K85" s="30" t="n"/>
      <c r="L85" s="30" t="n"/>
      <c r="M85" s="30" t="n"/>
      <c r="N85" s="30" t="n"/>
      <c r="O85" s="30" t="n"/>
      <c r="P85" s="30" t="n"/>
      <c r="Q85" s="30" t="n"/>
      <c r="R85" s="30" t="n"/>
      <c r="S85" s="30" t="n"/>
      <c r="T85" s="30" t="n"/>
      <c r="U85" s="30" t="n"/>
      <c r="V85" s="30" t="n"/>
      <c r="W85" s="30" t="n"/>
      <c r="X85" s="30" t="n"/>
      <c r="Y85" s="30" t="n"/>
      <c r="Z85" s="30" t="n"/>
      <c r="AA85" s="30" t="n"/>
      <c r="AB85" s="30" t="n"/>
      <c r="AC85" s="30" t="n"/>
      <c r="AD85" s="41" t="n"/>
      <c r="AE85" s="30" t="n"/>
      <c r="AF85" s="42">
        <f>IF($AA98="","",IF(LEFT(UPPER(TRIM($AA98)),8)="FELICITA","N/A",IF($AE98="","",IFERROR(VLOOKUP(UPPER(TRIM($AE98)),Config!$A$6:$D$8,2,FALSE),IFERROR(VLOOKUP(IF(LEFT(UPPER(TRIM($AE98)),5)="SUPER","SUPER SALUD",IF(LEFT(UPPER(TRIM($AE98)),8)="SECRETAR","SECRETARIA DE SALUD",IF(LEFT(UPPER(TRIM($AE98)),4)="SEDE","SEDE",UPPER(TRIM($AE98))))),Config!$A$6:$D$8,2,FALSE),"⚠")))))</f>
        <v/>
      </c>
      <c r="AG85" s="30">
        <f>IF($AA98="","",IF(LEFT(UPPER(TRIM($AA98)),8)="FELICITA","N/A",IF($AE98="","",IFERROR(VLOOKUP(UPPER(TRIM($AE98)),Config!$A$6:$D$8,3,FALSE),IFERROR(VLOOKUP(IF(LEFT(UPPER(TRIM($AE98)),5)="SUPER","SUPER SALUD",IF(LEFT(UPPER(TRIM($AE98)),8)="SECRETAR","SECRETARIA DE SALUD",IF(LEFT(UPPER(TRIM($AE98)),4)="SEDE","SEDE",UPPER(TRIM($AE98))))),Config!$A$6:$D$8,3,FALSE),"")))))</f>
        <v/>
      </c>
      <c r="AH85" s="39">
        <f>IF(OR($E98="",NOT(ISNUMBER($E98)),$AF98="",$AF98="N/A",NOT(ISNUMBER($AF98))),"",IF($AG98="Hábiles",WORKDAY(INT($E98),$AF98,Config!$F$6:$F$39),INT($E98)+$AF98))</f>
        <v/>
      </c>
      <c r="AI85" s="30">
        <f>IF($E98="","",IF(LEFT(UPPER(TRIM($AA98)),8)="FELICITA","⭐ Felicitación",IF(NOT(ISNUMBER($E98)),"⚠ Revisar fecha",IF(UPPER(TRIM($AK98))="RESPONDIDA - CERRADA","✅ Cerrada",IF($AE98="","⚠ Falta entidad",IF($AH98="","⚠ Revisar término",IF(TODAY()&gt;$AH98,"🔴 Vencida",IF($AH98-TODAY()&lt;=Config!$B$12,"🟡 Próxima a vencer","🟢 En término"))))))))</f>
        <v/>
      </c>
      <c r="AJ85" s="42">
        <f>IF(OR($E98="",NOT(ISNUMBER($E98))),"",IF(ISNUMBER($AS98),MAX(0,INT($AS98)-INT($E98)),MAX(0,TODAY()-INT($E98))))</f>
        <v/>
      </c>
      <c r="AK85" s="30" t="n"/>
      <c r="AL85" s="30" t="n"/>
      <c r="AM85" s="30" t="n"/>
      <c r="AN85" s="39" t="n"/>
      <c r="AO85" s="30" t="n"/>
      <c r="AP85" s="30" t="n"/>
      <c r="AQ85" s="39" t="n"/>
      <c r="AR85" s="30" t="n"/>
      <c r="AS85" s="39" t="n"/>
      <c r="AT85" s="30">
        <f>IF(OR($AS98="",NOT(ISNUMBER($AS98)),$AH98=""),"",IF(INT($AS98)&lt;=$AH98,"A tiempo","Fuera de término"))</f>
        <v/>
      </c>
      <c r="AU85" s="40" t="n"/>
      <c r="AV85" s="40" t="n"/>
      <c r="AW85" s="40" t="n"/>
      <c r="AX85" s="40" t="n"/>
      <c r="AY85" s="30" t="n"/>
      <c r="AZ85" s="30" t="n"/>
      <c r="BA85" s="30" t="n"/>
    </row>
    <row r="86" ht="15.75" customHeight="1" s="57">
      <c r="A86" s="29" t="n"/>
      <c r="B86" s="30" t="n"/>
      <c r="C86" s="39" t="n"/>
      <c r="D86" s="39" t="n"/>
      <c r="E86" s="39" t="n"/>
      <c r="F86" s="40" t="n"/>
      <c r="G86" s="30" t="n"/>
      <c r="H86" s="30" t="n"/>
      <c r="I86" s="30" t="n"/>
      <c r="J86" s="30" t="n"/>
      <c r="K86" s="30" t="n"/>
      <c r="L86" s="30" t="n"/>
      <c r="M86" s="30" t="n"/>
      <c r="N86" s="30" t="n"/>
      <c r="O86" s="30" t="n"/>
      <c r="P86" s="30" t="n"/>
      <c r="Q86" s="30" t="n"/>
      <c r="R86" s="30" t="n"/>
      <c r="S86" s="30" t="n"/>
      <c r="T86" s="30" t="n"/>
      <c r="U86" s="30" t="n"/>
      <c r="V86" s="30" t="n"/>
      <c r="W86" s="30" t="n"/>
      <c r="X86" s="30" t="n"/>
      <c r="Y86" s="30" t="n"/>
      <c r="Z86" s="30" t="n"/>
      <c r="AA86" s="30" t="n"/>
      <c r="AB86" s="30" t="n"/>
      <c r="AC86" s="30" t="n"/>
      <c r="AD86" s="41" t="n"/>
      <c r="AE86" s="30" t="n"/>
      <c r="AF86" s="42">
        <f>IF($AA99="","",IF(LEFT(UPPER(TRIM($AA99)),8)="FELICITA","N/A",IF($AE99="","",IFERROR(VLOOKUP(UPPER(TRIM($AE99)),Config!$A$6:$D$8,2,FALSE),IFERROR(VLOOKUP(IF(LEFT(UPPER(TRIM($AE99)),5)="SUPER","SUPER SALUD",IF(LEFT(UPPER(TRIM($AE99)),8)="SECRETAR","SECRETARIA DE SALUD",IF(LEFT(UPPER(TRIM($AE99)),4)="SEDE","SEDE",UPPER(TRIM($AE99))))),Config!$A$6:$D$8,2,FALSE),"⚠")))))</f>
        <v/>
      </c>
      <c r="AG86" s="30">
        <f>IF($AA99="","",IF(LEFT(UPPER(TRIM($AA99)),8)="FELICITA","N/A",IF($AE99="","",IFERROR(VLOOKUP(UPPER(TRIM($AE99)),Config!$A$6:$D$8,3,FALSE),IFERROR(VLOOKUP(IF(LEFT(UPPER(TRIM($AE99)),5)="SUPER","SUPER SALUD",IF(LEFT(UPPER(TRIM($AE99)),8)="SECRETAR","SECRETARIA DE SALUD",IF(LEFT(UPPER(TRIM($AE99)),4)="SEDE","SEDE",UPPER(TRIM($AE99))))),Config!$A$6:$D$8,3,FALSE),"")))))</f>
        <v/>
      </c>
      <c r="AH86" s="39">
        <f>IF(OR($E99="",NOT(ISNUMBER($E99)),$AF99="",$AF99="N/A",NOT(ISNUMBER($AF99))),"",IF($AG99="Hábiles",WORKDAY(INT($E99),$AF99,Config!$F$6:$F$39),INT($E99)+$AF99))</f>
        <v/>
      </c>
      <c r="AI86" s="30">
        <f>IF($E99="","",IF(LEFT(UPPER(TRIM($AA99)),8)="FELICITA","⭐ Felicitación",IF(NOT(ISNUMBER($E99)),"⚠ Revisar fecha",IF(UPPER(TRIM($AK99))="RESPONDIDA - CERRADA","✅ Cerrada",IF($AE99="","⚠ Falta entidad",IF($AH99="","⚠ Revisar término",IF(TODAY()&gt;$AH99,"🔴 Vencida",IF($AH99-TODAY()&lt;=Config!$B$12,"🟡 Próxima a vencer","🟢 En término"))))))))</f>
        <v/>
      </c>
      <c r="AJ86" s="42">
        <f>IF(OR($E99="",NOT(ISNUMBER($E99))),"",IF(ISNUMBER($AS99),MAX(0,INT($AS99)-INT($E99)),MAX(0,TODAY()-INT($E99))))</f>
        <v/>
      </c>
      <c r="AK86" s="30" t="n"/>
      <c r="AL86" s="30" t="n"/>
      <c r="AM86" s="30" t="n"/>
      <c r="AN86" s="39" t="n"/>
      <c r="AO86" s="30" t="n"/>
      <c r="AP86" s="30" t="n"/>
      <c r="AQ86" s="39" t="n"/>
      <c r="AR86" s="30" t="n"/>
      <c r="AS86" s="39" t="n"/>
      <c r="AT86" s="30">
        <f>IF(OR($AS99="",NOT(ISNUMBER($AS99)),$AH99=""),"",IF(INT($AS99)&lt;=$AH99,"A tiempo","Fuera de término"))</f>
        <v/>
      </c>
      <c r="AU86" s="40" t="n"/>
      <c r="AV86" s="40" t="n"/>
      <c r="AW86" s="40" t="n"/>
      <c r="AX86" s="40" t="n"/>
      <c r="AY86" s="30" t="n"/>
      <c r="AZ86" s="30" t="n"/>
      <c r="BA86" s="30" t="n"/>
    </row>
    <row r="87" ht="15.75" customHeight="1" s="57">
      <c r="A87" s="29" t="n"/>
      <c r="B87" s="30" t="n"/>
      <c r="C87" s="39" t="n"/>
      <c r="D87" s="39" t="n"/>
      <c r="E87" s="39" t="n"/>
      <c r="F87" s="40" t="n"/>
      <c r="G87" s="30" t="n"/>
      <c r="H87" s="30" t="n"/>
      <c r="I87" s="30" t="n"/>
      <c r="J87" s="30" t="n"/>
      <c r="K87" s="30" t="n"/>
      <c r="L87" s="30" t="n"/>
      <c r="M87" s="30" t="n"/>
      <c r="N87" s="30" t="n"/>
      <c r="O87" s="30" t="n"/>
      <c r="P87" s="30" t="n"/>
      <c r="Q87" s="30" t="n"/>
      <c r="R87" s="30" t="n"/>
      <c r="S87" s="30" t="n"/>
      <c r="T87" s="30" t="n"/>
      <c r="U87" s="30" t="n"/>
      <c r="V87" s="30" t="n"/>
      <c r="W87" s="30" t="n"/>
      <c r="X87" s="30" t="n"/>
      <c r="Y87" s="30" t="n"/>
      <c r="Z87" s="30" t="n"/>
      <c r="AA87" s="30" t="n"/>
      <c r="AB87" s="30" t="n"/>
      <c r="AC87" s="30" t="n"/>
      <c r="AD87" s="41" t="n"/>
      <c r="AE87" s="30" t="n"/>
      <c r="AF87" s="42">
        <f>IF($AA100="","",IF(LEFT(UPPER(TRIM($AA100)),8)="FELICITA","N/A",IF($AE100="","",IFERROR(VLOOKUP(UPPER(TRIM($AE100)),Config!$A$6:$D$8,2,FALSE),IFERROR(VLOOKUP(IF(LEFT(UPPER(TRIM($AE100)),5)="SUPER","SUPER SALUD",IF(LEFT(UPPER(TRIM($AE100)),8)="SECRETAR","SECRETARIA DE SALUD",IF(LEFT(UPPER(TRIM($AE100)),4)="SEDE","SEDE",UPPER(TRIM($AE100))))),Config!$A$6:$D$8,2,FALSE),"⚠")))))</f>
        <v/>
      </c>
      <c r="AG87" s="30">
        <f>IF($AA100="","",IF(LEFT(UPPER(TRIM($AA100)),8)="FELICITA","N/A",IF($AE100="","",IFERROR(VLOOKUP(UPPER(TRIM($AE100)),Config!$A$6:$D$8,3,FALSE),IFERROR(VLOOKUP(IF(LEFT(UPPER(TRIM($AE100)),5)="SUPER","SUPER SALUD",IF(LEFT(UPPER(TRIM($AE100)),8)="SECRETAR","SECRETARIA DE SALUD",IF(LEFT(UPPER(TRIM($AE100)),4)="SEDE","SEDE",UPPER(TRIM($AE100))))),Config!$A$6:$D$8,3,FALSE),"")))))</f>
        <v/>
      </c>
      <c r="AH87" s="39">
        <f>IF(OR($E100="",NOT(ISNUMBER($E100)),$AF100="",$AF100="N/A",NOT(ISNUMBER($AF100))),"",IF($AG100="Hábiles",WORKDAY(INT($E100),$AF100,Config!$F$6:$F$39),INT($E100)+$AF100))</f>
        <v/>
      </c>
      <c r="AI87" s="30">
        <f>IF($E100="","",IF(LEFT(UPPER(TRIM($AA100)),8)="FELICITA","⭐ Felicitación",IF(NOT(ISNUMBER($E100)),"⚠ Revisar fecha",IF(UPPER(TRIM($AK100))="RESPONDIDA - CERRADA","✅ Cerrada",IF($AE100="","⚠ Falta entidad",IF($AH100="","⚠ Revisar término",IF(TODAY()&gt;$AH100,"🔴 Vencida",IF($AH100-TODAY()&lt;=Config!$B$12,"🟡 Próxima a vencer","🟢 En término"))))))))</f>
        <v/>
      </c>
      <c r="AJ87" s="42">
        <f>IF(OR($E100="",NOT(ISNUMBER($E100))),"",IF(ISNUMBER($AS100),MAX(0,INT($AS100)-INT($E100)),MAX(0,TODAY()-INT($E100))))</f>
        <v/>
      </c>
      <c r="AK87" s="30" t="n"/>
      <c r="AL87" s="30" t="n"/>
      <c r="AM87" s="30" t="n"/>
      <c r="AN87" s="39" t="n"/>
      <c r="AO87" s="30" t="n"/>
      <c r="AP87" s="30" t="n"/>
      <c r="AQ87" s="39" t="n"/>
      <c r="AR87" s="30" t="n"/>
      <c r="AS87" s="39" t="n"/>
      <c r="AT87" s="30">
        <f>IF(OR($AS100="",NOT(ISNUMBER($AS100)),$AH100=""),"",IF(INT($AS100)&lt;=$AH100,"A tiempo","Fuera de término"))</f>
        <v/>
      </c>
      <c r="AU87" s="40" t="n"/>
      <c r="AV87" s="40" t="n"/>
      <c r="AW87" s="40" t="n"/>
      <c r="AX87" s="40" t="n"/>
      <c r="AY87" s="30" t="n"/>
      <c r="AZ87" s="30" t="n"/>
      <c r="BA87" s="30" t="n"/>
    </row>
    <row r="88" ht="15.75" customHeight="1" s="57">
      <c r="A88" s="29" t="n"/>
      <c r="B88" s="30" t="n"/>
      <c r="C88" s="39" t="n"/>
      <c r="D88" s="39" t="n"/>
      <c r="E88" s="39" t="n"/>
      <c r="F88" s="40" t="n"/>
      <c r="G88" s="30" t="n"/>
      <c r="H88" s="30" t="n"/>
      <c r="I88" s="30" t="n"/>
      <c r="J88" s="30" t="n"/>
      <c r="K88" s="30" t="n"/>
      <c r="L88" s="30" t="n"/>
      <c r="M88" s="30" t="n"/>
      <c r="N88" s="30" t="n"/>
      <c r="O88" s="30" t="n"/>
      <c r="P88" s="30" t="n"/>
      <c r="Q88" s="30" t="n"/>
      <c r="R88" s="30" t="n"/>
      <c r="S88" s="30" t="n"/>
      <c r="T88" s="30" t="n"/>
      <c r="U88" s="30" t="n"/>
      <c r="V88" s="30" t="n"/>
      <c r="W88" s="30" t="n"/>
      <c r="X88" s="30" t="n"/>
      <c r="Y88" s="30" t="n"/>
      <c r="Z88" s="30" t="n"/>
      <c r="AA88" s="30" t="n"/>
      <c r="AB88" s="30" t="n"/>
      <c r="AC88" s="30" t="n"/>
      <c r="AD88" s="41" t="n"/>
      <c r="AE88" s="30" t="n"/>
      <c r="AF88" s="42">
        <f>IF($AA101="","",IF(LEFT(UPPER(TRIM($AA101)),8)="FELICITA","N/A",IF($AE101="","",IFERROR(VLOOKUP(UPPER(TRIM($AE101)),Config!$A$6:$D$8,2,FALSE),IFERROR(VLOOKUP(IF(LEFT(UPPER(TRIM($AE101)),5)="SUPER","SUPER SALUD",IF(LEFT(UPPER(TRIM($AE101)),8)="SECRETAR","SECRETARIA DE SALUD",IF(LEFT(UPPER(TRIM($AE101)),4)="SEDE","SEDE",UPPER(TRIM($AE101))))),Config!$A$6:$D$8,2,FALSE),"⚠")))))</f>
        <v/>
      </c>
      <c r="AG88" s="30">
        <f>IF($AA101="","",IF(LEFT(UPPER(TRIM($AA101)),8)="FELICITA","N/A",IF($AE101="","",IFERROR(VLOOKUP(UPPER(TRIM($AE101)),Config!$A$6:$D$8,3,FALSE),IFERROR(VLOOKUP(IF(LEFT(UPPER(TRIM($AE101)),5)="SUPER","SUPER SALUD",IF(LEFT(UPPER(TRIM($AE101)),8)="SECRETAR","SECRETARIA DE SALUD",IF(LEFT(UPPER(TRIM($AE101)),4)="SEDE","SEDE",UPPER(TRIM($AE101))))),Config!$A$6:$D$8,3,FALSE),"")))))</f>
        <v/>
      </c>
      <c r="AH88" s="39">
        <f>IF(OR($E101="",NOT(ISNUMBER($E101)),$AF101="",$AF101="N/A",NOT(ISNUMBER($AF101))),"",IF($AG101="Hábiles",WORKDAY(INT($E101),$AF101,Config!$F$6:$F$39),INT($E101)+$AF101))</f>
        <v/>
      </c>
      <c r="AI88" s="30">
        <f>IF($E101="","",IF(LEFT(UPPER(TRIM($AA101)),8)="FELICITA","⭐ Felicitación",IF(NOT(ISNUMBER($E101)),"⚠ Revisar fecha",IF(UPPER(TRIM($AK101))="RESPONDIDA - CERRADA","✅ Cerrada",IF($AE101="","⚠ Falta entidad",IF($AH101="","⚠ Revisar término",IF(TODAY()&gt;$AH101,"🔴 Vencida",IF($AH101-TODAY()&lt;=Config!$B$12,"🟡 Próxima a vencer","🟢 En término"))))))))</f>
        <v/>
      </c>
      <c r="AJ88" s="42">
        <f>IF(OR($E101="",NOT(ISNUMBER($E101))),"",IF(ISNUMBER($AS101),MAX(0,INT($AS101)-INT($E101)),MAX(0,TODAY()-INT($E101))))</f>
        <v/>
      </c>
      <c r="AK88" s="30" t="n"/>
      <c r="AL88" s="30" t="n"/>
      <c r="AM88" s="30" t="n"/>
      <c r="AN88" s="39" t="n"/>
      <c r="AO88" s="30" t="n"/>
      <c r="AP88" s="30" t="n"/>
      <c r="AQ88" s="39" t="n"/>
      <c r="AR88" s="30" t="n"/>
      <c r="AS88" s="39" t="n"/>
      <c r="AT88" s="30">
        <f>IF(OR($AS101="",NOT(ISNUMBER($AS101)),$AH101=""),"",IF(INT($AS101)&lt;=$AH101,"A tiempo","Fuera de término"))</f>
        <v/>
      </c>
      <c r="AU88" s="40" t="n"/>
      <c r="AV88" s="40" t="n"/>
      <c r="AW88" s="40" t="n"/>
      <c r="AX88" s="40" t="n"/>
      <c r="AY88" s="30" t="n"/>
      <c r="AZ88" s="30" t="n"/>
      <c r="BA88" s="30" t="n"/>
    </row>
    <row r="89" ht="15.75" customHeight="1" s="57">
      <c r="A89" s="29" t="n"/>
      <c r="B89" s="30" t="n"/>
      <c r="C89" s="39" t="n"/>
      <c r="D89" s="39" t="n"/>
      <c r="E89" s="39" t="n"/>
      <c r="F89" s="40" t="n"/>
      <c r="G89" s="30" t="n"/>
      <c r="H89" s="30" t="n"/>
      <c r="I89" s="30" t="n"/>
      <c r="J89" s="30" t="n"/>
      <c r="K89" s="30" t="n"/>
      <c r="L89" s="30" t="n"/>
      <c r="M89" s="30" t="n"/>
      <c r="N89" s="30" t="n"/>
      <c r="O89" s="30" t="n"/>
      <c r="P89" s="30" t="n"/>
      <c r="Q89" s="30" t="n"/>
      <c r="R89" s="30" t="n"/>
      <c r="S89" s="30" t="n"/>
      <c r="T89" s="30" t="n"/>
      <c r="U89" s="30" t="n"/>
      <c r="V89" s="30" t="n"/>
      <c r="W89" s="30" t="n"/>
      <c r="X89" s="30" t="n"/>
      <c r="Y89" s="30" t="n"/>
      <c r="Z89" s="30" t="n"/>
      <c r="AA89" s="30" t="n"/>
      <c r="AB89" s="30" t="n"/>
      <c r="AC89" s="30" t="n"/>
      <c r="AD89" s="41" t="n"/>
      <c r="AE89" s="30" t="n"/>
      <c r="AF89" s="42">
        <f>IF($AA102="","",IF(LEFT(UPPER(TRIM($AA102)),8)="FELICITA","N/A",IF($AE102="","",IFERROR(VLOOKUP(UPPER(TRIM($AE102)),Config!$A$6:$D$8,2,FALSE),IFERROR(VLOOKUP(IF(LEFT(UPPER(TRIM($AE102)),5)="SUPER","SUPER SALUD",IF(LEFT(UPPER(TRIM($AE102)),8)="SECRETAR","SECRETARIA DE SALUD",IF(LEFT(UPPER(TRIM($AE102)),4)="SEDE","SEDE",UPPER(TRIM($AE102))))),Config!$A$6:$D$8,2,FALSE),"⚠")))))</f>
        <v/>
      </c>
      <c r="AG89" s="30">
        <f>IF($AA102="","",IF(LEFT(UPPER(TRIM($AA102)),8)="FELICITA","N/A",IF($AE102="","",IFERROR(VLOOKUP(UPPER(TRIM($AE102)),Config!$A$6:$D$8,3,FALSE),IFERROR(VLOOKUP(IF(LEFT(UPPER(TRIM($AE102)),5)="SUPER","SUPER SALUD",IF(LEFT(UPPER(TRIM($AE102)),8)="SECRETAR","SECRETARIA DE SALUD",IF(LEFT(UPPER(TRIM($AE102)),4)="SEDE","SEDE",UPPER(TRIM($AE102))))),Config!$A$6:$D$8,3,FALSE),"")))))</f>
        <v/>
      </c>
      <c r="AH89" s="39">
        <f>IF(OR($E102="",NOT(ISNUMBER($E102)),$AF102="",$AF102="N/A",NOT(ISNUMBER($AF102))),"",IF($AG102="Hábiles",WORKDAY(INT($E102),$AF102,Config!$F$6:$F$39),INT($E102)+$AF102))</f>
        <v/>
      </c>
      <c r="AI89" s="30">
        <f>IF($E102="","",IF(LEFT(UPPER(TRIM($AA102)),8)="FELICITA","⭐ Felicitación",IF(NOT(ISNUMBER($E102)),"⚠ Revisar fecha",IF(UPPER(TRIM($AK102))="RESPONDIDA - CERRADA","✅ Cerrada",IF($AE102="","⚠ Falta entidad",IF($AH102="","⚠ Revisar término",IF(TODAY()&gt;$AH102,"🔴 Vencida",IF($AH102-TODAY()&lt;=Config!$B$12,"🟡 Próxima a vencer","🟢 En término"))))))))</f>
        <v/>
      </c>
      <c r="AJ89" s="42">
        <f>IF(OR($E102="",NOT(ISNUMBER($E102))),"",IF(ISNUMBER($AS102),MAX(0,INT($AS102)-INT($E102)),MAX(0,TODAY()-INT($E102))))</f>
        <v/>
      </c>
      <c r="AK89" s="30" t="n"/>
      <c r="AL89" s="30" t="n"/>
      <c r="AM89" s="30" t="n"/>
      <c r="AN89" s="39" t="n"/>
      <c r="AO89" s="30" t="n"/>
      <c r="AP89" s="30" t="n"/>
      <c r="AQ89" s="39" t="n"/>
      <c r="AR89" s="30" t="n"/>
      <c r="AS89" s="39" t="n"/>
      <c r="AT89" s="30">
        <f>IF(OR($AS102="",NOT(ISNUMBER($AS102)),$AH102=""),"",IF(INT($AS102)&lt;=$AH102,"A tiempo","Fuera de término"))</f>
        <v/>
      </c>
      <c r="AU89" s="40" t="n"/>
      <c r="AV89" s="40" t="n"/>
      <c r="AW89" s="40" t="n"/>
      <c r="AX89" s="40" t="n"/>
      <c r="AY89" s="30" t="n"/>
      <c r="AZ89" s="30" t="n"/>
      <c r="BA89" s="30" t="n"/>
    </row>
    <row r="90" ht="15.75" customHeight="1" s="57">
      <c r="A90" s="29" t="n"/>
      <c r="B90" s="30" t="n"/>
      <c r="C90" s="39" t="n"/>
      <c r="D90" s="39" t="n"/>
      <c r="E90" s="39" t="n"/>
      <c r="F90" s="40" t="n"/>
      <c r="G90" s="30" t="n"/>
      <c r="H90" s="30" t="n"/>
      <c r="I90" s="30" t="n"/>
      <c r="J90" s="30" t="n"/>
      <c r="K90" s="30" t="n"/>
      <c r="L90" s="30" t="n"/>
      <c r="M90" s="30" t="n"/>
      <c r="N90" s="30" t="n"/>
      <c r="O90" s="30" t="n"/>
      <c r="P90" s="30" t="n"/>
      <c r="Q90" s="30" t="n"/>
      <c r="R90" s="30" t="n"/>
      <c r="S90" s="30" t="n"/>
      <c r="T90" s="30" t="n"/>
      <c r="U90" s="30" t="n"/>
      <c r="V90" s="30" t="n"/>
      <c r="W90" s="30" t="n"/>
      <c r="X90" s="30" t="n"/>
      <c r="Y90" s="30" t="n"/>
      <c r="Z90" s="30" t="n"/>
      <c r="AA90" s="30" t="n"/>
      <c r="AB90" s="30" t="n"/>
      <c r="AC90" s="30" t="n"/>
      <c r="AD90" s="41" t="n"/>
      <c r="AE90" s="30" t="n"/>
      <c r="AF90" s="42">
        <f>IF($AA103="","",IF(LEFT(UPPER(TRIM($AA103)),8)="FELICITA","N/A",IF($AE103="","",IFERROR(VLOOKUP(UPPER(TRIM($AE103)),Config!$A$6:$D$8,2,FALSE),IFERROR(VLOOKUP(IF(LEFT(UPPER(TRIM($AE103)),5)="SUPER","SUPER SALUD",IF(LEFT(UPPER(TRIM($AE103)),8)="SECRETAR","SECRETARIA DE SALUD",IF(LEFT(UPPER(TRIM($AE103)),4)="SEDE","SEDE",UPPER(TRIM($AE103))))),Config!$A$6:$D$8,2,FALSE),"⚠")))))</f>
        <v/>
      </c>
      <c r="AG90" s="30">
        <f>IF($AA103="","",IF(LEFT(UPPER(TRIM($AA103)),8)="FELICITA","N/A",IF($AE103="","",IFERROR(VLOOKUP(UPPER(TRIM($AE103)),Config!$A$6:$D$8,3,FALSE),IFERROR(VLOOKUP(IF(LEFT(UPPER(TRIM($AE103)),5)="SUPER","SUPER SALUD",IF(LEFT(UPPER(TRIM($AE103)),8)="SECRETAR","SECRETARIA DE SALUD",IF(LEFT(UPPER(TRIM($AE103)),4)="SEDE","SEDE",UPPER(TRIM($AE103))))),Config!$A$6:$D$8,3,FALSE),"")))))</f>
        <v/>
      </c>
      <c r="AH90" s="39">
        <f>IF(OR($E103="",NOT(ISNUMBER($E103)),$AF103="",$AF103="N/A",NOT(ISNUMBER($AF103))),"",IF($AG103="Hábiles",WORKDAY(INT($E103),$AF103,Config!$F$6:$F$39),INT($E103)+$AF103))</f>
        <v/>
      </c>
      <c r="AI90" s="30">
        <f>IF($E103="","",IF(LEFT(UPPER(TRIM($AA103)),8)="FELICITA","⭐ Felicitación",IF(NOT(ISNUMBER($E103)),"⚠ Revisar fecha",IF(UPPER(TRIM($AK103))="RESPONDIDA - CERRADA","✅ Cerrada",IF($AE103="","⚠ Falta entidad",IF($AH103="","⚠ Revisar término",IF(TODAY()&gt;$AH103,"🔴 Vencida",IF($AH103-TODAY()&lt;=Config!$B$12,"🟡 Próxima a vencer","🟢 En término"))))))))</f>
        <v/>
      </c>
      <c r="AJ90" s="42">
        <f>IF(OR($E103="",NOT(ISNUMBER($E103))),"",IF(ISNUMBER($AS103),MAX(0,INT($AS103)-INT($E103)),MAX(0,TODAY()-INT($E103))))</f>
        <v/>
      </c>
      <c r="AK90" s="30" t="n"/>
      <c r="AL90" s="30" t="n"/>
      <c r="AM90" s="30" t="n"/>
      <c r="AN90" s="39" t="n"/>
      <c r="AO90" s="30" t="n"/>
      <c r="AP90" s="30" t="n"/>
      <c r="AQ90" s="39" t="n"/>
      <c r="AR90" s="30" t="n"/>
      <c r="AS90" s="39" t="n"/>
      <c r="AT90" s="30">
        <f>IF(OR($AS103="",NOT(ISNUMBER($AS103)),$AH103=""),"",IF(INT($AS103)&lt;=$AH103,"A tiempo","Fuera de término"))</f>
        <v/>
      </c>
      <c r="AU90" s="40" t="n"/>
      <c r="AV90" s="40" t="n"/>
      <c r="AW90" s="40" t="n"/>
      <c r="AX90" s="40" t="n"/>
      <c r="AY90" s="30" t="n"/>
      <c r="AZ90" s="30" t="n"/>
      <c r="BA90" s="30" t="n"/>
    </row>
    <row r="91" ht="15.75" customHeight="1" s="57">
      <c r="A91" s="29" t="n"/>
      <c r="B91" s="30" t="n"/>
      <c r="C91" s="39" t="n"/>
      <c r="D91" s="39" t="n"/>
      <c r="E91" s="39" t="n"/>
      <c r="F91" s="40" t="n"/>
      <c r="G91" s="30" t="n"/>
      <c r="H91" s="30" t="n"/>
      <c r="I91" s="30" t="n"/>
      <c r="J91" s="30" t="n"/>
      <c r="K91" s="30" t="n"/>
      <c r="L91" s="30" t="n"/>
      <c r="M91" s="30" t="n"/>
      <c r="N91" s="30" t="n"/>
      <c r="O91" s="30" t="n"/>
      <c r="P91" s="30" t="n"/>
      <c r="Q91" s="30" t="n"/>
      <c r="R91" s="30" t="n"/>
      <c r="S91" s="30" t="n"/>
      <c r="T91" s="30" t="n"/>
      <c r="U91" s="30" t="n"/>
      <c r="V91" s="30" t="n"/>
      <c r="W91" s="30" t="n"/>
      <c r="X91" s="30" t="n"/>
      <c r="Y91" s="30" t="n"/>
      <c r="Z91" s="30" t="n"/>
      <c r="AA91" s="30" t="n"/>
      <c r="AB91" s="30" t="n"/>
      <c r="AC91" s="30" t="n"/>
      <c r="AD91" s="41" t="n"/>
      <c r="AE91" s="30" t="n"/>
      <c r="AF91" s="42">
        <f>IF($AA104="","",IF(LEFT(UPPER(TRIM($AA104)),8)="FELICITA","N/A",IF($AE104="","",IFERROR(VLOOKUP(UPPER(TRIM($AE104)),Config!$A$6:$D$8,2,FALSE),IFERROR(VLOOKUP(IF(LEFT(UPPER(TRIM($AE104)),5)="SUPER","SUPER SALUD",IF(LEFT(UPPER(TRIM($AE104)),8)="SECRETAR","SECRETARIA DE SALUD",IF(LEFT(UPPER(TRIM($AE104)),4)="SEDE","SEDE",UPPER(TRIM($AE104))))),Config!$A$6:$D$8,2,FALSE),"⚠")))))</f>
        <v/>
      </c>
      <c r="AG91" s="30">
        <f>IF($AA104="","",IF(LEFT(UPPER(TRIM($AA104)),8)="FELICITA","N/A",IF($AE104="","",IFERROR(VLOOKUP(UPPER(TRIM($AE104)),Config!$A$6:$D$8,3,FALSE),IFERROR(VLOOKUP(IF(LEFT(UPPER(TRIM($AE104)),5)="SUPER","SUPER SALUD",IF(LEFT(UPPER(TRIM($AE104)),8)="SECRETAR","SECRETARIA DE SALUD",IF(LEFT(UPPER(TRIM($AE104)),4)="SEDE","SEDE",UPPER(TRIM($AE104))))),Config!$A$6:$D$8,3,FALSE),"")))))</f>
        <v/>
      </c>
      <c r="AH91" s="39">
        <f>IF(OR($E104="",NOT(ISNUMBER($E104)),$AF104="",$AF104="N/A",NOT(ISNUMBER($AF104))),"",IF($AG104="Hábiles",WORKDAY(INT($E104),$AF104,Config!$F$6:$F$39),INT($E104)+$AF104))</f>
        <v/>
      </c>
      <c r="AI91" s="30">
        <f>IF($E104="","",IF(LEFT(UPPER(TRIM($AA104)),8)="FELICITA","⭐ Felicitación",IF(NOT(ISNUMBER($E104)),"⚠ Revisar fecha",IF(UPPER(TRIM($AK104))="RESPONDIDA - CERRADA","✅ Cerrada",IF($AE104="","⚠ Falta entidad",IF($AH104="","⚠ Revisar término",IF(TODAY()&gt;$AH104,"🔴 Vencida",IF($AH104-TODAY()&lt;=Config!$B$12,"🟡 Próxima a vencer","🟢 En término"))))))))</f>
        <v/>
      </c>
      <c r="AJ91" s="42">
        <f>IF(OR($E104="",NOT(ISNUMBER($E104))),"",IF(ISNUMBER($AS104),MAX(0,INT($AS104)-INT($E104)),MAX(0,TODAY()-INT($E104))))</f>
        <v/>
      </c>
      <c r="AK91" s="30" t="n"/>
      <c r="AL91" s="30" t="n"/>
      <c r="AM91" s="30" t="n"/>
      <c r="AN91" s="39" t="n"/>
      <c r="AO91" s="30" t="n"/>
      <c r="AP91" s="30" t="n"/>
      <c r="AQ91" s="39" t="n"/>
      <c r="AR91" s="30" t="n"/>
      <c r="AS91" s="39" t="n"/>
      <c r="AT91" s="30">
        <f>IF(OR($AS104="",NOT(ISNUMBER($AS104)),$AH104=""),"",IF(INT($AS104)&lt;=$AH104,"A tiempo","Fuera de término"))</f>
        <v/>
      </c>
      <c r="AU91" s="40" t="n"/>
      <c r="AV91" s="40" t="n"/>
      <c r="AW91" s="40" t="n"/>
      <c r="AX91" s="40" t="n"/>
      <c r="AY91" s="30" t="n"/>
      <c r="AZ91" s="30" t="n"/>
      <c r="BA91" s="30" t="n"/>
    </row>
    <row r="92" ht="15.75" customHeight="1" s="57">
      <c r="A92" s="29" t="n"/>
      <c r="B92" s="30" t="n"/>
      <c r="C92" s="39" t="n"/>
      <c r="D92" s="39" t="n"/>
      <c r="E92" s="39" t="n"/>
      <c r="F92" s="40" t="n"/>
      <c r="G92" s="30" t="n"/>
      <c r="H92" s="30" t="n"/>
      <c r="I92" s="30" t="n"/>
      <c r="J92" s="30" t="n"/>
      <c r="K92" s="30" t="n"/>
      <c r="L92" s="30" t="n"/>
      <c r="M92" s="30" t="n"/>
      <c r="N92" s="30" t="n"/>
      <c r="O92" s="30" t="n"/>
      <c r="P92" s="30" t="n"/>
      <c r="Q92" s="30" t="n"/>
      <c r="R92" s="30" t="n"/>
      <c r="S92" s="30" t="n"/>
      <c r="T92" s="30" t="n"/>
      <c r="U92" s="30" t="n"/>
      <c r="V92" s="30" t="n"/>
      <c r="W92" s="30" t="n"/>
      <c r="X92" s="30" t="n"/>
      <c r="Y92" s="30" t="n"/>
      <c r="Z92" s="30" t="n"/>
      <c r="AA92" s="30" t="n"/>
      <c r="AB92" s="30" t="n"/>
      <c r="AC92" s="30" t="n"/>
      <c r="AD92" s="41" t="n"/>
      <c r="AE92" s="30" t="n"/>
      <c r="AF92" s="42">
        <f>IF($AA105="","",IF(LEFT(UPPER(TRIM($AA105)),8)="FELICITA","N/A",IF($AE105="","",IFERROR(VLOOKUP(UPPER(TRIM($AE105)),Config!$A$6:$D$8,2,FALSE),IFERROR(VLOOKUP(IF(LEFT(UPPER(TRIM($AE105)),5)="SUPER","SUPER SALUD",IF(LEFT(UPPER(TRIM($AE105)),8)="SECRETAR","SECRETARIA DE SALUD",IF(LEFT(UPPER(TRIM($AE105)),4)="SEDE","SEDE",UPPER(TRIM($AE105))))),Config!$A$6:$D$8,2,FALSE),"⚠")))))</f>
        <v/>
      </c>
      <c r="AG92" s="30">
        <f>IF($AA105="","",IF(LEFT(UPPER(TRIM($AA105)),8)="FELICITA","N/A",IF($AE105="","",IFERROR(VLOOKUP(UPPER(TRIM($AE105)),Config!$A$6:$D$8,3,FALSE),IFERROR(VLOOKUP(IF(LEFT(UPPER(TRIM($AE105)),5)="SUPER","SUPER SALUD",IF(LEFT(UPPER(TRIM($AE105)),8)="SECRETAR","SECRETARIA DE SALUD",IF(LEFT(UPPER(TRIM($AE105)),4)="SEDE","SEDE",UPPER(TRIM($AE105))))),Config!$A$6:$D$8,3,FALSE),"")))))</f>
        <v/>
      </c>
      <c r="AH92" s="39">
        <f>IF(OR($E105="",NOT(ISNUMBER($E105)),$AF105="",$AF105="N/A",NOT(ISNUMBER($AF105))),"",IF($AG105="Hábiles",WORKDAY(INT($E105),$AF105,Config!$F$6:$F$39),INT($E105)+$AF105))</f>
        <v/>
      </c>
      <c r="AI92" s="30">
        <f>IF($E105="","",IF(LEFT(UPPER(TRIM($AA105)),8)="FELICITA","⭐ Felicitación",IF(NOT(ISNUMBER($E105)),"⚠ Revisar fecha",IF(UPPER(TRIM($AK105))="RESPONDIDA - CERRADA","✅ Cerrada",IF($AE105="","⚠ Falta entidad",IF($AH105="","⚠ Revisar término",IF(TODAY()&gt;$AH105,"🔴 Vencida",IF($AH105-TODAY()&lt;=Config!$B$12,"🟡 Próxima a vencer","🟢 En término"))))))))</f>
        <v/>
      </c>
      <c r="AJ92" s="42">
        <f>IF(OR($E105="",NOT(ISNUMBER($E105))),"",IF(ISNUMBER($AS105),MAX(0,INT($AS105)-INT($E105)),MAX(0,TODAY()-INT($E105))))</f>
        <v/>
      </c>
      <c r="AK92" s="30" t="n"/>
      <c r="AL92" s="30" t="n"/>
      <c r="AM92" s="30" t="n"/>
      <c r="AN92" s="39" t="n"/>
      <c r="AO92" s="30" t="n"/>
      <c r="AP92" s="30" t="n"/>
      <c r="AQ92" s="39" t="n"/>
      <c r="AR92" s="30" t="n"/>
      <c r="AS92" s="39" t="n"/>
      <c r="AT92" s="30">
        <f>IF(OR($AS105="",NOT(ISNUMBER($AS105)),$AH105=""),"",IF(INT($AS105)&lt;=$AH105,"A tiempo","Fuera de término"))</f>
        <v/>
      </c>
      <c r="AU92" s="40" t="n"/>
      <c r="AV92" s="40" t="n"/>
      <c r="AW92" s="40" t="n"/>
      <c r="AX92" s="40" t="n"/>
      <c r="AY92" s="30" t="n"/>
      <c r="AZ92" s="30" t="n"/>
      <c r="BA92" s="30" t="n"/>
    </row>
    <row r="93" ht="15.75" customHeight="1" s="57">
      <c r="A93" s="29" t="n"/>
      <c r="B93" s="30" t="n"/>
      <c r="C93" s="39" t="n"/>
      <c r="D93" s="39" t="n"/>
      <c r="E93" s="39" t="n"/>
      <c r="F93" s="40" t="n"/>
      <c r="G93" s="30" t="n"/>
      <c r="H93" s="30" t="n"/>
      <c r="I93" s="30" t="n"/>
      <c r="J93" s="30" t="n"/>
      <c r="K93" s="30" t="n"/>
      <c r="L93" s="30" t="n"/>
      <c r="M93" s="30" t="n"/>
      <c r="N93" s="30" t="n"/>
      <c r="O93" s="30" t="n"/>
      <c r="P93" s="30" t="n"/>
      <c r="Q93" s="30" t="n"/>
      <c r="R93" s="30" t="n"/>
      <c r="S93" s="30" t="n"/>
      <c r="T93" s="30" t="n"/>
      <c r="U93" s="30" t="n"/>
      <c r="V93" s="30" t="n"/>
      <c r="W93" s="30" t="n"/>
      <c r="X93" s="30" t="n"/>
      <c r="Y93" s="30" t="n"/>
      <c r="Z93" s="30" t="n"/>
      <c r="AA93" s="30" t="n"/>
      <c r="AB93" s="30" t="n"/>
      <c r="AC93" s="30" t="n"/>
      <c r="AD93" s="41" t="n"/>
      <c r="AE93" s="30" t="n"/>
      <c r="AF93" s="42">
        <f>IF($AA106="","",IF(LEFT(UPPER(TRIM($AA106)),8)="FELICITA","N/A",IF($AE106="","",IFERROR(VLOOKUP(UPPER(TRIM($AE106)),Config!$A$6:$D$8,2,FALSE),IFERROR(VLOOKUP(IF(LEFT(UPPER(TRIM($AE106)),5)="SUPER","SUPER SALUD",IF(LEFT(UPPER(TRIM($AE106)),8)="SECRETAR","SECRETARIA DE SALUD",IF(LEFT(UPPER(TRIM($AE106)),4)="SEDE","SEDE",UPPER(TRIM($AE106))))),Config!$A$6:$D$8,2,FALSE),"⚠")))))</f>
        <v/>
      </c>
      <c r="AG93" s="30">
        <f>IF($AA106="","",IF(LEFT(UPPER(TRIM($AA106)),8)="FELICITA","N/A",IF($AE106="","",IFERROR(VLOOKUP(UPPER(TRIM($AE106)),Config!$A$6:$D$8,3,FALSE),IFERROR(VLOOKUP(IF(LEFT(UPPER(TRIM($AE106)),5)="SUPER","SUPER SALUD",IF(LEFT(UPPER(TRIM($AE106)),8)="SECRETAR","SECRETARIA DE SALUD",IF(LEFT(UPPER(TRIM($AE106)),4)="SEDE","SEDE",UPPER(TRIM($AE106))))),Config!$A$6:$D$8,3,FALSE),"")))))</f>
        <v/>
      </c>
      <c r="AH93" s="39">
        <f>IF(OR($E106="",NOT(ISNUMBER($E106)),$AF106="",$AF106="N/A",NOT(ISNUMBER($AF106))),"",IF($AG106="Hábiles",WORKDAY(INT($E106),$AF106,Config!$F$6:$F$39),INT($E106)+$AF106))</f>
        <v/>
      </c>
      <c r="AI93" s="30">
        <f>IF($E106="","",IF(LEFT(UPPER(TRIM($AA106)),8)="FELICITA","⭐ Felicitación",IF(NOT(ISNUMBER($E106)),"⚠ Revisar fecha",IF(UPPER(TRIM($AK106))="RESPONDIDA - CERRADA","✅ Cerrada",IF($AE106="","⚠ Falta entidad",IF($AH106="","⚠ Revisar término",IF(TODAY()&gt;$AH106,"🔴 Vencida",IF($AH106-TODAY()&lt;=Config!$B$12,"🟡 Próxima a vencer","🟢 En término"))))))))</f>
        <v/>
      </c>
      <c r="AJ93" s="42">
        <f>IF(OR($E106="",NOT(ISNUMBER($E106))),"",IF(ISNUMBER($AS106),MAX(0,INT($AS106)-INT($E106)),MAX(0,TODAY()-INT($E106))))</f>
        <v/>
      </c>
      <c r="AK93" s="30" t="n"/>
      <c r="AL93" s="30" t="n"/>
      <c r="AM93" s="30" t="n"/>
      <c r="AN93" s="39" t="n"/>
      <c r="AO93" s="30" t="n"/>
      <c r="AP93" s="30" t="n"/>
      <c r="AQ93" s="39" t="n"/>
      <c r="AR93" s="30" t="n"/>
      <c r="AS93" s="39" t="n"/>
      <c r="AT93" s="30">
        <f>IF(OR($AS106="",NOT(ISNUMBER($AS106)),$AH106=""),"",IF(INT($AS106)&lt;=$AH106,"A tiempo","Fuera de término"))</f>
        <v/>
      </c>
      <c r="AU93" s="40" t="n"/>
      <c r="AV93" s="40" t="n"/>
      <c r="AW93" s="40" t="n"/>
      <c r="AX93" s="40" t="n"/>
      <c r="AY93" s="30" t="n"/>
      <c r="AZ93" s="30" t="n"/>
      <c r="BA93" s="30" t="n"/>
    </row>
    <row r="94" ht="15.75" customHeight="1" s="57">
      <c r="A94" s="29" t="n"/>
      <c r="B94" s="30" t="n"/>
      <c r="C94" s="39" t="n"/>
      <c r="D94" s="39" t="n"/>
      <c r="E94" s="39" t="n"/>
      <c r="F94" s="40" t="n"/>
      <c r="G94" s="30" t="n"/>
      <c r="H94" s="30" t="n"/>
      <c r="I94" s="30" t="n"/>
      <c r="J94" s="30" t="n"/>
      <c r="K94" s="30" t="n"/>
      <c r="L94" s="30" t="n"/>
      <c r="M94" s="30" t="n"/>
      <c r="N94" s="30" t="n"/>
      <c r="O94" s="30" t="n"/>
      <c r="P94" s="30" t="n"/>
      <c r="Q94" s="30" t="n"/>
      <c r="R94" s="30" t="n"/>
      <c r="S94" s="30" t="n"/>
      <c r="T94" s="30" t="n"/>
      <c r="U94" s="30" t="n"/>
      <c r="V94" s="30" t="n"/>
      <c r="W94" s="30" t="n"/>
      <c r="X94" s="30" t="n"/>
      <c r="Y94" s="30" t="n"/>
      <c r="Z94" s="30" t="n"/>
      <c r="AA94" s="30" t="n"/>
      <c r="AB94" s="30" t="n"/>
      <c r="AC94" s="30" t="n"/>
      <c r="AD94" s="41" t="n"/>
      <c r="AE94" s="30" t="n"/>
      <c r="AF94" s="42">
        <f>IF($AA107="","",IF(LEFT(UPPER(TRIM($AA107)),8)="FELICITA","N/A",IF($AE107="","",IFERROR(VLOOKUP(UPPER(TRIM($AE107)),Config!$A$6:$D$8,2,FALSE),IFERROR(VLOOKUP(IF(LEFT(UPPER(TRIM($AE107)),5)="SUPER","SUPER SALUD",IF(LEFT(UPPER(TRIM($AE107)),8)="SECRETAR","SECRETARIA DE SALUD",IF(LEFT(UPPER(TRIM($AE107)),4)="SEDE","SEDE",UPPER(TRIM($AE107))))),Config!$A$6:$D$8,2,FALSE),"⚠")))))</f>
        <v/>
      </c>
      <c r="AG94" s="30">
        <f>IF($AA107="","",IF(LEFT(UPPER(TRIM($AA107)),8)="FELICITA","N/A",IF($AE107="","",IFERROR(VLOOKUP(UPPER(TRIM($AE107)),Config!$A$6:$D$8,3,FALSE),IFERROR(VLOOKUP(IF(LEFT(UPPER(TRIM($AE107)),5)="SUPER","SUPER SALUD",IF(LEFT(UPPER(TRIM($AE107)),8)="SECRETAR","SECRETARIA DE SALUD",IF(LEFT(UPPER(TRIM($AE107)),4)="SEDE","SEDE",UPPER(TRIM($AE107))))),Config!$A$6:$D$8,3,FALSE),"")))))</f>
        <v/>
      </c>
      <c r="AH94" s="39">
        <f>IF(OR($E107="",NOT(ISNUMBER($E107)),$AF107="",$AF107="N/A",NOT(ISNUMBER($AF107))),"",IF($AG107="Hábiles",WORKDAY(INT($E107),$AF107,Config!$F$6:$F$39),INT($E107)+$AF107))</f>
        <v/>
      </c>
      <c r="AI94" s="30">
        <f>IF($E107="","",IF(LEFT(UPPER(TRIM($AA107)),8)="FELICITA","⭐ Felicitación",IF(NOT(ISNUMBER($E107)),"⚠ Revisar fecha",IF(UPPER(TRIM($AK107))="RESPONDIDA - CERRADA","✅ Cerrada",IF($AE107="","⚠ Falta entidad",IF($AH107="","⚠ Revisar término",IF(TODAY()&gt;$AH107,"🔴 Vencida",IF($AH107-TODAY()&lt;=Config!$B$12,"🟡 Próxima a vencer","🟢 En término"))))))))</f>
        <v/>
      </c>
      <c r="AJ94" s="42">
        <f>IF(OR($E107="",NOT(ISNUMBER($E107))),"",IF(ISNUMBER($AS107),MAX(0,INT($AS107)-INT($E107)),MAX(0,TODAY()-INT($E107))))</f>
        <v/>
      </c>
      <c r="AK94" s="30" t="n"/>
      <c r="AL94" s="30" t="n"/>
      <c r="AM94" s="30" t="n"/>
      <c r="AN94" s="39" t="n"/>
      <c r="AO94" s="30" t="n"/>
      <c r="AP94" s="30" t="n"/>
      <c r="AQ94" s="39" t="n"/>
      <c r="AR94" s="30" t="n"/>
      <c r="AS94" s="39" t="n"/>
      <c r="AT94" s="30">
        <f>IF(OR($AS107="",NOT(ISNUMBER($AS107)),$AH107=""),"",IF(INT($AS107)&lt;=$AH107,"A tiempo","Fuera de término"))</f>
        <v/>
      </c>
      <c r="AU94" s="40" t="n"/>
      <c r="AV94" s="40" t="n"/>
      <c r="AW94" s="40" t="n"/>
      <c r="AX94" s="40" t="n"/>
      <c r="AY94" s="30" t="n"/>
      <c r="AZ94" s="30" t="n"/>
      <c r="BA94" s="30" t="n"/>
    </row>
    <row r="95" ht="15.75" customHeight="1" s="57">
      <c r="A95" s="29" t="n"/>
      <c r="B95" s="30" t="n"/>
      <c r="C95" s="39" t="n"/>
      <c r="D95" s="39" t="n"/>
      <c r="E95" s="39" t="n"/>
      <c r="F95" s="40" t="n"/>
      <c r="G95" s="30" t="n"/>
      <c r="H95" s="30" t="n"/>
      <c r="I95" s="30" t="n"/>
      <c r="J95" s="30" t="n"/>
      <c r="K95" s="30" t="n"/>
      <c r="L95" s="30" t="n"/>
      <c r="M95" s="30" t="n"/>
      <c r="N95" s="30" t="n"/>
      <c r="O95" s="30" t="n"/>
      <c r="P95" s="30" t="n"/>
      <c r="Q95" s="30" t="n"/>
      <c r="R95" s="30" t="n"/>
      <c r="S95" s="30" t="n"/>
      <c r="T95" s="30" t="n"/>
      <c r="U95" s="30" t="n"/>
      <c r="V95" s="30" t="n"/>
      <c r="W95" s="30" t="n"/>
      <c r="X95" s="30" t="n"/>
      <c r="Y95" s="30" t="n"/>
      <c r="Z95" s="30" t="n"/>
      <c r="AA95" s="30" t="n"/>
      <c r="AB95" s="30" t="n"/>
      <c r="AC95" s="30" t="n"/>
      <c r="AD95" s="41" t="n"/>
      <c r="AE95" s="30" t="n"/>
      <c r="AF95" s="42">
        <f>IF($AA108="","",IF(LEFT(UPPER(TRIM($AA108)),8)="FELICITA","N/A",IF($AE108="","",IFERROR(VLOOKUP(UPPER(TRIM($AE108)),Config!$A$6:$D$8,2,FALSE),IFERROR(VLOOKUP(IF(LEFT(UPPER(TRIM($AE108)),5)="SUPER","SUPER SALUD",IF(LEFT(UPPER(TRIM($AE108)),8)="SECRETAR","SECRETARIA DE SALUD",IF(LEFT(UPPER(TRIM($AE108)),4)="SEDE","SEDE",UPPER(TRIM($AE108))))),Config!$A$6:$D$8,2,FALSE),"⚠")))))</f>
        <v/>
      </c>
      <c r="AG95" s="30">
        <f>IF($AA108="","",IF(LEFT(UPPER(TRIM($AA108)),8)="FELICITA","N/A",IF($AE108="","",IFERROR(VLOOKUP(UPPER(TRIM($AE108)),Config!$A$6:$D$8,3,FALSE),IFERROR(VLOOKUP(IF(LEFT(UPPER(TRIM($AE108)),5)="SUPER","SUPER SALUD",IF(LEFT(UPPER(TRIM($AE108)),8)="SECRETAR","SECRETARIA DE SALUD",IF(LEFT(UPPER(TRIM($AE108)),4)="SEDE","SEDE",UPPER(TRIM($AE108))))),Config!$A$6:$D$8,3,FALSE),"")))))</f>
        <v/>
      </c>
      <c r="AH95" s="39">
        <f>IF(OR($E108="",NOT(ISNUMBER($E108)),$AF108="",$AF108="N/A",NOT(ISNUMBER($AF108))),"",IF($AG108="Hábiles",WORKDAY(INT($E108),$AF108,Config!$F$6:$F$39),INT($E108)+$AF108))</f>
        <v/>
      </c>
      <c r="AI95" s="30">
        <f>IF($E108="","",IF(LEFT(UPPER(TRIM($AA108)),8)="FELICITA","⭐ Felicitación",IF(NOT(ISNUMBER($E108)),"⚠ Revisar fecha",IF(UPPER(TRIM($AK108))="RESPONDIDA - CERRADA","✅ Cerrada",IF($AE108="","⚠ Falta entidad",IF($AH108="","⚠ Revisar término",IF(TODAY()&gt;$AH108,"🔴 Vencida",IF($AH108-TODAY()&lt;=Config!$B$12,"🟡 Próxima a vencer","🟢 En término"))))))))</f>
        <v/>
      </c>
      <c r="AJ95" s="42">
        <f>IF(OR($E108="",NOT(ISNUMBER($E108))),"",IF(ISNUMBER($AS108),MAX(0,INT($AS108)-INT($E108)),MAX(0,TODAY()-INT($E108))))</f>
        <v/>
      </c>
      <c r="AK95" s="30" t="n"/>
      <c r="AL95" s="30" t="n"/>
      <c r="AM95" s="30" t="n"/>
      <c r="AN95" s="39" t="n"/>
      <c r="AO95" s="30" t="n"/>
      <c r="AP95" s="30" t="n"/>
      <c r="AQ95" s="39" t="n"/>
      <c r="AR95" s="30" t="n"/>
      <c r="AS95" s="39" t="n"/>
      <c r="AT95" s="30">
        <f>IF(OR($AS108="",NOT(ISNUMBER($AS108)),$AH108=""),"",IF(INT($AS108)&lt;=$AH108,"A tiempo","Fuera de término"))</f>
        <v/>
      </c>
      <c r="AU95" s="40" t="n"/>
      <c r="AV95" s="40" t="n"/>
      <c r="AW95" s="40" t="n"/>
      <c r="AX95" s="40" t="n"/>
      <c r="AY95" s="30" t="n"/>
      <c r="AZ95" s="30" t="n"/>
      <c r="BA95" s="30" t="n"/>
    </row>
    <row r="96" ht="15.75" customHeight="1" s="57">
      <c r="A96" s="29" t="n"/>
      <c r="B96" s="30" t="n"/>
      <c r="C96" s="39" t="n"/>
      <c r="D96" s="39" t="n"/>
      <c r="E96" s="39" t="n"/>
      <c r="F96" s="40" t="n"/>
      <c r="G96" s="30" t="n"/>
      <c r="H96" s="30" t="n"/>
      <c r="I96" s="30" t="n"/>
      <c r="J96" s="30" t="n"/>
      <c r="K96" s="30" t="n"/>
      <c r="L96" s="30" t="n"/>
      <c r="M96" s="30" t="n"/>
      <c r="N96" s="30" t="n"/>
      <c r="O96" s="30" t="n"/>
      <c r="P96" s="30" t="n"/>
      <c r="Q96" s="30" t="n"/>
      <c r="R96" s="30" t="n"/>
      <c r="S96" s="30" t="n"/>
      <c r="T96" s="30" t="n"/>
      <c r="U96" s="30" t="n"/>
      <c r="V96" s="30" t="n"/>
      <c r="W96" s="30" t="n"/>
      <c r="X96" s="30" t="n"/>
      <c r="Y96" s="30" t="n"/>
      <c r="Z96" s="30" t="n"/>
      <c r="AA96" s="30" t="n"/>
      <c r="AB96" s="30" t="n"/>
      <c r="AC96" s="30" t="n"/>
      <c r="AD96" s="41" t="n"/>
      <c r="AE96" s="30" t="n"/>
      <c r="AF96" s="42">
        <f>IF($AA109="","",IF(LEFT(UPPER(TRIM($AA109)),8)="FELICITA","N/A",IF($AE109="","",IFERROR(VLOOKUP(UPPER(TRIM($AE109)),Config!$A$6:$D$8,2,FALSE),IFERROR(VLOOKUP(IF(LEFT(UPPER(TRIM($AE109)),5)="SUPER","SUPER SALUD",IF(LEFT(UPPER(TRIM($AE109)),8)="SECRETAR","SECRETARIA DE SALUD",IF(LEFT(UPPER(TRIM($AE109)),4)="SEDE","SEDE",UPPER(TRIM($AE109))))),Config!$A$6:$D$8,2,FALSE),"⚠")))))</f>
        <v/>
      </c>
      <c r="AG96" s="30">
        <f>IF($AA109="","",IF(LEFT(UPPER(TRIM($AA109)),8)="FELICITA","N/A",IF($AE109="","",IFERROR(VLOOKUP(UPPER(TRIM($AE109)),Config!$A$6:$D$8,3,FALSE),IFERROR(VLOOKUP(IF(LEFT(UPPER(TRIM($AE109)),5)="SUPER","SUPER SALUD",IF(LEFT(UPPER(TRIM($AE109)),8)="SECRETAR","SECRETARIA DE SALUD",IF(LEFT(UPPER(TRIM($AE109)),4)="SEDE","SEDE",UPPER(TRIM($AE109))))),Config!$A$6:$D$8,3,FALSE),"")))))</f>
        <v/>
      </c>
      <c r="AH96" s="39">
        <f>IF(OR($E109="",NOT(ISNUMBER($E109)),$AF109="",$AF109="N/A",NOT(ISNUMBER($AF109))),"",IF($AG109="Hábiles",WORKDAY(INT($E109),$AF109,Config!$F$6:$F$39),INT($E109)+$AF109))</f>
        <v/>
      </c>
      <c r="AI96" s="30">
        <f>IF($E109="","",IF(LEFT(UPPER(TRIM($AA109)),8)="FELICITA","⭐ Felicitación",IF(NOT(ISNUMBER($E109)),"⚠ Revisar fecha",IF(UPPER(TRIM($AK109))="RESPONDIDA - CERRADA","✅ Cerrada",IF($AE109="","⚠ Falta entidad",IF($AH109="","⚠ Revisar término",IF(TODAY()&gt;$AH109,"🔴 Vencida",IF($AH109-TODAY()&lt;=Config!$B$12,"🟡 Próxima a vencer","🟢 En término"))))))))</f>
        <v/>
      </c>
      <c r="AJ96" s="42">
        <f>IF(OR($E109="",NOT(ISNUMBER($E109))),"",IF(ISNUMBER($AS109),MAX(0,INT($AS109)-INT($E109)),MAX(0,TODAY()-INT($E109))))</f>
        <v/>
      </c>
      <c r="AK96" s="30" t="n"/>
      <c r="AL96" s="30" t="n"/>
      <c r="AM96" s="30" t="n"/>
      <c r="AN96" s="39" t="n"/>
      <c r="AO96" s="30" t="n"/>
      <c r="AP96" s="30" t="n"/>
      <c r="AQ96" s="39" t="n"/>
      <c r="AR96" s="30" t="n"/>
      <c r="AS96" s="39" t="n"/>
      <c r="AT96" s="30">
        <f>IF(OR($AS109="",NOT(ISNUMBER($AS109)),$AH109=""),"",IF(INT($AS109)&lt;=$AH109,"A tiempo","Fuera de término"))</f>
        <v/>
      </c>
      <c r="AU96" s="40" t="n"/>
      <c r="AV96" s="40" t="n"/>
      <c r="AW96" s="40" t="n"/>
      <c r="AX96" s="40" t="n"/>
      <c r="AY96" s="30" t="n"/>
      <c r="AZ96" s="30" t="n"/>
      <c r="BA96" s="30" t="n"/>
    </row>
    <row r="97" ht="15.75" customHeight="1" s="57">
      <c r="A97" s="29" t="n"/>
      <c r="B97" s="30" t="n"/>
      <c r="C97" s="39" t="n"/>
      <c r="D97" s="39" t="n"/>
      <c r="E97" s="39" t="n"/>
      <c r="F97" s="40" t="n"/>
      <c r="G97" s="30" t="n"/>
      <c r="H97" s="30" t="n"/>
      <c r="I97" s="30" t="n"/>
      <c r="J97" s="30" t="n"/>
      <c r="K97" s="30" t="n"/>
      <c r="L97" s="30" t="n"/>
      <c r="M97" s="30" t="n"/>
      <c r="N97" s="30" t="n"/>
      <c r="O97" s="30" t="n"/>
      <c r="P97" s="30" t="n"/>
      <c r="Q97" s="30" t="n"/>
      <c r="R97" s="30" t="n"/>
      <c r="S97" s="30" t="n"/>
      <c r="T97" s="30" t="n"/>
      <c r="U97" s="30" t="n"/>
      <c r="V97" s="30" t="n"/>
      <c r="W97" s="30" t="n"/>
      <c r="X97" s="30" t="n"/>
      <c r="Y97" s="30" t="n"/>
      <c r="Z97" s="30" t="n"/>
      <c r="AA97" s="30" t="n"/>
      <c r="AB97" s="30" t="n"/>
      <c r="AC97" s="30" t="n"/>
      <c r="AD97" s="41" t="n"/>
      <c r="AE97" s="30" t="n"/>
      <c r="AF97" s="42">
        <f>IF($AA110="","",IF(LEFT(UPPER(TRIM($AA110)),8)="FELICITA","N/A",IF($AE110="","",IFERROR(VLOOKUP(UPPER(TRIM($AE110)),Config!$A$6:$D$8,2,FALSE),IFERROR(VLOOKUP(IF(LEFT(UPPER(TRIM($AE110)),5)="SUPER","SUPER SALUD",IF(LEFT(UPPER(TRIM($AE110)),8)="SECRETAR","SECRETARIA DE SALUD",IF(LEFT(UPPER(TRIM($AE110)),4)="SEDE","SEDE",UPPER(TRIM($AE110))))),Config!$A$6:$D$8,2,FALSE),"⚠")))))</f>
        <v/>
      </c>
      <c r="AG97" s="30">
        <f>IF($AA110="","",IF(LEFT(UPPER(TRIM($AA110)),8)="FELICITA","N/A",IF($AE110="","",IFERROR(VLOOKUP(UPPER(TRIM($AE110)),Config!$A$6:$D$8,3,FALSE),IFERROR(VLOOKUP(IF(LEFT(UPPER(TRIM($AE110)),5)="SUPER","SUPER SALUD",IF(LEFT(UPPER(TRIM($AE110)),8)="SECRETAR","SECRETARIA DE SALUD",IF(LEFT(UPPER(TRIM($AE110)),4)="SEDE","SEDE",UPPER(TRIM($AE110))))),Config!$A$6:$D$8,3,FALSE),"")))))</f>
        <v/>
      </c>
      <c r="AH97" s="39">
        <f>IF(OR($E110="",NOT(ISNUMBER($E110)),$AF110="",$AF110="N/A",NOT(ISNUMBER($AF110))),"",IF($AG110="Hábiles",WORKDAY(INT($E110),$AF110,Config!$F$6:$F$39),INT($E110)+$AF110))</f>
        <v/>
      </c>
      <c r="AI97" s="30">
        <f>IF($E110="","",IF(LEFT(UPPER(TRIM($AA110)),8)="FELICITA","⭐ Felicitación",IF(NOT(ISNUMBER($E110)),"⚠ Revisar fecha",IF(UPPER(TRIM($AK110))="RESPONDIDA - CERRADA","✅ Cerrada",IF($AE110="","⚠ Falta entidad",IF($AH110="","⚠ Revisar término",IF(TODAY()&gt;$AH110,"🔴 Vencida",IF($AH110-TODAY()&lt;=Config!$B$12,"🟡 Próxima a vencer","🟢 En término"))))))))</f>
        <v/>
      </c>
      <c r="AJ97" s="42">
        <f>IF(OR($E110="",NOT(ISNUMBER($E110))),"",IF(ISNUMBER($AS110),MAX(0,INT($AS110)-INT($E110)),MAX(0,TODAY()-INT($E110))))</f>
        <v/>
      </c>
      <c r="AK97" s="30" t="n"/>
      <c r="AL97" s="30" t="n"/>
      <c r="AM97" s="30" t="n"/>
      <c r="AN97" s="39" t="n"/>
      <c r="AO97" s="30" t="n"/>
      <c r="AP97" s="30" t="n"/>
      <c r="AQ97" s="39" t="n"/>
      <c r="AR97" s="30" t="n"/>
      <c r="AS97" s="39" t="n"/>
      <c r="AT97" s="30">
        <f>IF(OR($AS110="",NOT(ISNUMBER($AS110)),$AH110=""),"",IF(INT($AS110)&lt;=$AH110,"A tiempo","Fuera de término"))</f>
        <v/>
      </c>
      <c r="AU97" s="40" t="n"/>
      <c r="AV97" s="40" t="n"/>
      <c r="AW97" s="40" t="n"/>
      <c r="AX97" s="40" t="n"/>
      <c r="AY97" s="30" t="n"/>
      <c r="AZ97" s="30" t="n"/>
      <c r="BA97" s="30" t="n"/>
    </row>
    <row r="98" ht="15.75" customHeight="1" s="57">
      <c r="A98" s="29" t="n"/>
      <c r="B98" s="30" t="n"/>
      <c r="C98" s="39" t="n"/>
      <c r="D98" s="39" t="n"/>
      <c r="E98" s="39" t="n"/>
      <c r="F98" s="40" t="n"/>
      <c r="G98" s="30" t="n"/>
      <c r="H98" s="30" t="n"/>
      <c r="I98" s="30" t="n"/>
      <c r="J98" s="30" t="n"/>
      <c r="K98" s="30" t="n"/>
      <c r="L98" s="30" t="n"/>
      <c r="M98" s="30" t="n"/>
      <c r="N98" s="30" t="n"/>
      <c r="O98" s="30" t="n"/>
      <c r="P98" s="30" t="n"/>
      <c r="Q98" s="30" t="n"/>
      <c r="R98" s="30" t="n"/>
      <c r="S98" s="30" t="n"/>
      <c r="T98" s="30" t="n"/>
      <c r="U98" s="30" t="n"/>
      <c r="V98" s="30" t="n"/>
      <c r="W98" s="30" t="n"/>
      <c r="X98" s="30" t="n"/>
      <c r="Y98" s="30" t="n"/>
      <c r="Z98" s="30" t="n"/>
      <c r="AA98" s="30" t="n"/>
      <c r="AB98" s="30" t="n"/>
      <c r="AC98" s="30" t="n"/>
      <c r="AD98" s="41" t="n"/>
      <c r="AE98" s="30" t="n"/>
      <c r="AF98" s="42">
        <f>IF($AA111="","",IF(LEFT(UPPER(TRIM($AA111)),8)="FELICITA","N/A",IF($AE111="","",IFERROR(VLOOKUP(UPPER(TRIM($AE111)),Config!$A$6:$D$8,2,FALSE),IFERROR(VLOOKUP(IF(LEFT(UPPER(TRIM($AE111)),5)="SUPER","SUPER SALUD",IF(LEFT(UPPER(TRIM($AE111)),8)="SECRETAR","SECRETARIA DE SALUD",IF(LEFT(UPPER(TRIM($AE111)),4)="SEDE","SEDE",UPPER(TRIM($AE111))))),Config!$A$6:$D$8,2,FALSE),"⚠")))))</f>
        <v/>
      </c>
      <c r="AG98" s="30">
        <f>IF($AA111="","",IF(LEFT(UPPER(TRIM($AA111)),8)="FELICITA","N/A",IF($AE111="","",IFERROR(VLOOKUP(UPPER(TRIM($AE111)),Config!$A$6:$D$8,3,FALSE),IFERROR(VLOOKUP(IF(LEFT(UPPER(TRIM($AE111)),5)="SUPER","SUPER SALUD",IF(LEFT(UPPER(TRIM($AE111)),8)="SECRETAR","SECRETARIA DE SALUD",IF(LEFT(UPPER(TRIM($AE111)),4)="SEDE","SEDE",UPPER(TRIM($AE111))))),Config!$A$6:$D$8,3,FALSE),"")))))</f>
        <v/>
      </c>
      <c r="AH98" s="39">
        <f>IF(OR($E111="",NOT(ISNUMBER($E111)),$AF111="",$AF111="N/A",NOT(ISNUMBER($AF111))),"",IF($AG111="Hábiles",WORKDAY(INT($E111),$AF111,Config!$F$6:$F$39),INT($E111)+$AF111))</f>
        <v/>
      </c>
      <c r="AI98" s="30">
        <f>IF($E111="","",IF(LEFT(UPPER(TRIM($AA111)),8)="FELICITA","⭐ Felicitación",IF(NOT(ISNUMBER($E111)),"⚠ Revisar fecha",IF(UPPER(TRIM($AK111))="RESPONDIDA - CERRADA","✅ Cerrada",IF($AE111="","⚠ Falta entidad",IF($AH111="","⚠ Revisar término",IF(TODAY()&gt;$AH111,"🔴 Vencida",IF($AH111-TODAY()&lt;=Config!$B$12,"🟡 Próxima a vencer","🟢 En término"))))))))</f>
        <v/>
      </c>
      <c r="AJ98" s="42">
        <f>IF(OR($E111="",NOT(ISNUMBER($E111))),"",IF(ISNUMBER($AS111),MAX(0,INT($AS111)-INT($E111)),MAX(0,TODAY()-INT($E111))))</f>
        <v/>
      </c>
      <c r="AK98" s="30" t="n"/>
      <c r="AL98" s="30" t="n"/>
      <c r="AM98" s="30" t="n"/>
      <c r="AN98" s="39" t="n"/>
      <c r="AO98" s="30" t="n"/>
      <c r="AP98" s="30" t="n"/>
      <c r="AQ98" s="39" t="n"/>
      <c r="AR98" s="30" t="n"/>
      <c r="AS98" s="39" t="n"/>
      <c r="AT98" s="30">
        <f>IF(OR($AS111="",NOT(ISNUMBER($AS111)),$AH111=""),"",IF(INT($AS111)&lt;=$AH111,"A tiempo","Fuera de término"))</f>
        <v/>
      </c>
      <c r="AU98" s="40" t="n"/>
      <c r="AV98" s="40" t="n"/>
      <c r="AW98" s="40" t="n"/>
      <c r="AX98" s="40" t="n"/>
      <c r="AY98" s="30" t="n"/>
      <c r="AZ98" s="30" t="n"/>
      <c r="BA98" s="30" t="n"/>
    </row>
    <row r="99" ht="15.75" customHeight="1" s="57">
      <c r="A99" s="29" t="n"/>
      <c r="B99" s="30" t="n"/>
      <c r="C99" s="39" t="n"/>
      <c r="D99" s="39" t="n"/>
      <c r="E99" s="39" t="n"/>
      <c r="F99" s="40" t="n"/>
      <c r="G99" s="30" t="n"/>
      <c r="H99" s="30" t="n"/>
      <c r="I99" s="30" t="n"/>
      <c r="J99" s="30" t="n"/>
      <c r="K99" s="30" t="n"/>
      <c r="L99" s="30" t="n"/>
      <c r="M99" s="30" t="n"/>
      <c r="N99" s="30" t="n"/>
      <c r="O99" s="30" t="n"/>
      <c r="P99" s="30" t="n"/>
      <c r="Q99" s="30" t="n"/>
      <c r="R99" s="30" t="n"/>
      <c r="S99" s="30" t="n"/>
      <c r="T99" s="30" t="n"/>
      <c r="U99" s="30" t="n"/>
      <c r="V99" s="30" t="n"/>
      <c r="W99" s="30" t="n"/>
      <c r="X99" s="30" t="n"/>
      <c r="Y99" s="30" t="n"/>
      <c r="Z99" s="30" t="n"/>
      <c r="AA99" s="30" t="n"/>
      <c r="AB99" s="30" t="n"/>
      <c r="AC99" s="30" t="n"/>
      <c r="AD99" s="41" t="n"/>
      <c r="AE99" s="30" t="n"/>
      <c r="AF99" s="42">
        <f>IF($AA112="","",IF(LEFT(UPPER(TRIM($AA112)),8)="FELICITA","N/A",IF($AE112="","",IFERROR(VLOOKUP(UPPER(TRIM($AE112)),Config!$A$6:$D$8,2,FALSE),IFERROR(VLOOKUP(IF(LEFT(UPPER(TRIM($AE112)),5)="SUPER","SUPER SALUD",IF(LEFT(UPPER(TRIM($AE112)),8)="SECRETAR","SECRETARIA DE SALUD",IF(LEFT(UPPER(TRIM($AE112)),4)="SEDE","SEDE",UPPER(TRIM($AE112))))),Config!$A$6:$D$8,2,FALSE),"⚠")))))</f>
        <v/>
      </c>
      <c r="AG99" s="30">
        <f>IF($AA112="","",IF(LEFT(UPPER(TRIM($AA112)),8)="FELICITA","N/A",IF($AE112="","",IFERROR(VLOOKUP(UPPER(TRIM($AE112)),Config!$A$6:$D$8,3,FALSE),IFERROR(VLOOKUP(IF(LEFT(UPPER(TRIM($AE112)),5)="SUPER","SUPER SALUD",IF(LEFT(UPPER(TRIM($AE112)),8)="SECRETAR","SECRETARIA DE SALUD",IF(LEFT(UPPER(TRIM($AE112)),4)="SEDE","SEDE",UPPER(TRIM($AE112))))),Config!$A$6:$D$8,3,FALSE),"")))))</f>
        <v/>
      </c>
      <c r="AH99" s="39">
        <f>IF(OR($E112="",NOT(ISNUMBER($E112)),$AF112="",$AF112="N/A",NOT(ISNUMBER($AF112))),"",IF($AG112="Hábiles",WORKDAY(INT($E112),$AF112,Config!$F$6:$F$39),INT($E112)+$AF112))</f>
        <v/>
      </c>
      <c r="AI99" s="30">
        <f>IF($E112="","",IF(LEFT(UPPER(TRIM($AA112)),8)="FELICITA","⭐ Felicitación",IF(NOT(ISNUMBER($E112)),"⚠ Revisar fecha",IF(UPPER(TRIM($AK112))="RESPONDIDA - CERRADA","✅ Cerrada",IF($AE112="","⚠ Falta entidad",IF($AH112="","⚠ Revisar término",IF(TODAY()&gt;$AH112,"🔴 Vencida",IF($AH112-TODAY()&lt;=Config!$B$12,"🟡 Próxima a vencer","🟢 En término"))))))))</f>
        <v/>
      </c>
      <c r="AJ99" s="42">
        <f>IF(OR($E112="",NOT(ISNUMBER($E112))),"",IF(ISNUMBER($AS112),MAX(0,INT($AS112)-INT($E112)),MAX(0,TODAY()-INT($E112))))</f>
        <v/>
      </c>
      <c r="AK99" s="30" t="n"/>
      <c r="AL99" s="30" t="n"/>
      <c r="AM99" s="30" t="n"/>
      <c r="AN99" s="39" t="n"/>
      <c r="AO99" s="30" t="n"/>
      <c r="AP99" s="30" t="n"/>
      <c r="AQ99" s="39" t="n"/>
      <c r="AR99" s="30" t="n"/>
      <c r="AS99" s="39" t="n"/>
      <c r="AT99" s="30">
        <f>IF(OR($AS112="",NOT(ISNUMBER($AS112)),$AH112=""),"",IF(INT($AS112)&lt;=$AH112,"A tiempo","Fuera de término"))</f>
        <v/>
      </c>
      <c r="AU99" s="40" t="n"/>
      <c r="AV99" s="40" t="n"/>
      <c r="AW99" s="40" t="n"/>
      <c r="AX99" s="40" t="n"/>
      <c r="AY99" s="30" t="n"/>
      <c r="AZ99" s="30" t="n"/>
      <c r="BA99" s="30" t="n"/>
    </row>
    <row r="100" ht="15.75" customHeight="1" s="57">
      <c r="A100" s="29" t="n"/>
      <c r="B100" s="30" t="n"/>
      <c r="C100" s="39" t="n"/>
      <c r="D100" s="39" t="n"/>
      <c r="E100" s="39" t="n"/>
      <c r="F100" s="40" t="n"/>
      <c r="G100" s="30" t="n"/>
      <c r="H100" s="30" t="n"/>
      <c r="I100" s="30" t="n"/>
      <c r="J100" s="30" t="n"/>
      <c r="K100" s="30" t="n"/>
      <c r="L100" s="30" t="n"/>
      <c r="M100" s="30" t="n"/>
      <c r="N100" s="30" t="n"/>
      <c r="O100" s="30" t="n"/>
      <c r="P100" s="30" t="n"/>
      <c r="Q100" s="30" t="n"/>
      <c r="R100" s="30" t="n"/>
      <c r="S100" s="30" t="n"/>
      <c r="T100" s="30" t="n"/>
      <c r="U100" s="30" t="n"/>
      <c r="V100" s="30" t="n"/>
      <c r="W100" s="30" t="n"/>
      <c r="X100" s="30" t="n"/>
      <c r="Y100" s="30" t="n"/>
      <c r="Z100" s="30" t="n"/>
      <c r="AA100" s="30" t="n"/>
      <c r="AB100" s="30" t="n"/>
      <c r="AC100" s="30" t="n"/>
      <c r="AD100" s="41" t="n"/>
      <c r="AE100" s="30" t="n"/>
      <c r="AF100" s="42">
        <f>IF($AA113="","",IF(LEFT(UPPER(TRIM($AA113)),8)="FELICITA","N/A",IF($AE113="","",IFERROR(VLOOKUP(UPPER(TRIM($AE113)),Config!$A$6:$D$8,2,FALSE),IFERROR(VLOOKUP(IF(LEFT(UPPER(TRIM($AE113)),5)="SUPER","SUPER SALUD",IF(LEFT(UPPER(TRIM($AE113)),8)="SECRETAR","SECRETARIA DE SALUD",IF(LEFT(UPPER(TRIM($AE113)),4)="SEDE","SEDE",UPPER(TRIM($AE113))))),Config!$A$6:$D$8,2,FALSE),"⚠")))))</f>
        <v/>
      </c>
      <c r="AG100" s="30">
        <f>IF($AA113="","",IF(LEFT(UPPER(TRIM($AA113)),8)="FELICITA","N/A",IF($AE113="","",IFERROR(VLOOKUP(UPPER(TRIM($AE113)),Config!$A$6:$D$8,3,FALSE),IFERROR(VLOOKUP(IF(LEFT(UPPER(TRIM($AE113)),5)="SUPER","SUPER SALUD",IF(LEFT(UPPER(TRIM($AE113)),8)="SECRETAR","SECRETARIA DE SALUD",IF(LEFT(UPPER(TRIM($AE113)),4)="SEDE","SEDE",UPPER(TRIM($AE113))))),Config!$A$6:$D$8,3,FALSE),"")))))</f>
        <v/>
      </c>
      <c r="AH100" s="39">
        <f>IF(OR($E113="",NOT(ISNUMBER($E113)),$AF113="",$AF113="N/A",NOT(ISNUMBER($AF113))),"",IF($AG113="Hábiles",WORKDAY(INT($E113),$AF113,Config!$F$6:$F$39),INT($E113)+$AF113))</f>
        <v/>
      </c>
      <c r="AI100" s="30">
        <f>IF($E113="","",IF(LEFT(UPPER(TRIM($AA113)),8)="FELICITA","⭐ Felicitación",IF(NOT(ISNUMBER($E113)),"⚠ Revisar fecha",IF(UPPER(TRIM($AK113))="RESPONDIDA - CERRADA","✅ Cerrada",IF($AE113="","⚠ Falta entidad",IF($AH113="","⚠ Revisar término",IF(TODAY()&gt;$AH113,"🔴 Vencida",IF($AH113-TODAY()&lt;=Config!$B$12,"🟡 Próxima a vencer","🟢 En término"))))))))</f>
        <v/>
      </c>
      <c r="AJ100" s="42">
        <f>IF(OR($E113="",NOT(ISNUMBER($E113))),"",IF(ISNUMBER($AS113),MAX(0,INT($AS113)-INT($E113)),MAX(0,TODAY()-INT($E113))))</f>
        <v/>
      </c>
      <c r="AK100" s="30" t="n"/>
      <c r="AL100" s="30" t="n"/>
      <c r="AM100" s="30" t="n"/>
      <c r="AN100" s="39" t="n"/>
      <c r="AO100" s="30" t="n"/>
      <c r="AP100" s="30" t="n"/>
      <c r="AQ100" s="39" t="n"/>
      <c r="AR100" s="30" t="n"/>
      <c r="AS100" s="39" t="n"/>
      <c r="AT100" s="30">
        <f>IF(OR($AS113="",NOT(ISNUMBER($AS113)),$AH113=""),"",IF(INT($AS113)&lt;=$AH113,"A tiempo","Fuera de término"))</f>
        <v/>
      </c>
      <c r="AU100" s="40" t="n"/>
      <c r="AV100" s="40" t="n"/>
      <c r="AW100" s="40" t="n"/>
      <c r="AX100" s="40" t="n"/>
      <c r="AY100" s="30" t="n"/>
      <c r="AZ100" s="30" t="n"/>
      <c r="BA100" s="30" t="n"/>
    </row>
    <row r="101" ht="15.75" customHeight="1" s="57">
      <c r="A101" s="29" t="n"/>
      <c r="B101" s="30" t="n"/>
      <c r="C101" s="39" t="n"/>
      <c r="D101" s="39" t="n"/>
      <c r="E101" s="39" t="n"/>
      <c r="F101" s="40" t="n"/>
      <c r="G101" s="30" t="n"/>
      <c r="H101" s="30" t="n"/>
      <c r="I101" s="30" t="n"/>
      <c r="J101" s="30" t="n"/>
      <c r="K101" s="30" t="n"/>
      <c r="L101" s="30" t="n"/>
      <c r="M101" s="30" t="n"/>
      <c r="N101" s="30" t="n"/>
      <c r="O101" s="30" t="n"/>
      <c r="P101" s="30" t="n"/>
      <c r="Q101" s="30" t="n"/>
      <c r="R101" s="30" t="n"/>
      <c r="S101" s="30" t="n"/>
      <c r="T101" s="30" t="n"/>
      <c r="U101" s="30" t="n"/>
      <c r="V101" s="30" t="n"/>
      <c r="W101" s="30" t="n"/>
      <c r="X101" s="30" t="n"/>
      <c r="Y101" s="30" t="n"/>
      <c r="Z101" s="30" t="n"/>
      <c r="AA101" s="30" t="n"/>
      <c r="AB101" s="30" t="n"/>
      <c r="AC101" s="30" t="n"/>
      <c r="AD101" s="41" t="n"/>
      <c r="AE101" s="30" t="n"/>
      <c r="AF101" s="42">
        <f>IF($AA114="","",IF(LEFT(UPPER(TRIM($AA114)),8)="FELICITA","N/A",IF($AE114="","",IFERROR(VLOOKUP(UPPER(TRIM($AE114)),Config!$A$6:$D$8,2,FALSE),IFERROR(VLOOKUP(IF(LEFT(UPPER(TRIM($AE114)),5)="SUPER","SUPER SALUD",IF(LEFT(UPPER(TRIM($AE114)),8)="SECRETAR","SECRETARIA DE SALUD",IF(LEFT(UPPER(TRIM($AE114)),4)="SEDE","SEDE",UPPER(TRIM($AE114))))),Config!$A$6:$D$8,2,FALSE),"⚠")))))</f>
        <v/>
      </c>
      <c r="AG101" s="30">
        <f>IF($AA114="","",IF(LEFT(UPPER(TRIM($AA114)),8)="FELICITA","N/A",IF($AE114="","",IFERROR(VLOOKUP(UPPER(TRIM($AE114)),Config!$A$6:$D$8,3,FALSE),IFERROR(VLOOKUP(IF(LEFT(UPPER(TRIM($AE114)),5)="SUPER","SUPER SALUD",IF(LEFT(UPPER(TRIM($AE114)),8)="SECRETAR","SECRETARIA DE SALUD",IF(LEFT(UPPER(TRIM($AE114)),4)="SEDE","SEDE",UPPER(TRIM($AE114))))),Config!$A$6:$D$8,3,FALSE),"")))))</f>
        <v/>
      </c>
      <c r="AH101" s="39">
        <f>IF(OR($E114="",NOT(ISNUMBER($E114)),$AF114="",$AF114="N/A",NOT(ISNUMBER($AF114))),"",IF($AG114="Hábiles",WORKDAY(INT($E114),$AF114,Config!$F$6:$F$39),INT($E114)+$AF114))</f>
        <v/>
      </c>
      <c r="AI101" s="30">
        <f>IF($E114="","",IF(LEFT(UPPER(TRIM($AA114)),8)="FELICITA","⭐ Felicitación",IF(NOT(ISNUMBER($E114)),"⚠ Revisar fecha",IF(UPPER(TRIM($AK114))="RESPONDIDA - CERRADA","✅ Cerrada",IF($AE114="","⚠ Falta entidad",IF($AH114="","⚠ Revisar término",IF(TODAY()&gt;$AH114,"🔴 Vencida",IF($AH114-TODAY()&lt;=Config!$B$12,"🟡 Próxima a vencer","🟢 En término"))))))))</f>
        <v/>
      </c>
      <c r="AJ101" s="42">
        <f>IF(OR($E114="",NOT(ISNUMBER($E114))),"",IF(ISNUMBER($AS114),MAX(0,INT($AS114)-INT($E114)),MAX(0,TODAY()-INT($E114))))</f>
        <v/>
      </c>
      <c r="AK101" s="30" t="n"/>
      <c r="AL101" s="30" t="n"/>
      <c r="AM101" s="30" t="n"/>
      <c r="AN101" s="39" t="n"/>
      <c r="AO101" s="30" t="n"/>
      <c r="AP101" s="30" t="n"/>
      <c r="AQ101" s="39" t="n"/>
      <c r="AR101" s="30" t="n"/>
      <c r="AS101" s="39" t="n"/>
      <c r="AT101" s="30">
        <f>IF(OR($AS114="",NOT(ISNUMBER($AS114)),$AH114=""),"",IF(INT($AS114)&lt;=$AH114,"A tiempo","Fuera de término"))</f>
        <v/>
      </c>
      <c r="AU101" s="40" t="n"/>
      <c r="AV101" s="40" t="n"/>
      <c r="AW101" s="40" t="n"/>
      <c r="AX101" s="40" t="n"/>
      <c r="AY101" s="30" t="n"/>
      <c r="AZ101" s="30" t="n"/>
      <c r="BA101" s="30" t="n"/>
    </row>
    <row r="102" ht="15.75" customHeight="1" s="57">
      <c r="A102" s="29" t="n"/>
      <c r="B102" s="30" t="n"/>
      <c r="C102" s="39" t="n"/>
      <c r="D102" s="39" t="n"/>
      <c r="E102" s="39" t="n"/>
      <c r="F102" s="40" t="n"/>
      <c r="G102" s="30" t="n"/>
      <c r="H102" s="30" t="n"/>
      <c r="I102" s="30" t="n"/>
      <c r="J102" s="30" t="n"/>
      <c r="K102" s="30" t="n"/>
      <c r="L102" s="30" t="n"/>
      <c r="M102" s="30" t="n"/>
      <c r="N102" s="30" t="n"/>
      <c r="O102" s="30" t="n"/>
      <c r="P102" s="30" t="n"/>
      <c r="Q102" s="30" t="n"/>
      <c r="R102" s="30" t="n"/>
      <c r="S102" s="30" t="n"/>
      <c r="T102" s="30" t="n"/>
      <c r="U102" s="30" t="n"/>
      <c r="V102" s="30" t="n"/>
      <c r="W102" s="30" t="n"/>
      <c r="X102" s="30" t="n"/>
      <c r="Y102" s="30" t="n"/>
      <c r="Z102" s="30" t="n"/>
      <c r="AA102" s="30" t="n"/>
      <c r="AB102" s="30" t="n"/>
      <c r="AC102" s="30" t="n"/>
      <c r="AD102" s="41" t="n"/>
      <c r="AE102" s="30" t="n"/>
      <c r="AF102" s="42">
        <f>IF($AA115="","",IF(LEFT(UPPER(TRIM($AA115)),8)="FELICITA","N/A",IF($AE115="","",IFERROR(VLOOKUP(UPPER(TRIM($AE115)),Config!$A$6:$D$8,2,FALSE),IFERROR(VLOOKUP(IF(LEFT(UPPER(TRIM($AE115)),5)="SUPER","SUPER SALUD",IF(LEFT(UPPER(TRIM($AE115)),8)="SECRETAR","SECRETARIA DE SALUD",IF(LEFT(UPPER(TRIM($AE115)),4)="SEDE","SEDE",UPPER(TRIM($AE115))))),Config!$A$6:$D$8,2,FALSE),"⚠")))))</f>
        <v/>
      </c>
      <c r="AG102" s="30">
        <f>IF($AA115="","",IF(LEFT(UPPER(TRIM($AA115)),8)="FELICITA","N/A",IF($AE115="","",IFERROR(VLOOKUP(UPPER(TRIM($AE115)),Config!$A$6:$D$8,3,FALSE),IFERROR(VLOOKUP(IF(LEFT(UPPER(TRIM($AE115)),5)="SUPER","SUPER SALUD",IF(LEFT(UPPER(TRIM($AE115)),8)="SECRETAR","SECRETARIA DE SALUD",IF(LEFT(UPPER(TRIM($AE115)),4)="SEDE","SEDE",UPPER(TRIM($AE115))))),Config!$A$6:$D$8,3,FALSE),"")))))</f>
        <v/>
      </c>
      <c r="AH102" s="39">
        <f>IF(OR($E115="",NOT(ISNUMBER($E115)),$AF115="",$AF115="N/A",NOT(ISNUMBER($AF115))),"",IF($AG115="Hábiles",WORKDAY(INT($E115),$AF115,Config!$F$6:$F$39),INT($E115)+$AF115))</f>
        <v/>
      </c>
      <c r="AI102" s="30">
        <f>IF($E115="","",IF(LEFT(UPPER(TRIM($AA115)),8)="FELICITA","⭐ Felicitación",IF(NOT(ISNUMBER($E115)),"⚠ Revisar fecha",IF(UPPER(TRIM($AK115))="RESPONDIDA - CERRADA","✅ Cerrada",IF($AE115="","⚠ Falta entidad",IF($AH115="","⚠ Revisar término",IF(TODAY()&gt;$AH115,"🔴 Vencida",IF($AH115-TODAY()&lt;=Config!$B$12,"🟡 Próxima a vencer","🟢 En término"))))))))</f>
        <v/>
      </c>
      <c r="AJ102" s="42">
        <f>IF(OR($E115="",NOT(ISNUMBER($E115))),"",IF(ISNUMBER($AS115),MAX(0,INT($AS115)-INT($E115)),MAX(0,TODAY()-INT($E115))))</f>
        <v/>
      </c>
      <c r="AK102" s="30" t="n"/>
      <c r="AL102" s="30" t="n"/>
      <c r="AM102" s="30" t="n"/>
      <c r="AN102" s="39" t="n"/>
      <c r="AO102" s="30" t="n"/>
      <c r="AP102" s="30" t="n"/>
      <c r="AQ102" s="39" t="n"/>
      <c r="AR102" s="30" t="n"/>
      <c r="AS102" s="39" t="n"/>
      <c r="AT102" s="30">
        <f>IF(OR($AS115="",NOT(ISNUMBER($AS115)),$AH115=""),"",IF(INT($AS115)&lt;=$AH115,"A tiempo","Fuera de término"))</f>
        <v/>
      </c>
      <c r="AU102" s="40" t="n"/>
      <c r="AV102" s="40" t="n"/>
      <c r="AW102" s="40" t="n"/>
      <c r="AX102" s="40" t="n"/>
      <c r="AY102" s="30" t="n"/>
      <c r="AZ102" s="30" t="n"/>
      <c r="BA102" s="30" t="n"/>
    </row>
    <row r="103" ht="15.75" customHeight="1" s="57">
      <c r="A103" s="29" t="n"/>
      <c r="B103" s="30" t="n"/>
      <c r="C103" s="39" t="n"/>
      <c r="D103" s="39" t="n"/>
      <c r="E103" s="39" t="n"/>
      <c r="F103" s="40" t="n"/>
      <c r="G103" s="30" t="n"/>
      <c r="H103" s="30" t="n"/>
      <c r="I103" s="30" t="n"/>
      <c r="J103" s="30" t="n"/>
      <c r="K103" s="30" t="n"/>
      <c r="L103" s="30" t="n"/>
      <c r="M103" s="30" t="n"/>
      <c r="N103" s="30" t="n"/>
      <c r="O103" s="30" t="n"/>
      <c r="P103" s="30" t="n"/>
      <c r="Q103" s="30" t="n"/>
      <c r="R103" s="30" t="n"/>
      <c r="S103" s="30" t="n"/>
      <c r="T103" s="30" t="n"/>
      <c r="U103" s="30" t="n"/>
      <c r="V103" s="30" t="n"/>
      <c r="W103" s="30" t="n"/>
      <c r="X103" s="30" t="n"/>
      <c r="Y103" s="30" t="n"/>
      <c r="Z103" s="30" t="n"/>
      <c r="AA103" s="30" t="n"/>
      <c r="AB103" s="30" t="n"/>
      <c r="AC103" s="30" t="n"/>
      <c r="AD103" s="41" t="n"/>
      <c r="AE103" s="30" t="n"/>
      <c r="AF103" s="42">
        <f>IF($AA116="","",IF(LEFT(UPPER(TRIM($AA116)),8)="FELICITA","N/A",IF($AE116="","",IFERROR(VLOOKUP(UPPER(TRIM($AE116)),Config!$A$6:$D$8,2,FALSE),IFERROR(VLOOKUP(IF(LEFT(UPPER(TRIM($AE116)),5)="SUPER","SUPER SALUD",IF(LEFT(UPPER(TRIM($AE116)),8)="SECRETAR","SECRETARIA DE SALUD",IF(LEFT(UPPER(TRIM($AE116)),4)="SEDE","SEDE",UPPER(TRIM($AE116))))),Config!$A$6:$D$8,2,FALSE),"⚠")))))</f>
        <v/>
      </c>
      <c r="AG103" s="30">
        <f>IF($AA116="","",IF(LEFT(UPPER(TRIM($AA116)),8)="FELICITA","N/A",IF($AE116="","",IFERROR(VLOOKUP(UPPER(TRIM($AE116)),Config!$A$6:$D$8,3,FALSE),IFERROR(VLOOKUP(IF(LEFT(UPPER(TRIM($AE116)),5)="SUPER","SUPER SALUD",IF(LEFT(UPPER(TRIM($AE116)),8)="SECRETAR","SECRETARIA DE SALUD",IF(LEFT(UPPER(TRIM($AE116)),4)="SEDE","SEDE",UPPER(TRIM($AE116))))),Config!$A$6:$D$8,3,FALSE),"")))))</f>
        <v/>
      </c>
      <c r="AH103" s="39">
        <f>IF(OR($E116="",NOT(ISNUMBER($E116)),$AF116="",$AF116="N/A",NOT(ISNUMBER($AF116))),"",IF($AG116="Hábiles",WORKDAY(INT($E116),$AF116,Config!$F$6:$F$39),INT($E116)+$AF116))</f>
        <v/>
      </c>
      <c r="AI103" s="30">
        <f>IF($E116="","",IF(LEFT(UPPER(TRIM($AA116)),8)="FELICITA","⭐ Felicitación",IF(NOT(ISNUMBER($E116)),"⚠ Revisar fecha",IF(UPPER(TRIM($AK116))="RESPONDIDA - CERRADA","✅ Cerrada",IF($AE116="","⚠ Falta entidad",IF($AH116="","⚠ Revisar término",IF(TODAY()&gt;$AH116,"🔴 Vencida",IF($AH116-TODAY()&lt;=Config!$B$12,"🟡 Próxima a vencer","🟢 En término"))))))))</f>
        <v/>
      </c>
      <c r="AJ103" s="42">
        <f>IF(OR($E116="",NOT(ISNUMBER($E116))),"",IF(ISNUMBER($AS116),MAX(0,INT($AS116)-INT($E116)),MAX(0,TODAY()-INT($E116))))</f>
        <v/>
      </c>
      <c r="AK103" s="30" t="n"/>
      <c r="AL103" s="30" t="n"/>
      <c r="AM103" s="30" t="n"/>
      <c r="AN103" s="39" t="n"/>
      <c r="AO103" s="30" t="n"/>
      <c r="AP103" s="30" t="n"/>
      <c r="AQ103" s="39" t="n"/>
      <c r="AR103" s="30" t="n"/>
      <c r="AS103" s="39" t="n"/>
      <c r="AT103" s="30">
        <f>IF(OR($AS116="",NOT(ISNUMBER($AS116)),$AH116=""),"",IF(INT($AS116)&lt;=$AH116,"A tiempo","Fuera de término"))</f>
        <v/>
      </c>
      <c r="AU103" s="40" t="n"/>
      <c r="AV103" s="40" t="n"/>
      <c r="AW103" s="40" t="n"/>
      <c r="AX103" s="40" t="n"/>
      <c r="AY103" s="30" t="n"/>
      <c r="AZ103" s="30" t="n"/>
      <c r="BA103" s="30" t="n"/>
    </row>
    <row r="104" ht="15.75" customHeight="1" s="57">
      <c r="A104" s="29" t="n"/>
      <c r="B104" s="30" t="n"/>
      <c r="C104" s="39" t="n"/>
      <c r="D104" s="39" t="n"/>
      <c r="E104" s="39" t="n"/>
      <c r="F104" s="40" t="n"/>
      <c r="G104" s="30" t="n"/>
      <c r="H104" s="30" t="n"/>
      <c r="I104" s="30" t="n"/>
      <c r="J104" s="30" t="n"/>
      <c r="K104" s="30" t="n"/>
      <c r="L104" s="30" t="n"/>
      <c r="M104" s="30" t="n"/>
      <c r="N104" s="30" t="n"/>
      <c r="O104" s="30" t="n"/>
      <c r="P104" s="30" t="n"/>
      <c r="Q104" s="30" t="n"/>
      <c r="R104" s="30" t="n"/>
      <c r="S104" s="30" t="n"/>
      <c r="T104" s="30" t="n"/>
      <c r="U104" s="30" t="n"/>
      <c r="V104" s="30" t="n"/>
      <c r="W104" s="30" t="n"/>
      <c r="X104" s="30" t="n"/>
      <c r="Y104" s="30" t="n"/>
      <c r="Z104" s="30" t="n"/>
      <c r="AA104" s="30" t="n"/>
      <c r="AB104" s="30" t="n"/>
      <c r="AC104" s="30" t="n"/>
      <c r="AD104" s="41" t="n"/>
      <c r="AE104" s="30" t="n"/>
      <c r="AF104" s="42">
        <f>IF($AA117="","",IF(LEFT(UPPER(TRIM($AA117)),8)="FELICITA","N/A",IF($AE117="","",IFERROR(VLOOKUP(UPPER(TRIM($AE117)),Config!$A$6:$D$8,2,FALSE),IFERROR(VLOOKUP(IF(LEFT(UPPER(TRIM($AE117)),5)="SUPER","SUPER SALUD",IF(LEFT(UPPER(TRIM($AE117)),8)="SECRETAR","SECRETARIA DE SALUD",IF(LEFT(UPPER(TRIM($AE117)),4)="SEDE","SEDE",UPPER(TRIM($AE117))))),Config!$A$6:$D$8,2,FALSE),"⚠")))))</f>
        <v/>
      </c>
      <c r="AG104" s="30">
        <f>IF($AA117="","",IF(LEFT(UPPER(TRIM($AA117)),8)="FELICITA","N/A",IF($AE117="","",IFERROR(VLOOKUP(UPPER(TRIM($AE117)),Config!$A$6:$D$8,3,FALSE),IFERROR(VLOOKUP(IF(LEFT(UPPER(TRIM($AE117)),5)="SUPER","SUPER SALUD",IF(LEFT(UPPER(TRIM($AE117)),8)="SECRETAR","SECRETARIA DE SALUD",IF(LEFT(UPPER(TRIM($AE117)),4)="SEDE","SEDE",UPPER(TRIM($AE117))))),Config!$A$6:$D$8,3,FALSE),"")))))</f>
        <v/>
      </c>
      <c r="AH104" s="39">
        <f>IF(OR($E117="",NOT(ISNUMBER($E117)),$AF117="",$AF117="N/A",NOT(ISNUMBER($AF117))),"",IF($AG117="Hábiles",WORKDAY(INT($E117),$AF117,Config!$F$6:$F$39),INT($E117)+$AF117))</f>
        <v/>
      </c>
      <c r="AI104" s="30">
        <f>IF($E117="","",IF(LEFT(UPPER(TRIM($AA117)),8)="FELICITA","⭐ Felicitación",IF(NOT(ISNUMBER($E117)),"⚠ Revisar fecha",IF(UPPER(TRIM($AK117))="RESPONDIDA - CERRADA","✅ Cerrada",IF($AE117="","⚠ Falta entidad",IF($AH117="","⚠ Revisar término",IF(TODAY()&gt;$AH117,"🔴 Vencida",IF($AH117-TODAY()&lt;=Config!$B$12,"🟡 Próxima a vencer","🟢 En término"))))))))</f>
        <v/>
      </c>
      <c r="AJ104" s="42">
        <f>IF(OR($E117="",NOT(ISNUMBER($E117))),"",IF(ISNUMBER($AS117),MAX(0,INT($AS117)-INT($E117)),MAX(0,TODAY()-INT($E117))))</f>
        <v/>
      </c>
      <c r="AK104" s="30" t="n"/>
      <c r="AL104" s="30" t="n"/>
      <c r="AM104" s="30" t="n"/>
      <c r="AN104" s="39" t="n"/>
      <c r="AO104" s="30" t="n"/>
      <c r="AP104" s="30" t="n"/>
      <c r="AQ104" s="39" t="n"/>
      <c r="AR104" s="30" t="n"/>
      <c r="AS104" s="39" t="n"/>
      <c r="AT104" s="30">
        <f>IF(OR($AS117="",NOT(ISNUMBER($AS117)),$AH117=""),"",IF(INT($AS117)&lt;=$AH117,"A tiempo","Fuera de término"))</f>
        <v/>
      </c>
      <c r="AU104" s="40" t="n"/>
      <c r="AV104" s="40" t="n"/>
      <c r="AW104" s="40" t="n"/>
      <c r="AX104" s="40" t="n"/>
      <c r="AY104" s="30" t="n"/>
      <c r="AZ104" s="30" t="n"/>
      <c r="BA104" s="30" t="n"/>
    </row>
    <row r="105" ht="15.75" customHeight="1" s="57">
      <c r="A105" s="29" t="n"/>
      <c r="B105" s="30" t="n"/>
      <c r="C105" s="39" t="n"/>
      <c r="D105" s="39" t="n"/>
      <c r="E105" s="39" t="n"/>
      <c r="F105" s="40" t="n"/>
      <c r="G105" s="30" t="n"/>
      <c r="H105" s="30" t="n"/>
      <c r="I105" s="30" t="n"/>
      <c r="J105" s="30" t="n"/>
      <c r="K105" s="30" t="n"/>
      <c r="L105" s="30" t="n"/>
      <c r="M105" s="30" t="n"/>
      <c r="N105" s="30" t="n"/>
      <c r="O105" s="30" t="n"/>
      <c r="P105" s="30" t="n"/>
      <c r="Q105" s="30" t="n"/>
      <c r="R105" s="30" t="n"/>
      <c r="S105" s="30" t="n"/>
      <c r="T105" s="30" t="n"/>
      <c r="U105" s="30" t="n"/>
      <c r="V105" s="30" t="n"/>
      <c r="W105" s="30" t="n"/>
      <c r="X105" s="30" t="n"/>
      <c r="Y105" s="30" t="n"/>
      <c r="Z105" s="30" t="n"/>
      <c r="AA105" s="30" t="n"/>
      <c r="AB105" s="30" t="n"/>
      <c r="AC105" s="30" t="n"/>
      <c r="AD105" s="41" t="n"/>
      <c r="AE105" s="30" t="n"/>
      <c r="AF105" s="42">
        <f>IF($AA118="","",IF(LEFT(UPPER(TRIM($AA118)),8)="FELICITA","N/A",IF($AE118="","",IFERROR(VLOOKUP(UPPER(TRIM($AE118)),Config!$A$6:$D$8,2,FALSE),IFERROR(VLOOKUP(IF(LEFT(UPPER(TRIM($AE118)),5)="SUPER","SUPER SALUD",IF(LEFT(UPPER(TRIM($AE118)),8)="SECRETAR","SECRETARIA DE SALUD",IF(LEFT(UPPER(TRIM($AE118)),4)="SEDE","SEDE",UPPER(TRIM($AE118))))),Config!$A$6:$D$8,2,FALSE),"⚠")))))</f>
        <v/>
      </c>
      <c r="AG105" s="30">
        <f>IF($AA118="","",IF(LEFT(UPPER(TRIM($AA118)),8)="FELICITA","N/A",IF($AE118="","",IFERROR(VLOOKUP(UPPER(TRIM($AE118)),Config!$A$6:$D$8,3,FALSE),IFERROR(VLOOKUP(IF(LEFT(UPPER(TRIM($AE118)),5)="SUPER","SUPER SALUD",IF(LEFT(UPPER(TRIM($AE118)),8)="SECRETAR","SECRETARIA DE SALUD",IF(LEFT(UPPER(TRIM($AE118)),4)="SEDE","SEDE",UPPER(TRIM($AE118))))),Config!$A$6:$D$8,3,FALSE),"")))))</f>
        <v/>
      </c>
      <c r="AH105" s="39">
        <f>IF(OR($E118="",NOT(ISNUMBER($E118)),$AF118="",$AF118="N/A",NOT(ISNUMBER($AF118))),"",IF($AG118="Hábiles",WORKDAY(INT($E118),$AF118,Config!$F$6:$F$39),INT($E118)+$AF118))</f>
        <v/>
      </c>
      <c r="AI105" s="30">
        <f>IF($E118="","",IF(LEFT(UPPER(TRIM($AA118)),8)="FELICITA","⭐ Felicitación",IF(NOT(ISNUMBER($E118)),"⚠ Revisar fecha",IF(UPPER(TRIM($AK118))="RESPONDIDA - CERRADA","✅ Cerrada",IF($AE118="","⚠ Falta entidad",IF($AH118="","⚠ Revisar término",IF(TODAY()&gt;$AH118,"🔴 Vencida",IF($AH118-TODAY()&lt;=Config!$B$12,"🟡 Próxima a vencer","🟢 En término"))))))))</f>
        <v/>
      </c>
      <c r="AJ105" s="42">
        <f>IF(OR($E118="",NOT(ISNUMBER($E118))),"",IF(ISNUMBER($AS118),MAX(0,INT($AS118)-INT($E118)),MAX(0,TODAY()-INT($E118))))</f>
        <v/>
      </c>
      <c r="AK105" s="30" t="n"/>
      <c r="AL105" s="30" t="n"/>
      <c r="AM105" s="30" t="n"/>
      <c r="AN105" s="39" t="n"/>
      <c r="AO105" s="30" t="n"/>
      <c r="AP105" s="30" t="n"/>
      <c r="AQ105" s="39" t="n"/>
      <c r="AR105" s="30" t="n"/>
      <c r="AS105" s="39" t="n"/>
      <c r="AT105" s="30">
        <f>IF(OR($AS118="",NOT(ISNUMBER($AS118)),$AH118=""),"",IF(INT($AS118)&lt;=$AH118,"A tiempo","Fuera de término"))</f>
        <v/>
      </c>
      <c r="AU105" s="40" t="n"/>
      <c r="AV105" s="40" t="n"/>
      <c r="AW105" s="40" t="n"/>
      <c r="AX105" s="40" t="n"/>
      <c r="AY105" s="30" t="n"/>
      <c r="AZ105" s="30" t="n"/>
      <c r="BA105" s="30" t="n"/>
    </row>
    <row r="106" ht="15.75" customHeight="1" s="57">
      <c r="A106" s="29" t="n"/>
      <c r="B106" s="30" t="n"/>
      <c r="C106" s="39" t="n"/>
      <c r="D106" s="39" t="n"/>
      <c r="E106" s="39" t="n"/>
      <c r="F106" s="40" t="n"/>
      <c r="G106" s="30" t="n"/>
      <c r="H106" s="30" t="n"/>
      <c r="I106" s="30" t="n"/>
      <c r="J106" s="30" t="n"/>
      <c r="K106" s="30" t="n"/>
      <c r="L106" s="30" t="n"/>
      <c r="M106" s="30" t="n"/>
      <c r="N106" s="30" t="n"/>
      <c r="O106" s="30" t="n"/>
      <c r="P106" s="30" t="n"/>
      <c r="Q106" s="30" t="n"/>
      <c r="R106" s="30" t="n"/>
      <c r="S106" s="30" t="n"/>
      <c r="T106" s="30" t="n"/>
      <c r="U106" s="30" t="n"/>
      <c r="V106" s="30" t="n"/>
      <c r="W106" s="30" t="n"/>
      <c r="X106" s="30" t="n"/>
      <c r="Y106" s="30" t="n"/>
      <c r="Z106" s="30" t="n"/>
      <c r="AA106" s="30" t="n"/>
      <c r="AB106" s="30" t="n"/>
      <c r="AC106" s="30" t="n"/>
      <c r="AD106" s="41" t="n"/>
      <c r="AE106" s="30" t="n"/>
      <c r="AF106" s="42">
        <f>IF($AA119="","",IF(LEFT(UPPER(TRIM($AA119)),8)="FELICITA","N/A",IF($AE119="","",IFERROR(VLOOKUP(UPPER(TRIM($AE119)),Config!$A$6:$D$8,2,FALSE),IFERROR(VLOOKUP(IF(LEFT(UPPER(TRIM($AE119)),5)="SUPER","SUPER SALUD",IF(LEFT(UPPER(TRIM($AE119)),8)="SECRETAR","SECRETARIA DE SALUD",IF(LEFT(UPPER(TRIM($AE119)),4)="SEDE","SEDE",UPPER(TRIM($AE119))))),Config!$A$6:$D$8,2,FALSE),"⚠")))))</f>
        <v/>
      </c>
      <c r="AG106" s="30">
        <f>IF($AA119="","",IF(LEFT(UPPER(TRIM($AA119)),8)="FELICITA","N/A",IF($AE119="","",IFERROR(VLOOKUP(UPPER(TRIM($AE119)),Config!$A$6:$D$8,3,FALSE),IFERROR(VLOOKUP(IF(LEFT(UPPER(TRIM($AE119)),5)="SUPER","SUPER SALUD",IF(LEFT(UPPER(TRIM($AE119)),8)="SECRETAR","SECRETARIA DE SALUD",IF(LEFT(UPPER(TRIM($AE119)),4)="SEDE","SEDE",UPPER(TRIM($AE119))))),Config!$A$6:$D$8,3,FALSE),"")))))</f>
        <v/>
      </c>
      <c r="AH106" s="39">
        <f>IF(OR($E119="",NOT(ISNUMBER($E119)),$AF119="",$AF119="N/A",NOT(ISNUMBER($AF119))),"",IF($AG119="Hábiles",WORKDAY(INT($E119),$AF119,Config!$F$6:$F$39),INT($E119)+$AF119))</f>
        <v/>
      </c>
      <c r="AI106" s="30">
        <f>IF($E119="","",IF(LEFT(UPPER(TRIM($AA119)),8)="FELICITA","⭐ Felicitación",IF(NOT(ISNUMBER($E119)),"⚠ Revisar fecha",IF(UPPER(TRIM($AK119))="RESPONDIDA - CERRADA","✅ Cerrada",IF($AE119="","⚠ Falta entidad",IF($AH119="","⚠ Revisar término",IF(TODAY()&gt;$AH119,"🔴 Vencida",IF($AH119-TODAY()&lt;=Config!$B$12,"🟡 Próxima a vencer","🟢 En término"))))))))</f>
        <v/>
      </c>
      <c r="AJ106" s="42">
        <f>IF(OR($E119="",NOT(ISNUMBER($E119))),"",IF(ISNUMBER($AS119),MAX(0,INT($AS119)-INT($E119)),MAX(0,TODAY()-INT($E119))))</f>
        <v/>
      </c>
      <c r="AK106" s="30" t="n"/>
      <c r="AL106" s="30" t="n"/>
      <c r="AM106" s="30" t="n"/>
      <c r="AN106" s="39" t="n"/>
      <c r="AO106" s="30" t="n"/>
      <c r="AP106" s="30" t="n"/>
      <c r="AQ106" s="39" t="n"/>
      <c r="AR106" s="30" t="n"/>
      <c r="AS106" s="39" t="n"/>
      <c r="AT106" s="30">
        <f>IF(OR($AS119="",NOT(ISNUMBER($AS119)),$AH119=""),"",IF(INT($AS119)&lt;=$AH119,"A tiempo","Fuera de término"))</f>
        <v/>
      </c>
      <c r="AU106" s="40" t="n"/>
      <c r="AV106" s="40" t="n"/>
      <c r="AW106" s="40" t="n"/>
      <c r="AX106" s="40" t="n"/>
      <c r="AY106" s="30" t="n"/>
      <c r="AZ106" s="30" t="n"/>
      <c r="BA106" s="30" t="n"/>
    </row>
    <row r="107" ht="15.75" customHeight="1" s="57">
      <c r="A107" s="29" t="n"/>
      <c r="B107" s="30" t="n"/>
      <c r="C107" s="39" t="n"/>
      <c r="D107" s="39" t="n"/>
      <c r="E107" s="39" t="n"/>
      <c r="F107" s="40" t="n"/>
      <c r="G107" s="30" t="n"/>
      <c r="H107" s="30" t="n"/>
      <c r="I107" s="30" t="n"/>
      <c r="J107" s="30" t="n"/>
      <c r="K107" s="30" t="n"/>
      <c r="L107" s="30" t="n"/>
      <c r="M107" s="30" t="n"/>
      <c r="N107" s="30" t="n"/>
      <c r="O107" s="30" t="n"/>
      <c r="P107" s="30" t="n"/>
      <c r="Q107" s="30" t="n"/>
      <c r="R107" s="30" t="n"/>
      <c r="S107" s="30" t="n"/>
      <c r="T107" s="30" t="n"/>
      <c r="U107" s="30" t="n"/>
      <c r="V107" s="30" t="n"/>
      <c r="W107" s="30" t="n"/>
      <c r="X107" s="30" t="n"/>
      <c r="Y107" s="30" t="n"/>
      <c r="Z107" s="30" t="n"/>
      <c r="AA107" s="30" t="n"/>
      <c r="AB107" s="30" t="n"/>
      <c r="AC107" s="30" t="n"/>
      <c r="AD107" s="41" t="n"/>
      <c r="AE107" s="30" t="n"/>
      <c r="AF107" s="42">
        <f>IF($AA120="","",IF(LEFT(UPPER(TRIM($AA120)),8)="FELICITA","N/A",IF($AE120="","",IFERROR(VLOOKUP(UPPER(TRIM($AE120)),Config!$A$6:$D$8,2,FALSE),IFERROR(VLOOKUP(IF(LEFT(UPPER(TRIM($AE120)),5)="SUPER","SUPER SALUD",IF(LEFT(UPPER(TRIM($AE120)),8)="SECRETAR","SECRETARIA DE SALUD",IF(LEFT(UPPER(TRIM($AE120)),4)="SEDE","SEDE",UPPER(TRIM($AE120))))),Config!$A$6:$D$8,2,FALSE),"⚠")))))</f>
        <v/>
      </c>
      <c r="AG107" s="30">
        <f>IF($AA120="","",IF(LEFT(UPPER(TRIM($AA120)),8)="FELICITA","N/A",IF($AE120="","",IFERROR(VLOOKUP(UPPER(TRIM($AE120)),Config!$A$6:$D$8,3,FALSE),IFERROR(VLOOKUP(IF(LEFT(UPPER(TRIM($AE120)),5)="SUPER","SUPER SALUD",IF(LEFT(UPPER(TRIM($AE120)),8)="SECRETAR","SECRETARIA DE SALUD",IF(LEFT(UPPER(TRIM($AE120)),4)="SEDE","SEDE",UPPER(TRIM($AE120))))),Config!$A$6:$D$8,3,FALSE),"")))))</f>
        <v/>
      </c>
      <c r="AH107" s="39">
        <f>IF(OR($E120="",NOT(ISNUMBER($E120)),$AF120="",$AF120="N/A",NOT(ISNUMBER($AF120))),"",IF($AG120="Hábiles",WORKDAY(INT($E120),$AF120,Config!$F$6:$F$39),INT($E120)+$AF120))</f>
        <v/>
      </c>
      <c r="AI107" s="30">
        <f>IF($E120="","",IF(LEFT(UPPER(TRIM($AA120)),8)="FELICITA","⭐ Felicitación",IF(NOT(ISNUMBER($E120)),"⚠ Revisar fecha",IF(UPPER(TRIM($AK120))="RESPONDIDA - CERRADA","✅ Cerrada",IF($AE120="","⚠ Falta entidad",IF($AH120="","⚠ Revisar término",IF(TODAY()&gt;$AH120,"🔴 Vencida",IF($AH120-TODAY()&lt;=Config!$B$12,"🟡 Próxima a vencer","🟢 En término"))))))))</f>
        <v/>
      </c>
      <c r="AJ107" s="42">
        <f>IF(OR($E120="",NOT(ISNUMBER($E120))),"",IF(ISNUMBER($AS120),MAX(0,INT($AS120)-INT($E120)),MAX(0,TODAY()-INT($E120))))</f>
        <v/>
      </c>
      <c r="AK107" s="30" t="n"/>
      <c r="AL107" s="30" t="n"/>
      <c r="AM107" s="30" t="n"/>
      <c r="AN107" s="39" t="n"/>
      <c r="AO107" s="30" t="n"/>
      <c r="AP107" s="30" t="n"/>
      <c r="AQ107" s="39" t="n"/>
      <c r="AR107" s="30" t="n"/>
      <c r="AS107" s="39" t="n"/>
      <c r="AT107" s="30">
        <f>IF(OR($AS120="",NOT(ISNUMBER($AS120)),$AH120=""),"",IF(INT($AS120)&lt;=$AH120,"A tiempo","Fuera de término"))</f>
        <v/>
      </c>
      <c r="AU107" s="40" t="n"/>
      <c r="AV107" s="40" t="n"/>
      <c r="AW107" s="40" t="n"/>
      <c r="AX107" s="40" t="n"/>
      <c r="AY107" s="30" t="n"/>
      <c r="AZ107" s="30" t="n"/>
      <c r="BA107" s="30" t="n"/>
    </row>
    <row r="108" ht="15.75" customHeight="1" s="57">
      <c r="A108" s="29" t="n"/>
      <c r="B108" s="30" t="n"/>
      <c r="C108" s="39" t="n"/>
      <c r="D108" s="39" t="n"/>
      <c r="E108" s="39" t="n"/>
      <c r="F108" s="40" t="n"/>
      <c r="G108" s="30" t="n"/>
      <c r="H108" s="30" t="n"/>
      <c r="I108" s="30" t="n"/>
      <c r="J108" s="30" t="n"/>
      <c r="K108" s="30" t="n"/>
      <c r="L108" s="30" t="n"/>
      <c r="M108" s="30" t="n"/>
      <c r="N108" s="30" t="n"/>
      <c r="O108" s="30" t="n"/>
      <c r="P108" s="30" t="n"/>
      <c r="Q108" s="30" t="n"/>
      <c r="R108" s="30" t="n"/>
      <c r="S108" s="30" t="n"/>
      <c r="T108" s="30" t="n"/>
      <c r="U108" s="30" t="n"/>
      <c r="V108" s="30" t="n"/>
      <c r="W108" s="30" t="n"/>
      <c r="X108" s="30" t="n"/>
      <c r="Y108" s="30" t="n"/>
      <c r="Z108" s="30" t="n"/>
      <c r="AA108" s="30" t="n"/>
      <c r="AB108" s="30" t="n"/>
      <c r="AC108" s="30" t="n"/>
      <c r="AD108" s="41" t="n"/>
      <c r="AE108" s="30" t="n"/>
      <c r="AF108" s="42">
        <f>IF($AA121="","",IF(LEFT(UPPER(TRIM($AA121)),8)="FELICITA","N/A",IF($AE121="","",IFERROR(VLOOKUP(UPPER(TRIM($AE121)),Config!$A$6:$D$8,2,FALSE),IFERROR(VLOOKUP(IF(LEFT(UPPER(TRIM($AE121)),5)="SUPER","SUPER SALUD",IF(LEFT(UPPER(TRIM($AE121)),8)="SECRETAR","SECRETARIA DE SALUD",IF(LEFT(UPPER(TRIM($AE121)),4)="SEDE","SEDE",UPPER(TRIM($AE121))))),Config!$A$6:$D$8,2,FALSE),"⚠")))))</f>
        <v/>
      </c>
      <c r="AG108" s="30">
        <f>IF($AA121="","",IF(LEFT(UPPER(TRIM($AA121)),8)="FELICITA","N/A",IF($AE121="","",IFERROR(VLOOKUP(UPPER(TRIM($AE121)),Config!$A$6:$D$8,3,FALSE),IFERROR(VLOOKUP(IF(LEFT(UPPER(TRIM($AE121)),5)="SUPER","SUPER SALUD",IF(LEFT(UPPER(TRIM($AE121)),8)="SECRETAR","SECRETARIA DE SALUD",IF(LEFT(UPPER(TRIM($AE121)),4)="SEDE","SEDE",UPPER(TRIM($AE121))))),Config!$A$6:$D$8,3,FALSE),"")))))</f>
        <v/>
      </c>
      <c r="AH108" s="39">
        <f>IF(OR($E121="",NOT(ISNUMBER($E121)),$AF121="",$AF121="N/A",NOT(ISNUMBER($AF121))),"",IF($AG121="Hábiles",WORKDAY(INT($E121),$AF121,Config!$F$6:$F$39),INT($E121)+$AF121))</f>
        <v/>
      </c>
      <c r="AI108" s="30">
        <f>IF($E121="","",IF(LEFT(UPPER(TRIM($AA121)),8)="FELICITA","⭐ Felicitación",IF(NOT(ISNUMBER($E121)),"⚠ Revisar fecha",IF(UPPER(TRIM($AK121))="RESPONDIDA - CERRADA","✅ Cerrada",IF($AE121="","⚠ Falta entidad",IF($AH121="","⚠ Revisar término",IF(TODAY()&gt;$AH121,"🔴 Vencida",IF($AH121-TODAY()&lt;=Config!$B$12,"🟡 Próxima a vencer","🟢 En término"))))))))</f>
        <v/>
      </c>
      <c r="AJ108" s="42">
        <f>IF(OR($E121="",NOT(ISNUMBER($E121))),"",IF(ISNUMBER($AS121),MAX(0,INT($AS121)-INT($E121)),MAX(0,TODAY()-INT($E121))))</f>
        <v/>
      </c>
      <c r="AK108" s="30" t="n"/>
      <c r="AL108" s="30" t="n"/>
      <c r="AM108" s="30" t="n"/>
      <c r="AN108" s="39" t="n"/>
      <c r="AO108" s="30" t="n"/>
      <c r="AP108" s="30" t="n"/>
      <c r="AQ108" s="39" t="n"/>
      <c r="AR108" s="30" t="n"/>
      <c r="AS108" s="39" t="n"/>
      <c r="AT108" s="30">
        <f>IF(OR($AS121="",NOT(ISNUMBER($AS121)),$AH121=""),"",IF(INT($AS121)&lt;=$AH121,"A tiempo","Fuera de término"))</f>
        <v/>
      </c>
      <c r="AU108" s="40" t="n"/>
      <c r="AV108" s="40" t="n"/>
      <c r="AW108" s="40" t="n"/>
      <c r="AX108" s="40" t="n"/>
      <c r="AY108" s="30" t="n"/>
      <c r="AZ108" s="30" t="n"/>
      <c r="BA108" s="30" t="n"/>
    </row>
    <row r="109" ht="15.75" customHeight="1" s="57">
      <c r="A109" s="29" t="n"/>
      <c r="B109" s="30" t="n"/>
      <c r="C109" s="39" t="n"/>
      <c r="D109" s="39" t="n"/>
      <c r="E109" s="39" t="n"/>
      <c r="F109" s="40" t="n"/>
      <c r="G109" s="30" t="n"/>
      <c r="H109" s="30" t="n"/>
      <c r="I109" s="30" t="n"/>
      <c r="J109" s="30" t="n"/>
      <c r="K109" s="30" t="n"/>
      <c r="L109" s="30" t="n"/>
      <c r="M109" s="30" t="n"/>
      <c r="N109" s="30" t="n"/>
      <c r="O109" s="30" t="n"/>
      <c r="P109" s="30" t="n"/>
      <c r="Q109" s="30" t="n"/>
      <c r="R109" s="30" t="n"/>
      <c r="S109" s="30" t="n"/>
      <c r="T109" s="30" t="n"/>
      <c r="U109" s="30" t="n"/>
      <c r="V109" s="30" t="n"/>
      <c r="W109" s="30" t="n"/>
      <c r="X109" s="30" t="n"/>
      <c r="Y109" s="30" t="n"/>
      <c r="Z109" s="30" t="n"/>
      <c r="AA109" s="30" t="n"/>
      <c r="AB109" s="30" t="n"/>
      <c r="AC109" s="30" t="n"/>
      <c r="AD109" s="41" t="n"/>
      <c r="AE109" s="30" t="n"/>
      <c r="AF109" s="42">
        <f>IF($AA122="","",IF(LEFT(UPPER(TRIM($AA122)),8)="FELICITA","N/A",IF($AE122="","",IFERROR(VLOOKUP(UPPER(TRIM($AE122)),Config!$A$6:$D$8,2,FALSE),IFERROR(VLOOKUP(IF(LEFT(UPPER(TRIM($AE122)),5)="SUPER","SUPER SALUD",IF(LEFT(UPPER(TRIM($AE122)),8)="SECRETAR","SECRETARIA DE SALUD",IF(LEFT(UPPER(TRIM($AE122)),4)="SEDE","SEDE",UPPER(TRIM($AE122))))),Config!$A$6:$D$8,2,FALSE),"⚠")))))</f>
        <v/>
      </c>
      <c r="AG109" s="30">
        <f>IF($AA122="","",IF(LEFT(UPPER(TRIM($AA122)),8)="FELICITA","N/A",IF($AE122="","",IFERROR(VLOOKUP(UPPER(TRIM($AE122)),Config!$A$6:$D$8,3,FALSE),IFERROR(VLOOKUP(IF(LEFT(UPPER(TRIM($AE122)),5)="SUPER","SUPER SALUD",IF(LEFT(UPPER(TRIM($AE122)),8)="SECRETAR","SECRETARIA DE SALUD",IF(LEFT(UPPER(TRIM($AE122)),4)="SEDE","SEDE",UPPER(TRIM($AE122))))),Config!$A$6:$D$8,3,FALSE),"")))))</f>
        <v/>
      </c>
      <c r="AH109" s="39">
        <f>IF(OR($E122="",NOT(ISNUMBER($E122)),$AF122="",$AF122="N/A",NOT(ISNUMBER($AF122))),"",IF($AG122="Hábiles",WORKDAY(INT($E122),$AF122,Config!$F$6:$F$39),INT($E122)+$AF122))</f>
        <v/>
      </c>
      <c r="AI109" s="30">
        <f>IF($E122="","",IF(LEFT(UPPER(TRIM($AA122)),8)="FELICITA","⭐ Felicitación",IF(NOT(ISNUMBER($E122)),"⚠ Revisar fecha",IF(UPPER(TRIM($AK122))="RESPONDIDA - CERRADA","✅ Cerrada",IF($AE122="","⚠ Falta entidad",IF($AH122="","⚠ Revisar término",IF(TODAY()&gt;$AH122,"🔴 Vencida",IF($AH122-TODAY()&lt;=Config!$B$12,"🟡 Próxima a vencer","🟢 En término"))))))))</f>
        <v/>
      </c>
      <c r="AJ109" s="42">
        <f>IF(OR($E122="",NOT(ISNUMBER($E122))),"",IF(ISNUMBER($AS122),MAX(0,INT($AS122)-INT($E122)),MAX(0,TODAY()-INT($E122))))</f>
        <v/>
      </c>
      <c r="AK109" s="30" t="n"/>
      <c r="AL109" s="30" t="n"/>
      <c r="AM109" s="30" t="n"/>
      <c r="AN109" s="39" t="n"/>
      <c r="AO109" s="30" t="n"/>
      <c r="AP109" s="30" t="n"/>
      <c r="AQ109" s="39" t="n"/>
      <c r="AR109" s="30" t="n"/>
      <c r="AS109" s="39" t="n"/>
      <c r="AT109" s="30">
        <f>IF(OR($AS122="",NOT(ISNUMBER($AS122)),$AH122=""),"",IF(INT($AS122)&lt;=$AH122,"A tiempo","Fuera de término"))</f>
        <v/>
      </c>
      <c r="AU109" s="40" t="n"/>
      <c r="AV109" s="40" t="n"/>
      <c r="AW109" s="40" t="n"/>
      <c r="AX109" s="40" t="n"/>
      <c r="AY109" s="30" t="n"/>
      <c r="AZ109" s="30" t="n"/>
      <c r="BA109" s="30" t="n"/>
    </row>
    <row r="110" ht="15.75" customHeight="1" s="57">
      <c r="A110" s="29" t="n"/>
      <c r="B110" s="30" t="n"/>
      <c r="C110" s="39" t="n"/>
      <c r="D110" s="39" t="n"/>
      <c r="E110" s="39" t="n"/>
      <c r="F110" s="40" t="n"/>
      <c r="G110" s="30" t="n"/>
      <c r="H110" s="30" t="n"/>
      <c r="I110" s="30" t="n"/>
      <c r="J110" s="30" t="n"/>
      <c r="K110" s="30" t="n"/>
      <c r="L110" s="30" t="n"/>
      <c r="M110" s="30" t="n"/>
      <c r="N110" s="30" t="n"/>
      <c r="O110" s="30" t="n"/>
      <c r="P110" s="30" t="n"/>
      <c r="Q110" s="30" t="n"/>
      <c r="R110" s="30" t="n"/>
      <c r="S110" s="30" t="n"/>
      <c r="T110" s="30" t="n"/>
      <c r="U110" s="30" t="n"/>
      <c r="V110" s="30" t="n"/>
      <c r="W110" s="30" t="n"/>
      <c r="X110" s="30" t="n"/>
      <c r="Y110" s="30" t="n"/>
      <c r="Z110" s="30" t="n"/>
      <c r="AA110" s="30" t="n"/>
      <c r="AB110" s="30" t="n"/>
      <c r="AC110" s="30" t="n"/>
      <c r="AD110" s="41" t="n"/>
      <c r="AE110" s="30" t="n"/>
      <c r="AF110" s="42">
        <f>IF($AA123="","",IF(LEFT(UPPER(TRIM($AA123)),8)="FELICITA","N/A",IF($AE123="","",IFERROR(VLOOKUP(UPPER(TRIM($AE123)),Config!$A$6:$D$8,2,FALSE),IFERROR(VLOOKUP(IF(LEFT(UPPER(TRIM($AE123)),5)="SUPER","SUPER SALUD",IF(LEFT(UPPER(TRIM($AE123)),8)="SECRETAR","SECRETARIA DE SALUD",IF(LEFT(UPPER(TRIM($AE123)),4)="SEDE","SEDE",UPPER(TRIM($AE123))))),Config!$A$6:$D$8,2,FALSE),"⚠")))))</f>
        <v/>
      </c>
      <c r="AG110" s="30">
        <f>IF($AA123="","",IF(LEFT(UPPER(TRIM($AA123)),8)="FELICITA","N/A",IF($AE123="","",IFERROR(VLOOKUP(UPPER(TRIM($AE123)),Config!$A$6:$D$8,3,FALSE),IFERROR(VLOOKUP(IF(LEFT(UPPER(TRIM($AE123)),5)="SUPER","SUPER SALUD",IF(LEFT(UPPER(TRIM($AE123)),8)="SECRETAR","SECRETARIA DE SALUD",IF(LEFT(UPPER(TRIM($AE123)),4)="SEDE","SEDE",UPPER(TRIM($AE123))))),Config!$A$6:$D$8,3,FALSE),"")))))</f>
        <v/>
      </c>
      <c r="AH110" s="39">
        <f>IF(OR($E123="",NOT(ISNUMBER($E123)),$AF123="",$AF123="N/A",NOT(ISNUMBER($AF123))),"",IF($AG123="Hábiles",WORKDAY(INT($E123),$AF123,Config!$F$6:$F$39),INT($E123)+$AF123))</f>
        <v/>
      </c>
      <c r="AI110" s="30">
        <f>IF($E123="","",IF(LEFT(UPPER(TRIM($AA123)),8)="FELICITA","⭐ Felicitación",IF(NOT(ISNUMBER($E123)),"⚠ Revisar fecha",IF(UPPER(TRIM($AK123))="RESPONDIDA - CERRADA","✅ Cerrada",IF($AE123="","⚠ Falta entidad",IF($AH123="","⚠ Revisar término",IF(TODAY()&gt;$AH123,"🔴 Vencida",IF($AH123-TODAY()&lt;=Config!$B$12,"🟡 Próxima a vencer","🟢 En término"))))))))</f>
        <v/>
      </c>
      <c r="AJ110" s="42">
        <f>IF(OR($E123="",NOT(ISNUMBER($E123))),"",IF(ISNUMBER($AS123),MAX(0,INT($AS123)-INT($E123)),MAX(0,TODAY()-INT($E123))))</f>
        <v/>
      </c>
      <c r="AK110" s="30" t="n"/>
      <c r="AL110" s="30" t="n"/>
      <c r="AM110" s="30" t="n"/>
      <c r="AN110" s="39" t="n"/>
      <c r="AO110" s="30" t="n"/>
      <c r="AP110" s="30" t="n"/>
      <c r="AQ110" s="39" t="n"/>
      <c r="AR110" s="30" t="n"/>
      <c r="AS110" s="39" t="n"/>
      <c r="AT110" s="30">
        <f>IF(OR($AS123="",NOT(ISNUMBER($AS123)),$AH123=""),"",IF(INT($AS123)&lt;=$AH123,"A tiempo","Fuera de término"))</f>
        <v/>
      </c>
      <c r="AU110" s="40" t="n"/>
      <c r="AV110" s="40" t="n"/>
      <c r="AW110" s="40" t="n"/>
      <c r="AX110" s="40" t="n"/>
      <c r="AY110" s="30" t="n"/>
      <c r="AZ110" s="30" t="n"/>
      <c r="BA110" s="30" t="n"/>
    </row>
    <row r="111" ht="15.75" customHeight="1" s="57">
      <c r="A111" s="29" t="n"/>
      <c r="B111" s="30" t="n"/>
      <c r="C111" s="39" t="n"/>
      <c r="D111" s="39" t="n"/>
      <c r="E111" s="39" t="n"/>
      <c r="F111" s="40" t="n"/>
      <c r="G111" s="30" t="n"/>
      <c r="H111" s="30" t="n"/>
      <c r="I111" s="30" t="n"/>
      <c r="J111" s="30" t="n"/>
      <c r="K111" s="30" t="n"/>
      <c r="L111" s="30" t="n"/>
      <c r="M111" s="30" t="n"/>
      <c r="N111" s="30" t="n"/>
      <c r="O111" s="30" t="n"/>
      <c r="P111" s="30" t="n"/>
      <c r="Q111" s="30" t="n"/>
      <c r="R111" s="30" t="n"/>
      <c r="S111" s="30" t="n"/>
      <c r="T111" s="30" t="n"/>
      <c r="U111" s="30" t="n"/>
      <c r="V111" s="30" t="n"/>
      <c r="W111" s="30" t="n"/>
      <c r="X111" s="30" t="n"/>
      <c r="Y111" s="30" t="n"/>
      <c r="Z111" s="30" t="n"/>
      <c r="AA111" s="30" t="n"/>
      <c r="AB111" s="30" t="n"/>
      <c r="AC111" s="30" t="n"/>
      <c r="AD111" s="41" t="n"/>
      <c r="AE111" s="30" t="n"/>
      <c r="AF111" s="42">
        <f>IF($AA124="","",IF(LEFT(UPPER(TRIM($AA124)),8)="FELICITA","N/A",IF($AE124="","",IFERROR(VLOOKUP(UPPER(TRIM($AE124)),Config!$A$6:$D$8,2,FALSE),IFERROR(VLOOKUP(IF(LEFT(UPPER(TRIM($AE124)),5)="SUPER","SUPER SALUD",IF(LEFT(UPPER(TRIM($AE124)),8)="SECRETAR","SECRETARIA DE SALUD",IF(LEFT(UPPER(TRIM($AE124)),4)="SEDE","SEDE",UPPER(TRIM($AE124))))),Config!$A$6:$D$8,2,FALSE),"⚠")))))</f>
        <v/>
      </c>
      <c r="AG111" s="30">
        <f>IF($AA124="","",IF(LEFT(UPPER(TRIM($AA124)),8)="FELICITA","N/A",IF($AE124="","",IFERROR(VLOOKUP(UPPER(TRIM($AE124)),Config!$A$6:$D$8,3,FALSE),IFERROR(VLOOKUP(IF(LEFT(UPPER(TRIM($AE124)),5)="SUPER","SUPER SALUD",IF(LEFT(UPPER(TRIM($AE124)),8)="SECRETAR","SECRETARIA DE SALUD",IF(LEFT(UPPER(TRIM($AE124)),4)="SEDE","SEDE",UPPER(TRIM($AE124))))),Config!$A$6:$D$8,3,FALSE),"")))))</f>
        <v/>
      </c>
      <c r="AH111" s="39">
        <f>IF(OR($E124="",NOT(ISNUMBER($E124)),$AF124="",$AF124="N/A",NOT(ISNUMBER($AF124))),"",IF($AG124="Hábiles",WORKDAY(INT($E124),$AF124,Config!$F$6:$F$39),INT($E124)+$AF124))</f>
        <v/>
      </c>
      <c r="AI111" s="30">
        <f>IF($E124="","",IF(LEFT(UPPER(TRIM($AA124)),8)="FELICITA","⭐ Felicitación",IF(NOT(ISNUMBER($E124)),"⚠ Revisar fecha",IF(UPPER(TRIM($AK124))="RESPONDIDA - CERRADA","✅ Cerrada",IF($AE124="","⚠ Falta entidad",IF($AH124="","⚠ Revisar término",IF(TODAY()&gt;$AH124,"🔴 Vencida",IF($AH124-TODAY()&lt;=Config!$B$12,"🟡 Próxima a vencer","🟢 En término"))))))))</f>
        <v/>
      </c>
      <c r="AJ111" s="42">
        <f>IF(OR($E124="",NOT(ISNUMBER($E124))),"",IF(ISNUMBER($AS124),MAX(0,INT($AS124)-INT($E124)),MAX(0,TODAY()-INT($E124))))</f>
        <v/>
      </c>
      <c r="AK111" s="30" t="n"/>
      <c r="AL111" s="30" t="n"/>
      <c r="AM111" s="30" t="n"/>
      <c r="AN111" s="39" t="n"/>
      <c r="AO111" s="30" t="n"/>
      <c r="AP111" s="30" t="n"/>
      <c r="AQ111" s="39" t="n"/>
      <c r="AR111" s="30" t="n"/>
      <c r="AS111" s="39" t="n"/>
      <c r="AT111" s="30">
        <f>IF(OR($AS124="",NOT(ISNUMBER($AS124)),$AH124=""),"",IF(INT($AS124)&lt;=$AH124,"A tiempo","Fuera de término"))</f>
        <v/>
      </c>
      <c r="AU111" s="40" t="n"/>
      <c r="AV111" s="40" t="n"/>
      <c r="AW111" s="40" t="n"/>
      <c r="AX111" s="40" t="n"/>
      <c r="AY111" s="30" t="n"/>
      <c r="AZ111" s="30" t="n"/>
      <c r="BA111" s="30" t="n"/>
    </row>
    <row r="112" ht="15.75" customHeight="1" s="57">
      <c r="A112" s="29" t="n"/>
      <c r="B112" s="30" t="n"/>
      <c r="C112" s="39" t="n"/>
      <c r="D112" s="39" t="n"/>
      <c r="E112" s="39" t="n"/>
      <c r="F112" s="40" t="n"/>
      <c r="G112" s="30" t="n"/>
      <c r="H112" s="30" t="n"/>
      <c r="I112" s="30" t="n"/>
      <c r="J112" s="30" t="n"/>
      <c r="K112" s="30" t="n"/>
      <c r="L112" s="30" t="n"/>
      <c r="M112" s="30" t="n"/>
      <c r="N112" s="30" t="n"/>
      <c r="O112" s="30" t="n"/>
      <c r="P112" s="30" t="n"/>
      <c r="Q112" s="30" t="n"/>
      <c r="R112" s="30" t="n"/>
      <c r="S112" s="30" t="n"/>
      <c r="T112" s="30" t="n"/>
      <c r="U112" s="30" t="n"/>
      <c r="V112" s="30" t="n"/>
      <c r="W112" s="30" t="n"/>
      <c r="X112" s="30" t="n"/>
      <c r="Y112" s="30" t="n"/>
      <c r="Z112" s="30" t="n"/>
      <c r="AA112" s="30" t="n"/>
      <c r="AB112" s="30" t="n"/>
      <c r="AC112" s="30" t="n"/>
      <c r="AD112" s="41" t="n"/>
      <c r="AE112" s="30" t="n"/>
      <c r="AF112" s="42">
        <f>IF($AA125="","",IF(LEFT(UPPER(TRIM($AA125)),8)="FELICITA","N/A",IF($AE125="","",IFERROR(VLOOKUP(UPPER(TRIM($AE125)),Config!$A$6:$D$8,2,FALSE),IFERROR(VLOOKUP(IF(LEFT(UPPER(TRIM($AE125)),5)="SUPER","SUPER SALUD",IF(LEFT(UPPER(TRIM($AE125)),8)="SECRETAR","SECRETARIA DE SALUD",IF(LEFT(UPPER(TRIM($AE125)),4)="SEDE","SEDE",UPPER(TRIM($AE125))))),Config!$A$6:$D$8,2,FALSE),"⚠")))))</f>
        <v/>
      </c>
      <c r="AG112" s="30">
        <f>IF($AA125="","",IF(LEFT(UPPER(TRIM($AA125)),8)="FELICITA","N/A",IF($AE125="","",IFERROR(VLOOKUP(UPPER(TRIM($AE125)),Config!$A$6:$D$8,3,FALSE),IFERROR(VLOOKUP(IF(LEFT(UPPER(TRIM($AE125)),5)="SUPER","SUPER SALUD",IF(LEFT(UPPER(TRIM($AE125)),8)="SECRETAR","SECRETARIA DE SALUD",IF(LEFT(UPPER(TRIM($AE125)),4)="SEDE","SEDE",UPPER(TRIM($AE125))))),Config!$A$6:$D$8,3,FALSE),"")))))</f>
        <v/>
      </c>
      <c r="AH112" s="39">
        <f>IF(OR($E125="",NOT(ISNUMBER($E125)),$AF125="",$AF125="N/A",NOT(ISNUMBER($AF125))),"",IF($AG125="Hábiles",WORKDAY(INT($E125),$AF125,Config!$F$6:$F$39),INT($E125)+$AF125))</f>
        <v/>
      </c>
      <c r="AI112" s="30">
        <f>IF($E125="","",IF(LEFT(UPPER(TRIM($AA125)),8)="FELICITA","⭐ Felicitación",IF(NOT(ISNUMBER($E125)),"⚠ Revisar fecha",IF(UPPER(TRIM($AK125))="RESPONDIDA - CERRADA","✅ Cerrada",IF($AE125="","⚠ Falta entidad",IF($AH125="","⚠ Revisar término",IF(TODAY()&gt;$AH125,"🔴 Vencida",IF($AH125-TODAY()&lt;=Config!$B$12,"🟡 Próxima a vencer","🟢 En término"))))))))</f>
        <v/>
      </c>
      <c r="AJ112" s="42">
        <f>IF(OR($E125="",NOT(ISNUMBER($E125))),"",IF(ISNUMBER($AS125),MAX(0,INT($AS125)-INT($E125)),MAX(0,TODAY()-INT($E125))))</f>
        <v/>
      </c>
      <c r="AK112" s="30" t="n"/>
      <c r="AL112" s="30" t="n"/>
      <c r="AM112" s="30" t="n"/>
      <c r="AN112" s="39" t="n"/>
      <c r="AO112" s="30" t="n"/>
      <c r="AP112" s="30" t="n"/>
      <c r="AQ112" s="39" t="n"/>
      <c r="AR112" s="30" t="n"/>
      <c r="AS112" s="39" t="n"/>
      <c r="AT112" s="30">
        <f>IF(OR($AS125="",NOT(ISNUMBER($AS125)),$AH125=""),"",IF(INT($AS125)&lt;=$AH125,"A tiempo","Fuera de término"))</f>
        <v/>
      </c>
      <c r="AU112" s="40" t="n"/>
      <c r="AV112" s="40" t="n"/>
      <c r="AW112" s="40" t="n"/>
      <c r="AX112" s="40" t="n"/>
      <c r="AY112" s="30" t="n"/>
      <c r="AZ112" s="30" t="n"/>
      <c r="BA112" s="30" t="n"/>
    </row>
    <row r="113" ht="15.75" customHeight="1" s="57">
      <c r="A113" s="29" t="n"/>
      <c r="B113" s="30" t="n"/>
      <c r="C113" s="39" t="n"/>
      <c r="D113" s="39" t="n"/>
      <c r="E113" s="39" t="n"/>
      <c r="F113" s="40" t="n"/>
      <c r="G113" s="30" t="n"/>
      <c r="H113" s="30" t="n"/>
      <c r="I113" s="30" t="n"/>
      <c r="J113" s="30" t="n"/>
      <c r="K113" s="30" t="n"/>
      <c r="L113" s="30" t="n"/>
      <c r="M113" s="30" t="n"/>
      <c r="N113" s="30" t="n"/>
      <c r="O113" s="30" t="n"/>
      <c r="P113" s="30" t="n"/>
      <c r="Q113" s="30" t="n"/>
      <c r="R113" s="30" t="n"/>
      <c r="S113" s="30" t="n"/>
      <c r="T113" s="30" t="n"/>
      <c r="U113" s="30" t="n"/>
      <c r="V113" s="30" t="n"/>
      <c r="W113" s="30" t="n"/>
      <c r="X113" s="30" t="n"/>
      <c r="Y113" s="30" t="n"/>
      <c r="Z113" s="30" t="n"/>
      <c r="AA113" s="30" t="n"/>
      <c r="AB113" s="30" t="n"/>
      <c r="AC113" s="30" t="n"/>
      <c r="AD113" s="41" t="n"/>
      <c r="AE113" s="30" t="n"/>
      <c r="AF113" s="42">
        <f>IF($AA126="","",IF(LEFT(UPPER(TRIM($AA126)),8)="FELICITA","N/A",IF($AE126="","",IFERROR(VLOOKUP(UPPER(TRIM($AE126)),Config!$A$6:$D$8,2,FALSE),IFERROR(VLOOKUP(IF(LEFT(UPPER(TRIM($AE126)),5)="SUPER","SUPER SALUD",IF(LEFT(UPPER(TRIM($AE126)),8)="SECRETAR","SECRETARIA DE SALUD",IF(LEFT(UPPER(TRIM($AE126)),4)="SEDE","SEDE",UPPER(TRIM($AE126))))),Config!$A$6:$D$8,2,FALSE),"⚠")))))</f>
        <v/>
      </c>
      <c r="AG113" s="30">
        <f>IF($AA126="","",IF(LEFT(UPPER(TRIM($AA126)),8)="FELICITA","N/A",IF($AE126="","",IFERROR(VLOOKUP(UPPER(TRIM($AE126)),Config!$A$6:$D$8,3,FALSE),IFERROR(VLOOKUP(IF(LEFT(UPPER(TRIM($AE126)),5)="SUPER","SUPER SALUD",IF(LEFT(UPPER(TRIM($AE126)),8)="SECRETAR","SECRETARIA DE SALUD",IF(LEFT(UPPER(TRIM($AE126)),4)="SEDE","SEDE",UPPER(TRIM($AE126))))),Config!$A$6:$D$8,3,FALSE),"")))))</f>
        <v/>
      </c>
      <c r="AH113" s="39">
        <f>IF(OR($E126="",NOT(ISNUMBER($E126)),$AF126="",$AF126="N/A",NOT(ISNUMBER($AF126))),"",IF($AG126="Hábiles",WORKDAY(INT($E126),$AF126,Config!$F$6:$F$39),INT($E126)+$AF126))</f>
        <v/>
      </c>
      <c r="AI113" s="30">
        <f>IF($E126="","",IF(LEFT(UPPER(TRIM($AA126)),8)="FELICITA","⭐ Felicitación",IF(NOT(ISNUMBER($E126)),"⚠ Revisar fecha",IF(UPPER(TRIM($AK126))="RESPONDIDA - CERRADA","✅ Cerrada",IF($AE126="","⚠ Falta entidad",IF($AH126="","⚠ Revisar término",IF(TODAY()&gt;$AH126,"🔴 Vencida",IF($AH126-TODAY()&lt;=Config!$B$12,"🟡 Próxima a vencer","🟢 En término"))))))))</f>
        <v/>
      </c>
      <c r="AJ113" s="42">
        <f>IF(OR($E126="",NOT(ISNUMBER($E126))),"",IF(ISNUMBER($AS126),MAX(0,INT($AS126)-INT($E126)),MAX(0,TODAY()-INT($E126))))</f>
        <v/>
      </c>
      <c r="AK113" s="30" t="n"/>
      <c r="AL113" s="30" t="n"/>
      <c r="AM113" s="30" t="n"/>
      <c r="AN113" s="39" t="n"/>
      <c r="AO113" s="30" t="n"/>
      <c r="AP113" s="30" t="n"/>
      <c r="AQ113" s="39" t="n"/>
      <c r="AR113" s="30" t="n"/>
      <c r="AS113" s="39" t="n"/>
      <c r="AT113" s="30">
        <f>IF(OR($AS126="",NOT(ISNUMBER($AS126)),$AH126=""),"",IF(INT($AS126)&lt;=$AH126,"A tiempo","Fuera de término"))</f>
        <v/>
      </c>
      <c r="AU113" s="40" t="n"/>
      <c r="AV113" s="40" t="n"/>
      <c r="AW113" s="40" t="n"/>
      <c r="AX113" s="40" t="n"/>
      <c r="AY113" s="30" t="n"/>
      <c r="AZ113" s="30" t="n"/>
      <c r="BA113" s="30" t="n"/>
    </row>
    <row r="114" ht="15.75" customHeight="1" s="57">
      <c r="A114" s="29" t="n"/>
      <c r="B114" s="30" t="n"/>
      <c r="C114" s="39" t="n"/>
      <c r="D114" s="39" t="n"/>
      <c r="E114" s="39" t="n"/>
      <c r="F114" s="40" t="n"/>
      <c r="G114" s="30" t="n"/>
      <c r="H114" s="30" t="n"/>
      <c r="I114" s="30" t="n"/>
      <c r="J114" s="30" t="n"/>
      <c r="K114" s="30" t="n"/>
      <c r="L114" s="30" t="n"/>
      <c r="M114" s="30" t="n"/>
      <c r="N114" s="30" t="n"/>
      <c r="O114" s="30" t="n"/>
      <c r="P114" s="30" t="n"/>
      <c r="Q114" s="30" t="n"/>
      <c r="R114" s="30" t="n"/>
      <c r="S114" s="30" t="n"/>
      <c r="T114" s="30" t="n"/>
      <c r="U114" s="30" t="n"/>
      <c r="V114" s="30" t="n"/>
      <c r="W114" s="30" t="n"/>
      <c r="X114" s="30" t="n"/>
      <c r="Y114" s="30" t="n"/>
      <c r="Z114" s="30" t="n"/>
      <c r="AA114" s="30" t="n"/>
      <c r="AB114" s="30" t="n"/>
      <c r="AC114" s="30" t="n"/>
      <c r="AD114" s="41" t="n"/>
      <c r="AE114" s="30" t="n"/>
      <c r="AF114" s="42">
        <f>IF($AA127="","",IF(LEFT(UPPER(TRIM($AA127)),8)="FELICITA","N/A",IF($AE127="","",IFERROR(VLOOKUP(UPPER(TRIM($AE127)),Config!$A$6:$D$8,2,FALSE),IFERROR(VLOOKUP(IF(LEFT(UPPER(TRIM($AE127)),5)="SUPER","SUPER SALUD",IF(LEFT(UPPER(TRIM($AE127)),8)="SECRETAR","SECRETARIA DE SALUD",IF(LEFT(UPPER(TRIM($AE127)),4)="SEDE","SEDE",UPPER(TRIM($AE127))))),Config!$A$6:$D$8,2,FALSE),"⚠")))))</f>
        <v/>
      </c>
      <c r="AG114" s="30">
        <f>IF($AA127="","",IF(LEFT(UPPER(TRIM($AA127)),8)="FELICITA","N/A",IF($AE127="","",IFERROR(VLOOKUP(UPPER(TRIM($AE127)),Config!$A$6:$D$8,3,FALSE),IFERROR(VLOOKUP(IF(LEFT(UPPER(TRIM($AE127)),5)="SUPER","SUPER SALUD",IF(LEFT(UPPER(TRIM($AE127)),8)="SECRETAR","SECRETARIA DE SALUD",IF(LEFT(UPPER(TRIM($AE127)),4)="SEDE","SEDE",UPPER(TRIM($AE127))))),Config!$A$6:$D$8,3,FALSE),"")))))</f>
        <v/>
      </c>
      <c r="AH114" s="39">
        <f>IF(OR($E127="",NOT(ISNUMBER($E127)),$AF127="",$AF127="N/A",NOT(ISNUMBER($AF127))),"",IF($AG127="Hábiles",WORKDAY(INT($E127),$AF127,Config!$F$6:$F$39),INT($E127)+$AF127))</f>
        <v/>
      </c>
      <c r="AI114" s="30">
        <f>IF($E127="","",IF(LEFT(UPPER(TRIM($AA127)),8)="FELICITA","⭐ Felicitación",IF(NOT(ISNUMBER($E127)),"⚠ Revisar fecha",IF(UPPER(TRIM($AK127))="RESPONDIDA - CERRADA","✅ Cerrada",IF($AE127="","⚠ Falta entidad",IF($AH127="","⚠ Revisar término",IF(TODAY()&gt;$AH127,"🔴 Vencida",IF($AH127-TODAY()&lt;=Config!$B$12,"🟡 Próxima a vencer","🟢 En término"))))))))</f>
        <v/>
      </c>
      <c r="AJ114" s="42">
        <f>IF(OR($E127="",NOT(ISNUMBER($E127))),"",IF(ISNUMBER($AS127),MAX(0,INT($AS127)-INT($E127)),MAX(0,TODAY()-INT($E127))))</f>
        <v/>
      </c>
      <c r="AK114" s="30" t="n"/>
      <c r="AL114" s="30" t="n"/>
      <c r="AM114" s="30" t="n"/>
      <c r="AN114" s="39" t="n"/>
      <c r="AO114" s="30" t="n"/>
      <c r="AP114" s="30" t="n"/>
      <c r="AQ114" s="39" t="n"/>
      <c r="AR114" s="30" t="n"/>
      <c r="AS114" s="39" t="n"/>
      <c r="AT114" s="30">
        <f>IF(OR($AS127="",NOT(ISNUMBER($AS127)),$AH127=""),"",IF(INT($AS127)&lt;=$AH127,"A tiempo","Fuera de término"))</f>
        <v/>
      </c>
      <c r="AU114" s="40" t="n"/>
      <c r="AV114" s="40" t="n"/>
      <c r="AW114" s="40" t="n"/>
      <c r="AX114" s="40" t="n"/>
      <c r="AY114" s="30" t="n"/>
      <c r="AZ114" s="30" t="n"/>
      <c r="BA114" s="30" t="n"/>
    </row>
    <row r="115" ht="15.75" customHeight="1" s="57">
      <c r="A115" s="29" t="n"/>
      <c r="B115" s="30" t="n"/>
      <c r="C115" s="39" t="n"/>
      <c r="D115" s="39" t="n"/>
      <c r="E115" s="39" t="n"/>
      <c r="F115" s="40" t="n"/>
      <c r="G115" s="30" t="n"/>
      <c r="H115" s="30" t="n"/>
      <c r="I115" s="30" t="n"/>
      <c r="J115" s="30" t="n"/>
      <c r="K115" s="30" t="n"/>
      <c r="L115" s="30" t="n"/>
      <c r="M115" s="30" t="n"/>
      <c r="N115" s="30" t="n"/>
      <c r="O115" s="30" t="n"/>
      <c r="P115" s="30" t="n"/>
      <c r="Q115" s="30" t="n"/>
      <c r="R115" s="30" t="n"/>
      <c r="S115" s="30" t="n"/>
      <c r="T115" s="30" t="n"/>
      <c r="U115" s="30" t="n"/>
      <c r="V115" s="30" t="n"/>
      <c r="W115" s="30" t="n"/>
      <c r="X115" s="30" t="n"/>
      <c r="Y115" s="30" t="n"/>
      <c r="Z115" s="30" t="n"/>
      <c r="AA115" s="30" t="n"/>
      <c r="AB115" s="30" t="n"/>
      <c r="AC115" s="30" t="n"/>
      <c r="AD115" s="41" t="n"/>
      <c r="AE115" s="30" t="n"/>
      <c r="AF115" s="42">
        <f>IF($AA128="","",IF(LEFT(UPPER(TRIM($AA128)),8)="FELICITA","N/A",IF($AE128="","",IFERROR(VLOOKUP(UPPER(TRIM($AE128)),Config!$A$6:$D$8,2,FALSE),IFERROR(VLOOKUP(IF(LEFT(UPPER(TRIM($AE128)),5)="SUPER","SUPER SALUD",IF(LEFT(UPPER(TRIM($AE128)),8)="SECRETAR","SECRETARIA DE SALUD",IF(LEFT(UPPER(TRIM($AE128)),4)="SEDE","SEDE",UPPER(TRIM($AE128))))),Config!$A$6:$D$8,2,FALSE),"⚠")))))</f>
        <v/>
      </c>
      <c r="AG115" s="30">
        <f>IF($AA128="","",IF(LEFT(UPPER(TRIM($AA128)),8)="FELICITA","N/A",IF($AE128="","",IFERROR(VLOOKUP(UPPER(TRIM($AE128)),Config!$A$6:$D$8,3,FALSE),IFERROR(VLOOKUP(IF(LEFT(UPPER(TRIM($AE128)),5)="SUPER","SUPER SALUD",IF(LEFT(UPPER(TRIM($AE128)),8)="SECRETAR","SECRETARIA DE SALUD",IF(LEFT(UPPER(TRIM($AE128)),4)="SEDE","SEDE",UPPER(TRIM($AE128))))),Config!$A$6:$D$8,3,FALSE),"")))))</f>
        <v/>
      </c>
      <c r="AH115" s="39">
        <f>IF(OR($E128="",NOT(ISNUMBER($E128)),$AF128="",$AF128="N/A",NOT(ISNUMBER($AF128))),"",IF($AG128="Hábiles",WORKDAY(INT($E128),$AF128,Config!$F$6:$F$39),INT($E128)+$AF128))</f>
        <v/>
      </c>
      <c r="AI115" s="30">
        <f>IF($E128="","",IF(LEFT(UPPER(TRIM($AA128)),8)="FELICITA","⭐ Felicitación",IF(NOT(ISNUMBER($E128)),"⚠ Revisar fecha",IF(UPPER(TRIM($AK128))="RESPONDIDA - CERRADA","✅ Cerrada",IF($AE128="","⚠ Falta entidad",IF($AH128="","⚠ Revisar término",IF(TODAY()&gt;$AH128,"🔴 Vencida",IF($AH128-TODAY()&lt;=Config!$B$12,"🟡 Próxima a vencer","🟢 En término"))))))))</f>
        <v/>
      </c>
      <c r="AJ115" s="42">
        <f>IF(OR($E128="",NOT(ISNUMBER($E128))),"",IF(ISNUMBER($AS128),MAX(0,INT($AS128)-INT($E128)),MAX(0,TODAY()-INT($E128))))</f>
        <v/>
      </c>
      <c r="AK115" s="30" t="n"/>
      <c r="AL115" s="30" t="n"/>
      <c r="AM115" s="30" t="n"/>
      <c r="AN115" s="39" t="n"/>
      <c r="AO115" s="30" t="n"/>
      <c r="AP115" s="30" t="n"/>
      <c r="AQ115" s="39" t="n"/>
      <c r="AR115" s="30" t="n"/>
      <c r="AS115" s="39" t="n"/>
      <c r="AT115" s="30">
        <f>IF(OR($AS128="",NOT(ISNUMBER($AS128)),$AH128=""),"",IF(INT($AS128)&lt;=$AH128,"A tiempo","Fuera de término"))</f>
        <v/>
      </c>
      <c r="AU115" s="40" t="n"/>
      <c r="AV115" s="40" t="n"/>
      <c r="AW115" s="40" t="n"/>
      <c r="AX115" s="40" t="n"/>
      <c r="AY115" s="30" t="n"/>
      <c r="AZ115" s="30" t="n"/>
      <c r="BA115" s="30" t="n"/>
    </row>
    <row r="116" ht="15.75" customHeight="1" s="57">
      <c r="A116" s="29" t="n"/>
      <c r="B116" s="30" t="n"/>
      <c r="C116" s="39" t="n"/>
      <c r="D116" s="39" t="n"/>
      <c r="E116" s="39" t="n"/>
      <c r="F116" s="40" t="n"/>
      <c r="G116" s="30" t="n"/>
      <c r="H116" s="30" t="n"/>
      <c r="I116" s="30" t="n"/>
      <c r="J116" s="30" t="n"/>
      <c r="K116" s="30" t="n"/>
      <c r="L116" s="30" t="n"/>
      <c r="M116" s="30" t="n"/>
      <c r="N116" s="30" t="n"/>
      <c r="O116" s="30" t="n"/>
      <c r="P116" s="30" t="n"/>
      <c r="Q116" s="30" t="n"/>
      <c r="R116" s="30" t="n"/>
      <c r="S116" s="30" t="n"/>
      <c r="T116" s="30" t="n"/>
      <c r="U116" s="30" t="n"/>
      <c r="V116" s="30" t="n"/>
      <c r="W116" s="30" t="n"/>
      <c r="X116" s="30" t="n"/>
      <c r="Y116" s="30" t="n"/>
      <c r="Z116" s="30" t="n"/>
      <c r="AA116" s="30" t="n"/>
      <c r="AB116" s="30" t="n"/>
      <c r="AC116" s="30" t="n"/>
      <c r="AD116" s="41" t="n"/>
      <c r="AE116" s="30" t="n"/>
      <c r="AF116" s="42">
        <f>IF($AA129="","",IF(LEFT(UPPER(TRIM($AA129)),8)="FELICITA","N/A",IF($AE129="","",IFERROR(VLOOKUP(UPPER(TRIM($AE129)),Config!$A$6:$D$8,2,FALSE),IFERROR(VLOOKUP(IF(LEFT(UPPER(TRIM($AE129)),5)="SUPER","SUPER SALUD",IF(LEFT(UPPER(TRIM($AE129)),8)="SECRETAR","SECRETARIA DE SALUD",IF(LEFT(UPPER(TRIM($AE129)),4)="SEDE","SEDE",UPPER(TRIM($AE129))))),Config!$A$6:$D$8,2,FALSE),"⚠")))))</f>
        <v/>
      </c>
      <c r="AG116" s="30">
        <f>IF($AA129="","",IF(LEFT(UPPER(TRIM($AA129)),8)="FELICITA","N/A",IF($AE129="","",IFERROR(VLOOKUP(UPPER(TRIM($AE129)),Config!$A$6:$D$8,3,FALSE),IFERROR(VLOOKUP(IF(LEFT(UPPER(TRIM($AE129)),5)="SUPER","SUPER SALUD",IF(LEFT(UPPER(TRIM($AE129)),8)="SECRETAR","SECRETARIA DE SALUD",IF(LEFT(UPPER(TRIM($AE129)),4)="SEDE","SEDE",UPPER(TRIM($AE129))))),Config!$A$6:$D$8,3,FALSE),"")))))</f>
        <v/>
      </c>
      <c r="AH116" s="39">
        <f>IF(OR($E129="",NOT(ISNUMBER($E129)),$AF129="",$AF129="N/A",NOT(ISNUMBER($AF129))),"",IF($AG129="Hábiles",WORKDAY(INT($E129),$AF129,Config!$F$6:$F$39),INT($E129)+$AF129))</f>
        <v/>
      </c>
      <c r="AI116" s="30">
        <f>IF($E129="","",IF(LEFT(UPPER(TRIM($AA129)),8)="FELICITA","⭐ Felicitación",IF(NOT(ISNUMBER($E129)),"⚠ Revisar fecha",IF(UPPER(TRIM($AK129))="RESPONDIDA - CERRADA","✅ Cerrada",IF($AE129="","⚠ Falta entidad",IF($AH129="","⚠ Revisar término",IF(TODAY()&gt;$AH129,"🔴 Vencida",IF($AH129-TODAY()&lt;=Config!$B$12,"🟡 Próxima a vencer","🟢 En término"))))))))</f>
        <v/>
      </c>
      <c r="AJ116" s="42">
        <f>IF(OR($E129="",NOT(ISNUMBER($E129))),"",IF(ISNUMBER($AS129),MAX(0,INT($AS129)-INT($E129)),MAX(0,TODAY()-INT($E129))))</f>
        <v/>
      </c>
      <c r="AK116" s="30" t="n"/>
      <c r="AL116" s="30" t="n"/>
      <c r="AM116" s="30" t="n"/>
      <c r="AN116" s="39" t="n"/>
      <c r="AO116" s="30" t="n"/>
      <c r="AP116" s="30" t="n"/>
      <c r="AQ116" s="39" t="n"/>
      <c r="AR116" s="30" t="n"/>
      <c r="AS116" s="39" t="n"/>
      <c r="AT116" s="30">
        <f>IF(OR($AS129="",NOT(ISNUMBER($AS129)),$AH129=""),"",IF(INT($AS129)&lt;=$AH129,"A tiempo","Fuera de término"))</f>
        <v/>
      </c>
      <c r="AU116" s="40" t="n"/>
      <c r="AV116" s="40" t="n"/>
      <c r="AW116" s="40" t="n"/>
      <c r="AX116" s="40" t="n"/>
      <c r="AY116" s="30" t="n"/>
      <c r="AZ116" s="30" t="n"/>
      <c r="BA116" s="30" t="n"/>
    </row>
    <row r="117" ht="15.75" customHeight="1" s="57">
      <c r="A117" s="29" t="n"/>
      <c r="B117" s="30" t="n"/>
      <c r="C117" s="39" t="n"/>
      <c r="D117" s="39" t="n"/>
      <c r="E117" s="39" t="n"/>
      <c r="F117" s="40" t="n"/>
      <c r="G117" s="30" t="n"/>
      <c r="H117" s="30" t="n"/>
      <c r="I117" s="30" t="n"/>
      <c r="J117" s="30" t="n"/>
      <c r="K117" s="30" t="n"/>
      <c r="L117" s="30" t="n"/>
      <c r="M117" s="30" t="n"/>
      <c r="N117" s="30" t="n"/>
      <c r="O117" s="30" t="n"/>
      <c r="P117" s="30" t="n"/>
      <c r="Q117" s="30" t="n"/>
      <c r="R117" s="30" t="n"/>
      <c r="S117" s="30" t="n"/>
      <c r="T117" s="30" t="n"/>
      <c r="U117" s="30" t="n"/>
      <c r="V117" s="30" t="n"/>
      <c r="W117" s="30" t="n"/>
      <c r="X117" s="30" t="n"/>
      <c r="Y117" s="30" t="n"/>
      <c r="Z117" s="30" t="n"/>
      <c r="AA117" s="30" t="n"/>
      <c r="AB117" s="30" t="n"/>
      <c r="AC117" s="30" t="n"/>
      <c r="AD117" s="41" t="n"/>
      <c r="AE117" s="30" t="n"/>
      <c r="AF117" s="42">
        <f>IF($AA130="","",IF(LEFT(UPPER(TRIM($AA130)),8)="FELICITA","N/A",IF($AE130="","",IFERROR(VLOOKUP(UPPER(TRIM($AE130)),Config!$A$6:$D$8,2,FALSE),IFERROR(VLOOKUP(IF(LEFT(UPPER(TRIM($AE130)),5)="SUPER","SUPER SALUD",IF(LEFT(UPPER(TRIM($AE130)),8)="SECRETAR","SECRETARIA DE SALUD",IF(LEFT(UPPER(TRIM($AE130)),4)="SEDE","SEDE",UPPER(TRIM($AE130))))),Config!$A$6:$D$8,2,FALSE),"⚠")))))</f>
        <v/>
      </c>
      <c r="AG117" s="30">
        <f>IF($AA130="","",IF(LEFT(UPPER(TRIM($AA130)),8)="FELICITA","N/A",IF($AE130="","",IFERROR(VLOOKUP(UPPER(TRIM($AE130)),Config!$A$6:$D$8,3,FALSE),IFERROR(VLOOKUP(IF(LEFT(UPPER(TRIM($AE130)),5)="SUPER","SUPER SALUD",IF(LEFT(UPPER(TRIM($AE130)),8)="SECRETAR","SECRETARIA DE SALUD",IF(LEFT(UPPER(TRIM($AE130)),4)="SEDE","SEDE",UPPER(TRIM($AE130))))),Config!$A$6:$D$8,3,FALSE),"")))))</f>
        <v/>
      </c>
      <c r="AH117" s="39">
        <f>IF(OR($E130="",NOT(ISNUMBER($E130)),$AF130="",$AF130="N/A",NOT(ISNUMBER($AF130))),"",IF($AG130="Hábiles",WORKDAY(INT($E130),$AF130,Config!$F$6:$F$39),INT($E130)+$AF130))</f>
        <v/>
      </c>
      <c r="AI117" s="30">
        <f>IF($E130="","",IF(LEFT(UPPER(TRIM($AA130)),8)="FELICITA","⭐ Felicitación",IF(NOT(ISNUMBER($E130)),"⚠ Revisar fecha",IF(UPPER(TRIM($AK130))="RESPONDIDA - CERRADA","✅ Cerrada",IF($AE130="","⚠ Falta entidad",IF($AH130="","⚠ Revisar término",IF(TODAY()&gt;$AH130,"🔴 Vencida",IF($AH130-TODAY()&lt;=Config!$B$12,"🟡 Próxima a vencer","🟢 En término"))))))))</f>
        <v/>
      </c>
      <c r="AJ117" s="42">
        <f>IF(OR($E130="",NOT(ISNUMBER($E130))),"",IF(ISNUMBER($AS130),MAX(0,INT($AS130)-INT($E130)),MAX(0,TODAY()-INT($E130))))</f>
        <v/>
      </c>
      <c r="AK117" s="30" t="n"/>
      <c r="AL117" s="30" t="n"/>
      <c r="AM117" s="30" t="n"/>
      <c r="AN117" s="39" t="n"/>
      <c r="AO117" s="30" t="n"/>
      <c r="AP117" s="30" t="n"/>
      <c r="AQ117" s="39" t="n"/>
      <c r="AR117" s="30" t="n"/>
      <c r="AS117" s="39" t="n"/>
      <c r="AT117" s="30">
        <f>IF(OR($AS130="",NOT(ISNUMBER($AS130)),$AH130=""),"",IF(INT($AS130)&lt;=$AH130,"A tiempo","Fuera de término"))</f>
        <v/>
      </c>
      <c r="AU117" s="40" t="n"/>
      <c r="AV117" s="40" t="n"/>
      <c r="AW117" s="40" t="n"/>
      <c r="AX117" s="40" t="n"/>
      <c r="AY117" s="30" t="n"/>
      <c r="AZ117" s="30" t="n"/>
      <c r="BA117" s="30" t="n"/>
    </row>
    <row r="118" ht="15.75" customHeight="1" s="57">
      <c r="A118" s="29" t="n"/>
      <c r="B118" s="30" t="n"/>
      <c r="C118" s="39" t="n"/>
      <c r="D118" s="39" t="n"/>
      <c r="E118" s="39" t="n"/>
      <c r="F118" s="40" t="n"/>
      <c r="G118" s="30" t="n"/>
      <c r="H118" s="30" t="n"/>
      <c r="I118" s="30" t="n"/>
      <c r="J118" s="30" t="n"/>
      <c r="K118" s="30" t="n"/>
      <c r="L118" s="30" t="n"/>
      <c r="M118" s="30" t="n"/>
      <c r="N118" s="30" t="n"/>
      <c r="O118" s="30" t="n"/>
      <c r="P118" s="30" t="n"/>
      <c r="Q118" s="30" t="n"/>
      <c r="R118" s="30" t="n"/>
      <c r="S118" s="30" t="n"/>
      <c r="T118" s="30" t="n"/>
      <c r="U118" s="30" t="n"/>
      <c r="V118" s="30" t="n"/>
      <c r="W118" s="30" t="n"/>
      <c r="X118" s="30" t="n"/>
      <c r="Y118" s="30" t="n"/>
      <c r="Z118" s="30" t="n"/>
      <c r="AA118" s="30" t="n"/>
      <c r="AB118" s="30" t="n"/>
      <c r="AC118" s="30" t="n"/>
      <c r="AD118" s="41" t="n"/>
      <c r="AE118" s="30" t="n"/>
      <c r="AF118" s="42">
        <f>IF($AA131="","",IF(LEFT(UPPER(TRIM($AA131)),8)="FELICITA","N/A",IF($AE131="","",IFERROR(VLOOKUP(UPPER(TRIM($AE131)),Config!$A$6:$D$8,2,FALSE),IFERROR(VLOOKUP(IF(LEFT(UPPER(TRIM($AE131)),5)="SUPER","SUPER SALUD",IF(LEFT(UPPER(TRIM($AE131)),8)="SECRETAR","SECRETARIA DE SALUD",IF(LEFT(UPPER(TRIM($AE131)),4)="SEDE","SEDE",UPPER(TRIM($AE131))))),Config!$A$6:$D$8,2,FALSE),"⚠")))))</f>
        <v/>
      </c>
      <c r="AG118" s="30">
        <f>IF($AA131="","",IF(LEFT(UPPER(TRIM($AA131)),8)="FELICITA","N/A",IF($AE131="","",IFERROR(VLOOKUP(UPPER(TRIM($AE131)),Config!$A$6:$D$8,3,FALSE),IFERROR(VLOOKUP(IF(LEFT(UPPER(TRIM($AE131)),5)="SUPER","SUPER SALUD",IF(LEFT(UPPER(TRIM($AE131)),8)="SECRETAR","SECRETARIA DE SALUD",IF(LEFT(UPPER(TRIM($AE131)),4)="SEDE","SEDE",UPPER(TRIM($AE131))))),Config!$A$6:$D$8,3,FALSE),"")))))</f>
        <v/>
      </c>
      <c r="AH118" s="39">
        <f>IF(OR($E131="",NOT(ISNUMBER($E131)),$AF131="",$AF131="N/A",NOT(ISNUMBER($AF131))),"",IF($AG131="Hábiles",WORKDAY(INT($E131),$AF131,Config!$F$6:$F$39),INT($E131)+$AF131))</f>
        <v/>
      </c>
      <c r="AI118" s="30">
        <f>IF($E131="","",IF(LEFT(UPPER(TRIM($AA131)),8)="FELICITA","⭐ Felicitación",IF(NOT(ISNUMBER($E131)),"⚠ Revisar fecha",IF(UPPER(TRIM($AK131))="RESPONDIDA - CERRADA","✅ Cerrada",IF($AE131="","⚠ Falta entidad",IF($AH131="","⚠ Revisar término",IF(TODAY()&gt;$AH131,"🔴 Vencida",IF($AH131-TODAY()&lt;=Config!$B$12,"🟡 Próxima a vencer","🟢 En término"))))))))</f>
        <v/>
      </c>
      <c r="AJ118" s="42">
        <f>IF(OR($E131="",NOT(ISNUMBER($E131))),"",IF(ISNUMBER($AS131),MAX(0,INT($AS131)-INT($E131)),MAX(0,TODAY()-INT($E131))))</f>
        <v/>
      </c>
      <c r="AK118" s="30" t="n"/>
      <c r="AL118" s="30" t="n"/>
      <c r="AM118" s="30" t="n"/>
      <c r="AN118" s="39" t="n"/>
      <c r="AO118" s="30" t="n"/>
      <c r="AP118" s="30" t="n"/>
      <c r="AQ118" s="39" t="n"/>
      <c r="AR118" s="30" t="n"/>
      <c r="AS118" s="39" t="n"/>
      <c r="AT118" s="30">
        <f>IF(OR($AS131="",NOT(ISNUMBER($AS131)),$AH131=""),"",IF(INT($AS131)&lt;=$AH131,"A tiempo","Fuera de término"))</f>
        <v/>
      </c>
      <c r="AU118" s="40" t="n"/>
      <c r="AV118" s="40" t="n"/>
      <c r="AW118" s="40" t="n"/>
      <c r="AX118" s="40" t="n"/>
      <c r="AY118" s="30" t="n"/>
      <c r="AZ118" s="30" t="n"/>
      <c r="BA118" s="30" t="n"/>
    </row>
    <row r="119" ht="15.75" customHeight="1" s="57">
      <c r="A119" s="29" t="n"/>
      <c r="B119" s="30" t="n"/>
      <c r="C119" s="39" t="n"/>
      <c r="D119" s="39" t="n"/>
      <c r="E119" s="39" t="n"/>
      <c r="F119" s="40" t="n"/>
      <c r="G119" s="30" t="n"/>
      <c r="H119" s="30" t="n"/>
      <c r="I119" s="30" t="n"/>
      <c r="J119" s="30" t="n"/>
      <c r="K119" s="30" t="n"/>
      <c r="L119" s="30" t="n"/>
      <c r="M119" s="30" t="n"/>
      <c r="N119" s="30" t="n"/>
      <c r="O119" s="30" t="n"/>
      <c r="P119" s="30" t="n"/>
      <c r="Q119" s="30" t="n"/>
      <c r="R119" s="30" t="n"/>
      <c r="S119" s="30" t="n"/>
      <c r="T119" s="30" t="n"/>
      <c r="U119" s="30" t="n"/>
      <c r="V119" s="30" t="n"/>
      <c r="W119" s="30" t="n"/>
      <c r="X119" s="30" t="n"/>
      <c r="Y119" s="30" t="n"/>
      <c r="Z119" s="30" t="n"/>
      <c r="AA119" s="30" t="n"/>
      <c r="AB119" s="30" t="n"/>
      <c r="AC119" s="30" t="n"/>
      <c r="AD119" s="41" t="n"/>
      <c r="AE119" s="30" t="n"/>
      <c r="AF119" s="42">
        <f>IF($AA132="","",IF(LEFT(UPPER(TRIM($AA132)),8)="FELICITA","N/A",IF($AE132="","",IFERROR(VLOOKUP(UPPER(TRIM($AE132)),Config!$A$6:$D$8,2,FALSE),IFERROR(VLOOKUP(IF(LEFT(UPPER(TRIM($AE132)),5)="SUPER","SUPER SALUD",IF(LEFT(UPPER(TRIM($AE132)),8)="SECRETAR","SECRETARIA DE SALUD",IF(LEFT(UPPER(TRIM($AE132)),4)="SEDE","SEDE",UPPER(TRIM($AE132))))),Config!$A$6:$D$8,2,FALSE),"⚠")))))</f>
        <v/>
      </c>
      <c r="AG119" s="30">
        <f>IF($AA132="","",IF(LEFT(UPPER(TRIM($AA132)),8)="FELICITA","N/A",IF($AE132="","",IFERROR(VLOOKUP(UPPER(TRIM($AE132)),Config!$A$6:$D$8,3,FALSE),IFERROR(VLOOKUP(IF(LEFT(UPPER(TRIM($AE132)),5)="SUPER","SUPER SALUD",IF(LEFT(UPPER(TRIM($AE132)),8)="SECRETAR","SECRETARIA DE SALUD",IF(LEFT(UPPER(TRIM($AE132)),4)="SEDE","SEDE",UPPER(TRIM($AE132))))),Config!$A$6:$D$8,3,FALSE),"")))))</f>
        <v/>
      </c>
      <c r="AH119" s="39">
        <f>IF(OR($E132="",NOT(ISNUMBER($E132)),$AF132="",$AF132="N/A",NOT(ISNUMBER($AF132))),"",IF($AG132="Hábiles",WORKDAY(INT($E132),$AF132,Config!$F$6:$F$39),INT($E132)+$AF132))</f>
        <v/>
      </c>
      <c r="AI119" s="30">
        <f>IF($E132="","",IF(LEFT(UPPER(TRIM($AA132)),8)="FELICITA","⭐ Felicitación",IF(NOT(ISNUMBER($E132)),"⚠ Revisar fecha",IF(UPPER(TRIM($AK132))="RESPONDIDA - CERRADA","✅ Cerrada",IF($AE132="","⚠ Falta entidad",IF($AH132="","⚠ Revisar término",IF(TODAY()&gt;$AH132,"🔴 Vencida",IF($AH132-TODAY()&lt;=Config!$B$12,"🟡 Próxima a vencer","🟢 En término"))))))))</f>
        <v/>
      </c>
      <c r="AJ119" s="42">
        <f>IF(OR($E132="",NOT(ISNUMBER($E132))),"",IF(ISNUMBER($AS132),MAX(0,INT($AS132)-INT($E132)),MAX(0,TODAY()-INT($E132))))</f>
        <v/>
      </c>
      <c r="AK119" s="30" t="n"/>
      <c r="AL119" s="30" t="n"/>
      <c r="AM119" s="30" t="n"/>
      <c r="AN119" s="39" t="n"/>
      <c r="AO119" s="30" t="n"/>
      <c r="AP119" s="30" t="n"/>
      <c r="AQ119" s="39" t="n"/>
      <c r="AR119" s="30" t="n"/>
      <c r="AS119" s="39" t="n"/>
      <c r="AT119" s="30">
        <f>IF(OR($AS132="",NOT(ISNUMBER($AS132)),$AH132=""),"",IF(INT($AS132)&lt;=$AH132,"A tiempo","Fuera de término"))</f>
        <v/>
      </c>
      <c r="AU119" s="40" t="n"/>
      <c r="AV119" s="40" t="n"/>
      <c r="AW119" s="40" t="n"/>
      <c r="AX119" s="40" t="n"/>
      <c r="AY119" s="30" t="n"/>
      <c r="AZ119" s="30" t="n"/>
      <c r="BA119" s="30" t="n"/>
    </row>
    <row r="120" ht="15.75" customHeight="1" s="57">
      <c r="A120" s="29" t="n"/>
      <c r="B120" s="30" t="n"/>
      <c r="C120" s="39" t="n"/>
      <c r="D120" s="39" t="n"/>
      <c r="E120" s="39" t="n"/>
      <c r="F120" s="40" t="n"/>
      <c r="G120" s="30" t="n"/>
      <c r="H120" s="30" t="n"/>
      <c r="I120" s="30" t="n"/>
      <c r="J120" s="30" t="n"/>
      <c r="K120" s="30" t="n"/>
      <c r="L120" s="30" t="n"/>
      <c r="M120" s="30" t="n"/>
      <c r="N120" s="30" t="n"/>
      <c r="O120" s="30" t="n"/>
      <c r="P120" s="30" t="n"/>
      <c r="Q120" s="30" t="n"/>
      <c r="R120" s="30" t="n"/>
      <c r="S120" s="30" t="n"/>
      <c r="T120" s="30" t="n"/>
      <c r="U120" s="30" t="n"/>
      <c r="V120" s="30" t="n"/>
      <c r="W120" s="30" t="n"/>
      <c r="X120" s="30" t="n"/>
      <c r="Y120" s="30" t="n"/>
      <c r="Z120" s="30" t="n"/>
      <c r="AA120" s="30" t="n"/>
      <c r="AB120" s="30" t="n"/>
      <c r="AC120" s="30" t="n"/>
      <c r="AD120" s="41" t="n"/>
      <c r="AE120" s="30" t="n"/>
      <c r="AF120" s="42">
        <f>IF($AA133="","",IF(LEFT(UPPER(TRIM($AA133)),8)="FELICITA","N/A",IF($AE133="","",IFERROR(VLOOKUP(UPPER(TRIM($AE133)),Config!$A$6:$D$8,2,FALSE),IFERROR(VLOOKUP(IF(LEFT(UPPER(TRIM($AE133)),5)="SUPER","SUPER SALUD",IF(LEFT(UPPER(TRIM($AE133)),8)="SECRETAR","SECRETARIA DE SALUD",IF(LEFT(UPPER(TRIM($AE133)),4)="SEDE","SEDE",UPPER(TRIM($AE133))))),Config!$A$6:$D$8,2,FALSE),"⚠")))))</f>
        <v/>
      </c>
      <c r="AG120" s="30">
        <f>IF($AA133="","",IF(LEFT(UPPER(TRIM($AA133)),8)="FELICITA","N/A",IF($AE133="","",IFERROR(VLOOKUP(UPPER(TRIM($AE133)),Config!$A$6:$D$8,3,FALSE),IFERROR(VLOOKUP(IF(LEFT(UPPER(TRIM($AE133)),5)="SUPER","SUPER SALUD",IF(LEFT(UPPER(TRIM($AE133)),8)="SECRETAR","SECRETARIA DE SALUD",IF(LEFT(UPPER(TRIM($AE133)),4)="SEDE","SEDE",UPPER(TRIM($AE133))))),Config!$A$6:$D$8,3,FALSE),"")))))</f>
        <v/>
      </c>
      <c r="AH120" s="39">
        <f>IF(OR($E133="",NOT(ISNUMBER($E133)),$AF133="",$AF133="N/A",NOT(ISNUMBER($AF133))),"",IF($AG133="Hábiles",WORKDAY(INT($E133),$AF133,Config!$F$6:$F$39),INT($E133)+$AF133))</f>
        <v/>
      </c>
      <c r="AI120" s="30">
        <f>IF($E133="","",IF(LEFT(UPPER(TRIM($AA133)),8)="FELICITA","⭐ Felicitación",IF(NOT(ISNUMBER($E133)),"⚠ Revisar fecha",IF(UPPER(TRIM($AK133))="RESPONDIDA - CERRADA","✅ Cerrada",IF($AE133="","⚠ Falta entidad",IF($AH133="","⚠ Revisar término",IF(TODAY()&gt;$AH133,"🔴 Vencida",IF($AH133-TODAY()&lt;=Config!$B$12,"🟡 Próxima a vencer","🟢 En término"))))))))</f>
        <v/>
      </c>
      <c r="AJ120" s="42">
        <f>IF(OR($E133="",NOT(ISNUMBER($E133))),"",IF(ISNUMBER($AS133),MAX(0,INT($AS133)-INT($E133)),MAX(0,TODAY()-INT($E133))))</f>
        <v/>
      </c>
      <c r="AK120" s="30" t="n"/>
      <c r="AL120" s="30" t="n"/>
      <c r="AM120" s="30" t="n"/>
      <c r="AN120" s="39" t="n"/>
      <c r="AO120" s="30" t="n"/>
      <c r="AP120" s="30" t="n"/>
      <c r="AQ120" s="39" t="n"/>
      <c r="AR120" s="30" t="n"/>
      <c r="AS120" s="39" t="n"/>
      <c r="AT120" s="30">
        <f>IF(OR($AS133="",NOT(ISNUMBER($AS133)),$AH133=""),"",IF(INT($AS133)&lt;=$AH133,"A tiempo","Fuera de término"))</f>
        <v/>
      </c>
      <c r="AU120" s="40" t="n"/>
      <c r="AV120" s="40" t="n"/>
      <c r="AW120" s="40" t="n"/>
      <c r="AX120" s="40" t="n"/>
      <c r="AY120" s="30" t="n"/>
      <c r="AZ120" s="30" t="n"/>
      <c r="BA120" s="30" t="n"/>
    </row>
    <row r="121" ht="15.75" customHeight="1" s="57">
      <c r="A121" s="29" t="n"/>
      <c r="B121" s="30" t="n"/>
      <c r="C121" s="39" t="n"/>
      <c r="D121" s="39" t="n"/>
      <c r="E121" s="39" t="n"/>
      <c r="F121" s="40" t="n"/>
      <c r="G121" s="30" t="n"/>
      <c r="H121" s="30" t="n"/>
      <c r="I121" s="30" t="n"/>
      <c r="J121" s="30" t="n"/>
      <c r="K121" s="30" t="n"/>
      <c r="L121" s="30" t="n"/>
      <c r="M121" s="30" t="n"/>
      <c r="N121" s="30" t="n"/>
      <c r="O121" s="30" t="n"/>
      <c r="P121" s="30" t="n"/>
      <c r="Q121" s="30" t="n"/>
      <c r="R121" s="30" t="n"/>
      <c r="S121" s="30" t="n"/>
      <c r="T121" s="30" t="n"/>
      <c r="U121" s="30" t="n"/>
      <c r="V121" s="30" t="n"/>
      <c r="W121" s="30" t="n"/>
      <c r="X121" s="30" t="n"/>
      <c r="Y121" s="30" t="n"/>
      <c r="Z121" s="30" t="n"/>
      <c r="AA121" s="30" t="n"/>
      <c r="AB121" s="30" t="n"/>
      <c r="AC121" s="30" t="n"/>
      <c r="AD121" s="41" t="n"/>
      <c r="AE121" s="30" t="n"/>
      <c r="AF121" s="42">
        <f>IF($AA134="","",IF(LEFT(UPPER(TRIM($AA134)),8)="FELICITA","N/A",IF($AE134="","",IFERROR(VLOOKUP(UPPER(TRIM($AE134)),Config!$A$6:$D$8,2,FALSE),IFERROR(VLOOKUP(IF(LEFT(UPPER(TRIM($AE134)),5)="SUPER","SUPER SALUD",IF(LEFT(UPPER(TRIM($AE134)),8)="SECRETAR","SECRETARIA DE SALUD",IF(LEFT(UPPER(TRIM($AE134)),4)="SEDE","SEDE",UPPER(TRIM($AE134))))),Config!$A$6:$D$8,2,FALSE),"⚠")))))</f>
        <v/>
      </c>
      <c r="AG121" s="30">
        <f>IF($AA134="","",IF(LEFT(UPPER(TRIM($AA134)),8)="FELICITA","N/A",IF($AE134="","",IFERROR(VLOOKUP(UPPER(TRIM($AE134)),Config!$A$6:$D$8,3,FALSE),IFERROR(VLOOKUP(IF(LEFT(UPPER(TRIM($AE134)),5)="SUPER","SUPER SALUD",IF(LEFT(UPPER(TRIM($AE134)),8)="SECRETAR","SECRETARIA DE SALUD",IF(LEFT(UPPER(TRIM($AE134)),4)="SEDE","SEDE",UPPER(TRIM($AE134))))),Config!$A$6:$D$8,3,FALSE),"")))))</f>
        <v/>
      </c>
      <c r="AH121" s="39">
        <f>IF(OR($E134="",NOT(ISNUMBER($E134)),$AF134="",$AF134="N/A",NOT(ISNUMBER($AF134))),"",IF($AG134="Hábiles",WORKDAY(INT($E134),$AF134,Config!$F$6:$F$39),INT($E134)+$AF134))</f>
        <v/>
      </c>
      <c r="AI121" s="30">
        <f>IF($E134="","",IF(LEFT(UPPER(TRIM($AA134)),8)="FELICITA","⭐ Felicitación",IF(NOT(ISNUMBER($E134)),"⚠ Revisar fecha",IF(UPPER(TRIM($AK134))="RESPONDIDA - CERRADA","✅ Cerrada",IF($AE134="","⚠ Falta entidad",IF($AH134="","⚠ Revisar término",IF(TODAY()&gt;$AH134,"🔴 Vencida",IF($AH134-TODAY()&lt;=Config!$B$12,"🟡 Próxima a vencer","🟢 En término"))))))))</f>
        <v/>
      </c>
      <c r="AJ121" s="42">
        <f>IF(OR($E134="",NOT(ISNUMBER($E134))),"",IF(ISNUMBER($AS134),MAX(0,INT($AS134)-INT($E134)),MAX(0,TODAY()-INT($E134))))</f>
        <v/>
      </c>
      <c r="AK121" s="30" t="n"/>
      <c r="AL121" s="30" t="n"/>
      <c r="AM121" s="30" t="n"/>
      <c r="AN121" s="39" t="n"/>
      <c r="AO121" s="30" t="n"/>
      <c r="AP121" s="30" t="n"/>
      <c r="AQ121" s="39" t="n"/>
      <c r="AR121" s="30" t="n"/>
      <c r="AS121" s="39" t="n"/>
      <c r="AT121" s="30">
        <f>IF(OR($AS134="",NOT(ISNUMBER($AS134)),$AH134=""),"",IF(INT($AS134)&lt;=$AH134,"A tiempo","Fuera de término"))</f>
        <v/>
      </c>
      <c r="AU121" s="40" t="n"/>
      <c r="AV121" s="40" t="n"/>
      <c r="AW121" s="40" t="n"/>
      <c r="AX121" s="40" t="n"/>
      <c r="AY121" s="30" t="n"/>
      <c r="AZ121" s="30" t="n"/>
      <c r="BA121" s="30" t="n"/>
    </row>
    <row r="122" ht="15.75" customHeight="1" s="57">
      <c r="A122" s="29" t="n"/>
      <c r="B122" s="30" t="n"/>
      <c r="C122" s="39" t="n"/>
      <c r="D122" s="39" t="n"/>
      <c r="E122" s="39" t="n"/>
      <c r="F122" s="40" t="n"/>
      <c r="G122" s="30" t="n"/>
      <c r="H122" s="30" t="n"/>
      <c r="I122" s="30" t="n"/>
      <c r="J122" s="30" t="n"/>
      <c r="K122" s="30" t="n"/>
      <c r="L122" s="30" t="n"/>
      <c r="M122" s="30" t="n"/>
      <c r="N122" s="30" t="n"/>
      <c r="O122" s="30" t="n"/>
      <c r="P122" s="30" t="n"/>
      <c r="Q122" s="30" t="n"/>
      <c r="R122" s="30" t="n"/>
      <c r="S122" s="30" t="n"/>
      <c r="T122" s="30" t="n"/>
      <c r="U122" s="30" t="n"/>
      <c r="V122" s="30" t="n"/>
      <c r="W122" s="30" t="n"/>
      <c r="X122" s="30" t="n"/>
      <c r="Y122" s="30" t="n"/>
      <c r="Z122" s="30" t="n"/>
      <c r="AA122" s="30" t="n"/>
      <c r="AB122" s="30" t="n"/>
      <c r="AC122" s="30" t="n"/>
      <c r="AD122" s="41" t="n"/>
      <c r="AE122" s="30" t="n"/>
      <c r="AF122" s="42">
        <f>IF($AA135="","",IF(LEFT(UPPER(TRIM($AA135)),8)="FELICITA","N/A",IF($AE135="","",IFERROR(VLOOKUP(UPPER(TRIM($AE135)),Config!$A$6:$D$8,2,FALSE),IFERROR(VLOOKUP(IF(LEFT(UPPER(TRIM($AE135)),5)="SUPER","SUPER SALUD",IF(LEFT(UPPER(TRIM($AE135)),8)="SECRETAR","SECRETARIA DE SALUD",IF(LEFT(UPPER(TRIM($AE135)),4)="SEDE","SEDE",UPPER(TRIM($AE135))))),Config!$A$6:$D$8,2,FALSE),"⚠")))))</f>
        <v/>
      </c>
      <c r="AG122" s="30">
        <f>IF($AA135="","",IF(LEFT(UPPER(TRIM($AA135)),8)="FELICITA","N/A",IF($AE135="","",IFERROR(VLOOKUP(UPPER(TRIM($AE135)),Config!$A$6:$D$8,3,FALSE),IFERROR(VLOOKUP(IF(LEFT(UPPER(TRIM($AE135)),5)="SUPER","SUPER SALUD",IF(LEFT(UPPER(TRIM($AE135)),8)="SECRETAR","SECRETARIA DE SALUD",IF(LEFT(UPPER(TRIM($AE135)),4)="SEDE","SEDE",UPPER(TRIM($AE135))))),Config!$A$6:$D$8,3,FALSE),"")))))</f>
        <v/>
      </c>
      <c r="AH122" s="39">
        <f>IF(OR($E135="",NOT(ISNUMBER($E135)),$AF135="",$AF135="N/A",NOT(ISNUMBER($AF135))),"",IF($AG135="Hábiles",WORKDAY(INT($E135),$AF135,Config!$F$6:$F$39),INT($E135)+$AF135))</f>
        <v/>
      </c>
      <c r="AI122" s="30">
        <f>IF($E135="","",IF(LEFT(UPPER(TRIM($AA135)),8)="FELICITA","⭐ Felicitación",IF(NOT(ISNUMBER($E135)),"⚠ Revisar fecha",IF(UPPER(TRIM($AK135))="RESPONDIDA - CERRADA","✅ Cerrada",IF($AE135="","⚠ Falta entidad",IF($AH135="","⚠ Revisar término",IF(TODAY()&gt;$AH135,"🔴 Vencida",IF($AH135-TODAY()&lt;=Config!$B$12,"🟡 Próxima a vencer","🟢 En término"))))))))</f>
        <v/>
      </c>
      <c r="AJ122" s="42">
        <f>IF(OR($E135="",NOT(ISNUMBER($E135))),"",IF(ISNUMBER($AS135),MAX(0,INT($AS135)-INT($E135)),MAX(0,TODAY()-INT($E135))))</f>
        <v/>
      </c>
      <c r="AK122" s="30" t="n"/>
      <c r="AL122" s="30" t="n"/>
      <c r="AM122" s="30" t="n"/>
      <c r="AN122" s="39" t="n"/>
      <c r="AO122" s="30" t="n"/>
      <c r="AP122" s="30" t="n"/>
      <c r="AQ122" s="39" t="n"/>
      <c r="AR122" s="30" t="n"/>
      <c r="AS122" s="39" t="n"/>
      <c r="AT122" s="30">
        <f>IF(OR($AS135="",NOT(ISNUMBER($AS135)),$AH135=""),"",IF(INT($AS135)&lt;=$AH135,"A tiempo","Fuera de término"))</f>
        <v/>
      </c>
      <c r="AU122" s="40" t="n"/>
      <c r="AV122" s="40" t="n"/>
      <c r="AW122" s="40" t="n"/>
      <c r="AX122" s="40" t="n"/>
      <c r="AY122" s="30" t="n"/>
      <c r="AZ122" s="30" t="n"/>
      <c r="BA122" s="30" t="n"/>
    </row>
    <row r="123" ht="15.75" customHeight="1" s="57">
      <c r="A123" s="29" t="n"/>
      <c r="B123" s="30" t="n"/>
      <c r="C123" s="39" t="n"/>
      <c r="D123" s="39" t="n"/>
      <c r="E123" s="39" t="n"/>
      <c r="F123" s="40" t="n"/>
      <c r="G123" s="30" t="n"/>
      <c r="H123" s="30" t="n"/>
      <c r="I123" s="30" t="n"/>
      <c r="J123" s="30" t="n"/>
      <c r="K123" s="30" t="n"/>
      <c r="L123" s="30" t="n"/>
      <c r="M123" s="30" t="n"/>
      <c r="N123" s="30" t="n"/>
      <c r="O123" s="30" t="n"/>
      <c r="P123" s="30" t="n"/>
      <c r="Q123" s="30" t="n"/>
      <c r="R123" s="30" t="n"/>
      <c r="S123" s="30" t="n"/>
      <c r="T123" s="30" t="n"/>
      <c r="U123" s="30" t="n"/>
      <c r="V123" s="30" t="n"/>
      <c r="W123" s="30" t="n"/>
      <c r="X123" s="30" t="n"/>
      <c r="Y123" s="30" t="n"/>
      <c r="Z123" s="30" t="n"/>
      <c r="AA123" s="30" t="n"/>
      <c r="AB123" s="30" t="n"/>
      <c r="AC123" s="30" t="n"/>
      <c r="AD123" s="41" t="n"/>
      <c r="AE123" s="30" t="n"/>
      <c r="AF123" s="42">
        <f>IF($AA136="","",IF(LEFT(UPPER(TRIM($AA136)),8)="FELICITA","N/A",IF($AE136="","",IFERROR(VLOOKUP(UPPER(TRIM($AE136)),Config!$A$6:$D$8,2,FALSE),IFERROR(VLOOKUP(IF(LEFT(UPPER(TRIM($AE136)),5)="SUPER","SUPER SALUD",IF(LEFT(UPPER(TRIM($AE136)),8)="SECRETAR","SECRETARIA DE SALUD",IF(LEFT(UPPER(TRIM($AE136)),4)="SEDE","SEDE",UPPER(TRIM($AE136))))),Config!$A$6:$D$8,2,FALSE),"⚠")))))</f>
        <v/>
      </c>
      <c r="AG123" s="30">
        <f>IF($AA136="","",IF(LEFT(UPPER(TRIM($AA136)),8)="FELICITA","N/A",IF($AE136="","",IFERROR(VLOOKUP(UPPER(TRIM($AE136)),Config!$A$6:$D$8,3,FALSE),IFERROR(VLOOKUP(IF(LEFT(UPPER(TRIM($AE136)),5)="SUPER","SUPER SALUD",IF(LEFT(UPPER(TRIM($AE136)),8)="SECRETAR","SECRETARIA DE SALUD",IF(LEFT(UPPER(TRIM($AE136)),4)="SEDE","SEDE",UPPER(TRIM($AE136))))),Config!$A$6:$D$8,3,FALSE),"")))))</f>
        <v/>
      </c>
      <c r="AH123" s="39">
        <f>IF(OR($E136="",NOT(ISNUMBER($E136)),$AF136="",$AF136="N/A",NOT(ISNUMBER($AF136))),"",IF($AG136="Hábiles",WORKDAY(INT($E136),$AF136,Config!$F$6:$F$39),INT($E136)+$AF136))</f>
        <v/>
      </c>
      <c r="AI123" s="30">
        <f>IF($E136="","",IF(LEFT(UPPER(TRIM($AA136)),8)="FELICITA","⭐ Felicitación",IF(NOT(ISNUMBER($E136)),"⚠ Revisar fecha",IF(UPPER(TRIM($AK136))="RESPONDIDA - CERRADA","✅ Cerrada",IF($AE136="","⚠ Falta entidad",IF($AH136="","⚠ Revisar término",IF(TODAY()&gt;$AH136,"🔴 Vencida",IF($AH136-TODAY()&lt;=Config!$B$12,"🟡 Próxima a vencer","🟢 En término"))))))))</f>
        <v/>
      </c>
      <c r="AJ123" s="42">
        <f>IF(OR($E136="",NOT(ISNUMBER($E136))),"",IF(ISNUMBER($AS136),MAX(0,INT($AS136)-INT($E136)),MAX(0,TODAY()-INT($E136))))</f>
        <v/>
      </c>
      <c r="AK123" s="30" t="n"/>
      <c r="AL123" s="30" t="n"/>
      <c r="AM123" s="30" t="n"/>
      <c r="AN123" s="39" t="n"/>
      <c r="AO123" s="30" t="n"/>
      <c r="AP123" s="30" t="n"/>
      <c r="AQ123" s="39" t="n"/>
      <c r="AR123" s="30" t="n"/>
      <c r="AS123" s="39" t="n"/>
      <c r="AT123" s="30">
        <f>IF(OR($AS136="",NOT(ISNUMBER($AS136)),$AH136=""),"",IF(INT($AS136)&lt;=$AH136,"A tiempo","Fuera de término"))</f>
        <v/>
      </c>
      <c r="AU123" s="40" t="n"/>
      <c r="AV123" s="40" t="n"/>
      <c r="AW123" s="40" t="n"/>
      <c r="AX123" s="40" t="n"/>
      <c r="AY123" s="30" t="n"/>
      <c r="AZ123" s="30" t="n"/>
      <c r="BA123" s="30" t="n"/>
    </row>
    <row r="124" ht="15.75" customHeight="1" s="57">
      <c r="A124" s="29" t="n"/>
      <c r="B124" s="30" t="n"/>
      <c r="C124" s="39" t="n"/>
      <c r="D124" s="39" t="n"/>
      <c r="E124" s="39" t="n"/>
      <c r="F124" s="40" t="n"/>
      <c r="G124" s="30" t="n"/>
      <c r="H124" s="30" t="n"/>
      <c r="I124" s="30" t="n"/>
      <c r="J124" s="30" t="n"/>
      <c r="K124" s="30" t="n"/>
      <c r="L124" s="30" t="n"/>
      <c r="M124" s="30" t="n"/>
      <c r="N124" s="30" t="n"/>
      <c r="O124" s="30" t="n"/>
      <c r="P124" s="30" t="n"/>
      <c r="Q124" s="30" t="n"/>
      <c r="R124" s="30" t="n"/>
      <c r="S124" s="30" t="n"/>
      <c r="T124" s="30" t="n"/>
      <c r="U124" s="30" t="n"/>
      <c r="V124" s="30" t="n"/>
      <c r="W124" s="30" t="n"/>
      <c r="X124" s="30" t="n"/>
      <c r="Y124" s="30" t="n"/>
      <c r="Z124" s="30" t="n"/>
      <c r="AA124" s="30" t="n"/>
      <c r="AB124" s="30" t="n"/>
      <c r="AC124" s="30" t="n"/>
      <c r="AD124" s="41" t="n"/>
      <c r="AE124" s="30" t="n"/>
      <c r="AF124" s="42">
        <f>IF($AA137="","",IF(LEFT(UPPER(TRIM($AA137)),8)="FELICITA","N/A",IF($AE137="","",IFERROR(VLOOKUP(UPPER(TRIM($AE137)),Config!$A$6:$D$8,2,FALSE),IFERROR(VLOOKUP(IF(LEFT(UPPER(TRIM($AE137)),5)="SUPER","SUPER SALUD",IF(LEFT(UPPER(TRIM($AE137)),8)="SECRETAR","SECRETARIA DE SALUD",IF(LEFT(UPPER(TRIM($AE137)),4)="SEDE","SEDE",UPPER(TRIM($AE137))))),Config!$A$6:$D$8,2,FALSE),"⚠")))))</f>
        <v/>
      </c>
      <c r="AG124" s="30">
        <f>IF($AA137="","",IF(LEFT(UPPER(TRIM($AA137)),8)="FELICITA","N/A",IF($AE137="","",IFERROR(VLOOKUP(UPPER(TRIM($AE137)),Config!$A$6:$D$8,3,FALSE),IFERROR(VLOOKUP(IF(LEFT(UPPER(TRIM($AE137)),5)="SUPER","SUPER SALUD",IF(LEFT(UPPER(TRIM($AE137)),8)="SECRETAR","SECRETARIA DE SALUD",IF(LEFT(UPPER(TRIM($AE137)),4)="SEDE","SEDE",UPPER(TRIM($AE137))))),Config!$A$6:$D$8,3,FALSE),"")))))</f>
        <v/>
      </c>
      <c r="AH124" s="39">
        <f>IF(OR($E137="",NOT(ISNUMBER($E137)),$AF137="",$AF137="N/A",NOT(ISNUMBER($AF137))),"",IF($AG137="Hábiles",WORKDAY(INT($E137),$AF137,Config!$F$6:$F$39),INT($E137)+$AF137))</f>
        <v/>
      </c>
      <c r="AI124" s="30">
        <f>IF($E137="","",IF(LEFT(UPPER(TRIM($AA137)),8)="FELICITA","⭐ Felicitación",IF(NOT(ISNUMBER($E137)),"⚠ Revisar fecha",IF(UPPER(TRIM($AK137))="RESPONDIDA - CERRADA","✅ Cerrada",IF($AE137="","⚠ Falta entidad",IF($AH137="","⚠ Revisar término",IF(TODAY()&gt;$AH137,"🔴 Vencida",IF($AH137-TODAY()&lt;=Config!$B$12,"🟡 Próxima a vencer","🟢 En término"))))))))</f>
        <v/>
      </c>
      <c r="AJ124" s="42">
        <f>IF(OR($E137="",NOT(ISNUMBER($E137))),"",IF(ISNUMBER($AS137),MAX(0,INT($AS137)-INT($E137)),MAX(0,TODAY()-INT($E137))))</f>
        <v/>
      </c>
      <c r="AK124" s="30" t="n"/>
      <c r="AL124" s="30" t="n"/>
      <c r="AM124" s="30" t="n"/>
      <c r="AN124" s="39" t="n"/>
      <c r="AO124" s="30" t="n"/>
      <c r="AP124" s="30" t="n"/>
      <c r="AQ124" s="39" t="n"/>
      <c r="AR124" s="30" t="n"/>
      <c r="AS124" s="39" t="n"/>
      <c r="AT124" s="30">
        <f>IF(OR($AS137="",NOT(ISNUMBER($AS137)),$AH137=""),"",IF(INT($AS137)&lt;=$AH137,"A tiempo","Fuera de término"))</f>
        <v/>
      </c>
      <c r="AU124" s="40" t="n"/>
      <c r="AV124" s="40" t="n"/>
      <c r="AW124" s="40" t="n"/>
      <c r="AX124" s="40" t="n"/>
      <c r="AY124" s="30" t="n"/>
      <c r="AZ124" s="30" t="n"/>
      <c r="BA124" s="30" t="n"/>
    </row>
    <row r="125" ht="15.75" customHeight="1" s="57">
      <c r="A125" s="29" t="n"/>
      <c r="B125" s="30" t="n"/>
      <c r="C125" s="39" t="n"/>
      <c r="D125" s="39" t="n"/>
      <c r="E125" s="39" t="n"/>
      <c r="F125" s="40" t="n"/>
      <c r="G125" s="30" t="n"/>
      <c r="H125" s="30" t="n"/>
      <c r="I125" s="30" t="n"/>
      <c r="J125" s="30" t="n"/>
      <c r="K125" s="30" t="n"/>
      <c r="L125" s="30" t="n"/>
      <c r="M125" s="30" t="n"/>
      <c r="N125" s="30" t="n"/>
      <c r="O125" s="30" t="n"/>
      <c r="P125" s="30" t="n"/>
      <c r="Q125" s="30" t="n"/>
      <c r="R125" s="30" t="n"/>
      <c r="S125" s="30" t="n"/>
      <c r="T125" s="30" t="n"/>
      <c r="U125" s="30" t="n"/>
      <c r="V125" s="30" t="n"/>
      <c r="W125" s="30" t="n"/>
      <c r="X125" s="30" t="n"/>
      <c r="Y125" s="30" t="n"/>
      <c r="Z125" s="30" t="n"/>
      <c r="AA125" s="30" t="n"/>
      <c r="AB125" s="30" t="n"/>
      <c r="AC125" s="30" t="n"/>
      <c r="AD125" s="41" t="n"/>
      <c r="AE125" s="30" t="n"/>
      <c r="AF125" s="42">
        <f>IF($AA138="","",IF(LEFT(UPPER(TRIM($AA138)),8)="FELICITA","N/A",IF($AE138="","",IFERROR(VLOOKUP(UPPER(TRIM($AE138)),Config!$A$6:$D$8,2,FALSE),IFERROR(VLOOKUP(IF(LEFT(UPPER(TRIM($AE138)),5)="SUPER","SUPER SALUD",IF(LEFT(UPPER(TRIM($AE138)),8)="SECRETAR","SECRETARIA DE SALUD",IF(LEFT(UPPER(TRIM($AE138)),4)="SEDE","SEDE",UPPER(TRIM($AE138))))),Config!$A$6:$D$8,2,FALSE),"⚠")))))</f>
        <v/>
      </c>
      <c r="AG125" s="30">
        <f>IF($AA138="","",IF(LEFT(UPPER(TRIM($AA138)),8)="FELICITA","N/A",IF($AE138="","",IFERROR(VLOOKUP(UPPER(TRIM($AE138)),Config!$A$6:$D$8,3,FALSE),IFERROR(VLOOKUP(IF(LEFT(UPPER(TRIM($AE138)),5)="SUPER","SUPER SALUD",IF(LEFT(UPPER(TRIM($AE138)),8)="SECRETAR","SECRETARIA DE SALUD",IF(LEFT(UPPER(TRIM($AE138)),4)="SEDE","SEDE",UPPER(TRIM($AE138))))),Config!$A$6:$D$8,3,FALSE),"")))))</f>
        <v/>
      </c>
      <c r="AH125" s="39">
        <f>IF(OR($E138="",NOT(ISNUMBER($E138)),$AF138="",$AF138="N/A",NOT(ISNUMBER($AF138))),"",IF($AG138="Hábiles",WORKDAY(INT($E138),$AF138,Config!$F$6:$F$39),INT($E138)+$AF138))</f>
        <v/>
      </c>
      <c r="AI125" s="30">
        <f>IF($E138="","",IF(LEFT(UPPER(TRIM($AA138)),8)="FELICITA","⭐ Felicitación",IF(NOT(ISNUMBER($E138)),"⚠ Revisar fecha",IF(UPPER(TRIM($AK138))="RESPONDIDA - CERRADA","✅ Cerrada",IF($AE138="","⚠ Falta entidad",IF($AH138="","⚠ Revisar término",IF(TODAY()&gt;$AH138,"🔴 Vencida",IF($AH138-TODAY()&lt;=Config!$B$12,"🟡 Próxima a vencer","🟢 En término"))))))))</f>
        <v/>
      </c>
      <c r="AJ125" s="42">
        <f>IF(OR($E138="",NOT(ISNUMBER($E138))),"",IF(ISNUMBER($AS138),MAX(0,INT($AS138)-INT($E138)),MAX(0,TODAY()-INT($E138))))</f>
        <v/>
      </c>
      <c r="AK125" s="30" t="n"/>
      <c r="AL125" s="30" t="n"/>
      <c r="AM125" s="30" t="n"/>
      <c r="AN125" s="39" t="n"/>
      <c r="AO125" s="30" t="n"/>
      <c r="AP125" s="30" t="n"/>
      <c r="AQ125" s="39" t="n"/>
      <c r="AR125" s="30" t="n"/>
      <c r="AS125" s="39" t="n"/>
      <c r="AT125" s="30">
        <f>IF(OR($AS138="",NOT(ISNUMBER($AS138)),$AH138=""),"",IF(INT($AS138)&lt;=$AH138,"A tiempo","Fuera de término"))</f>
        <v/>
      </c>
      <c r="AU125" s="40" t="n"/>
      <c r="AV125" s="40" t="n"/>
      <c r="AW125" s="40" t="n"/>
      <c r="AX125" s="40" t="n"/>
      <c r="AY125" s="30" t="n"/>
      <c r="AZ125" s="30" t="n"/>
      <c r="BA125" s="30" t="n"/>
    </row>
    <row r="126" ht="15.75" customHeight="1" s="57">
      <c r="A126" s="29" t="n"/>
      <c r="B126" s="30" t="n"/>
      <c r="C126" s="39" t="n"/>
      <c r="D126" s="39" t="n"/>
      <c r="E126" s="39" t="n"/>
      <c r="F126" s="40" t="n"/>
      <c r="G126" s="30" t="n"/>
      <c r="H126" s="30" t="n"/>
      <c r="I126" s="30" t="n"/>
      <c r="J126" s="30" t="n"/>
      <c r="K126" s="30" t="n"/>
      <c r="L126" s="30" t="n"/>
      <c r="M126" s="30" t="n"/>
      <c r="N126" s="30" t="n"/>
      <c r="O126" s="30" t="n"/>
      <c r="P126" s="30" t="n"/>
      <c r="Q126" s="30" t="n"/>
      <c r="R126" s="30" t="n"/>
      <c r="S126" s="30" t="n"/>
      <c r="T126" s="30" t="n"/>
      <c r="U126" s="30" t="n"/>
      <c r="V126" s="30" t="n"/>
      <c r="W126" s="30" t="n"/>
      <c r="X126" s="30" t="n"/>
      <c r="Y126" s="30" t="n"/>
      <c r="Z126" s="30" t="n"/>
      <c r="AA126" s="30" t="n"/>
      <c r="AB126" s="30" t="n"/>
      <c r="AC126" s="30" t="n"/>
      <c r="AD126" s="41" t="n"/>
      <c r="AE126" s="30" t="n"/>
      <c r="AF126" s="42">
        <f>IF($AA139="","",IF(LEFT(UPPER(TRIM($AA139)),8)="FELICITA","N/A",IF($AE139="","",IFERROR(VLOOKUP(UPPER(TRIM($AE139)),Config!$A$6:$D$8,2,FALSE),IFERROR(VLOOKUP(IF(LEFT(UPPER(TRIM($AE139)),5)="SUPER","SUPER SALUD",IF(LEFT(UPPER(TRIM($AE139)),8)="SECRETAR","SECRETARIA DE SALUD",IF(LEFT(UPPER(TRIM($AE139)),4)="SEDE","SEDE",UPPER(TRIM($AE139))))),Config!$A$6:$D$8,2,FALSE),"⚠")))))</f>
        <v/>
      </c>
      <c r="AG126" s="30">
        <f>IF($AA139="","",IF(LEFT(UPPER(TRIM($AA139)),8)="FELICITA","N/A",IF($AE139="","",IFERROR(VLOOKUP(UPPER(TRIM($AE139)),Config!$A$6:$D$8,3,FALSE),IFERROR(VLOOKUP(IF(LEFT(UPPER(TRIM($AE139)),5)="SUPER","SUPER SALUD",IF(LEFT(UPPER(TRIM($AE139)),8)="SECRETAR","SECRETARIA DE SALUD",IF(LEFT(UPPER(TRIM($AE139)),4)="SEDE","SEDE",UPPER(TRIM($AE139))))),Config!$A$6:$D$8,3,FALSE),"")))))</f>
        <v/>
      </c>
      <c r="AH126" s="39">
        <f>IF(OR($E139="",NOT(ISNUMBER($E139)),$AF139="",$AF139="N/A",NOT(ISNUMBER($AF139))),"",IF($AG139="Hábiles",WORKDAY(INT($E139),$AF139,Config!$F$6:$F$39),INT($E139)+$AF139))</f>
        <v/>
      </c>
      <c r="AI126" s="30">
        <f>IF($E139="","",IF(LEFT(UPPER(TRIM($AA139)),8)="FELICITA","⭐ Felicitación",IF(NOT(ISNUMBER($E139)),"⚠ Revisar fecha",IF(UPPER(TRIM($AK139))="RESPONDIDA - CERRADA","✅ Cerrada",IF($AE139="","⚠ Falta entidad",IF($AH139="","⚠ Revisar término",IF(TODAY()&gt;$AH139,"🔴 Vencida",IF($AH139-TODAY()&lt;=Config!$B$12,"🟡 Próxima a vencer","🟢 En término"))))))))</f>
        <v/>
      </c>
      <c r="AJ126" s="42">
        <f>IF(OR($E139="",NOT(ISNUMBER($E139))),"",IF(ISNUMBER($AS139),MAX(0,INT($AS139)-INT($E139)),MAX(0,TODAY()-INT($E139))))</f>
        <v/>
      </c>
      <c r="AK126" s="30" t="n"/>
      <c r="AL126" s="30" t="n"/>
      <c r="AM126" s="30" t="n"/>
      <c r="AN126" s="39" t="n"/>
      <c r="AO126" s="30" t="n"/>
      <c r="AP126" s="30" t="n"/>
      <c r="AQ126" s="39" t="n"/>
      <c r="AR126" s="30" t="n"/>
      <c r="AS126" s="39" t="n"/>
      <c r="AT126" s="30">
        <f>IF(OR($AS139="",NOT(ISNUMBER($AS139)),$AH139=""),"",IF(INT($AS139)&lt;=$AH139,"A tiempo","Fuera de término"))</f>
        <v/>
      </c>
      <c r="AU126" s="40" t="n"/>
      <c r="AV126" s="40" t="n"/>
      <c r="AW126" s="40" t="n"/>
      <c r="AX126" s="40" t="n"/>
      <c r="AY126" s="30" t="n"/>
      <c r="AZ126" s="30" t="n"/>
      <c r="BA126" s="30" t="n"/>
    </row>
    <row r="127" ht="15.75" customHeight="1" s="57">
      <c r="A127" s="29" t="n"/>
      <c r="B127" s="30" t="n"/>
      <c r="C127" s="39" t="n"/>
      <c r="D127" s="39" t="n"/>
      <c r="E127" s="39" t="n"/>
      <c r="F127" s="40" t="n"/>
      <c r="G127" s="30" t="n"/>
      <c r="H127" s="30" t="n"/>
      <c r="I127" s="30" t="n"/>
      <c r="J127" s="30" t="n"/>
      <c r="K127" s="30" t="n"/>
      <c r="L127" s="30" t="n"/>
      <c r="M127" s="30" t="n"/>
      <c r="N127" s="30" t="n"/>
      <c r="O127" s="30" t="n"/>
      <c r="P127" s="30" t="n"/>
      <c r="Q127" s="30" t="n"/>
      <c r="R127" s="30" t="n"/>
      <c r="S127" s="30" t="n"/>
      <c r="T127" s="30" t="n"/>
      <c r="U127" s="30" t="n"/>
      <c r="V127" s="30" t="n"/>
      <c r="W127" s="30" t="n"/>
      <c r="X127" s="30" t="n"/>
      <c r="Y127" s="30" t="n"/>
      <c r="Z127" s="30" t="n"/>
      <c r="AA127" s="30" t="n"/>
      <c r="AB127" s="30" t="n"/>
      <c r="AC127" s="30" t="n"/>
      <c r="AD127" s="41" t="n"/>
      <c r="AE127" s="30" t="n"/>
      <c r="AF127" s="42">
        <f>IF($AA140="","",IF(LEFT(UPPER(TRIM($AA140)),8)="FELICITA","N/A",IF($AE140="","",IFERROR(VLOOKUP(UPPER(TRIM($AE140)),Config!$A$6:$D$8,2,FALSE),IFERROR(VLOOKUP(IF(LEFT(UPPER(TRIM($AE140)),5)="SUPER","SUPER SALUD",IF(LEFT(UPPER(TRIM($AE140)),8)="SECRETAR","SECRETARIA DE SALUD",IF(LEFT(UPPER(TRIM($AE140)),4)="SEDE","SEDE",UPPER(TRIM($AE140))))),Config!$A$6:$D$8,2,FALSE),"⚠")))))</f>
        <v/>
      </c>
      <c r="AG127" s="30">
        <f>IF($AA140="","",IF(LEFT(UPPER(TRIM($AA140)),8)="FELICITA","N/A",IF($AE140="","",IFERROR(VLOOKUP(UPPER(TRIM($AE140)),Config!$A$6:$D$8,3,FALSE),IFERROR(VLOOKUP(IF(LEFT(UPPER(TRIM($AE140)),5)="SUPER","SUPER SALUD",IF(LEFT(UPPER(TRIM($AE140)),8)="SECRETAR","SECRETARIA DE SALUD",IF(LEFT(UPPER(TRIM($AE140)),4)="SEDE","SEDE",UPPER(TRIM($AE140))))),Config!$A$6:$D$8,3,FALSE),"")))))</f>
        <v/>
      </c>
      <c r="AH127" s="39">
        <f>IF(OR($E140="",NOT(ISNUMBER($E140)),$AF140="",$AF140="N/A",NOT(ISNUMBER($AF140))),"",IF($AG140="Hábiles",WORKDAY(INT($E140),$AF140,Config!$F$6:$F$39),INT($E140)+$AF140))</f>
        <v/>
      </c>
      <c r="AI127" s="30">
        <f>IF($E140="","",IF(LEFT(UPPER(TRIM($AA140)),8)="FELICITA","⭐ Felicitación",IF(NOT(ISNUMBER($E140)),"⚠ Revisar fecha",IF(UPPER(TRIM($AK140))="RESPONDIDA - CERRADA","✅ Cerrada",IF($AE140="","⚠ Falta entidad",IF($AH140="","⚠ Revisar término",IF(TODAY()&gt;$AH140,"🔴 Vencida",IF($AH140-TODAY()&lt;=Config!$B$12,"🟡 Próxima a vencer","🟢 En término"))))))))</f>
        <v/>
      </c>
      <c r="AJ127" s="42">
        <f>IF(OR($E140="",NOT(ISNUMBER($E140))),"",IF(ISNUMBER($AS140),MAX(0,INT($AS140)-INT($E140)),MAX(0,TODAY()-INT($E140))))</f>
        <v/>
      </c>
      <c r="AK127" s="30" t="n"/>
      <c r="AL127" s="30" t="n"/>
      <c r="AM127" s="30" t="n"/>
      <c r="AN127" s="39" t="n"/>
      <c r="AO127" s="30" t="n"/>
      <c r="AP127" s="30" t="n"/>
      <c r="AQ127" s="39" t="n"/>
      <c r="AR127" s="30" t="n"/>
      <c r="AS127" s="39" t="n"/>
      <c r="AT127" s="30">
        <f>IF(OR($AS140="",NOT(ISNUMBER($AS140)),$AH140=""),"",IF(INT($AS140)&lt;=$AH140,"A tiempo","Fuera de término"))</f>
        <v/>
      </c>
      <c r="AU127" s="40" t="n"/>
      <c r="AV127" s="40" t="n"/>
      <c r="AW127" s="40" t="n"/>
      <c r="AX127" s="40" t="n"/>
      <c r="AY127" s="30" t="n"/>
      <c r="AZ127" s="30" t="n"/>
      <c r="BA127" s="30" t="n"/>
    </row>
    <row r="128" ht="15.75" customHeight="1" s="57">
      <c r="A128" s="29" t="n"/>
      <c r="B128" s="30" t="n"/>
      <c r="C128" s="39" t="n"/>
      <c r="D128" s="39" t="n"/>
      <c r="E128" s="39" t="n"/>
      <c r="F128" s="40" t="n"/>
      <c r="G128" s="30" t="n"/>
      <c r="H128" s="30" t="n"/>
      <c r="I128" s="30" t="n"/>
      <c r="J128" s="30" t="n"/>
      <c r="K128" s="30" t="n"/>
      <c r="L128" s="30" t="n"/>
      <c r="M128" s="30" t="n"/>
      <c r="N128" s="30" t="n"/>
      <c r="O128" s="30" t="n"/>
      <c r="P128" s="30" t="n"/>
      <c r="Q128" s="30" t="n"/>
      <c r="R128" s="30" t="n"/>
      <c r="S128" s="30" t="n"/>
      <c r="T128" s="30" t="n"/>
      <c r="U128" s="30" t="n"/>
      <c r="V128" s="30" t="n"/>
      <c r="W128" s="30" t="n"/>
      <c r="X128" s="30" t="n"/>
      <c r="Y128" s="30" t="n"/>
      <c r="Z128" s="30" t="n"/>
      <c r="AA128" s="30" t="n"/>
      <c r="AB128" s="30" t="n"/>
      <c r="AC128" s="30" t="n"/>
      <c r="AD128" s="41" t="n"/>
      <c r="AE128" s="30" t="n"/>
      <c r="AF128" s="42">
        <f>IF($AA141="","",IF(LEFT(UPPER(TRIM($AA141)),8)="FELICITA","N/A",IF($AE141="","",IFERROR(VLOOKUP(UPPER(TRIM($AE141)),Config!$A$6:$D$8,2,FALSE),IFERROR(VLOOKUP(IF(LEFT(UPPER(TRIM($AE141)),5)="SUPER","SUPER SALUD",IF(LEFT(UPPER(TRIM($AE141)),8)="SECRETAR","SECRETARIA DE SALUD",IF(LEFT(UPPER(TRIM($AE141)),4)="SEDE","SEDE",UPPER(TRIM($AE141))))),Config!$A$6:$D$8,2,FALSE),"⚠")))))</f>
        <v/>
      </c>
      <c r="AG128" s="30">
        <f>IF($AA141="","",IF(LEFT(UPPER(TRIM($AA141)),8)="FELICITA","N/A",IF($AE141="","",IFERROR(VLOOKUP(UPPER(TRIM($AE141)),Config!$A$6:$D$8,3,FALSE),IFERROR(VLOOKUP(IF(LEFT(UPPER(TRIM($AE141)),5)="SUPER","SUPER SALUD",IF(LEFT(UPPER(TRIM($AE141)),8)="SECRETAR","SECRETARIA DE SALUD",IF(LEFT(UPPER(TRIM($AE141)),4)="SEDE","SEDE",UPPER(TRIM($AE141))))),Config!$A$6:$D$8,3,FALSE),"")))))</f>
        <v/>
      </c>
      <c r="AH128" s="39">
        <f>IF(OR($E141="",NOT(ISNUMBER($E141)),$AF141="",$AF141="N/A",NOT(ISNUMBER($AF141))),"",IF($AG141="Hábiles",WORKDAY(INT($E141),$AF141,Config!$F$6:$F$39),INT($E141)+$AF141))</f>
        <v/>
      </c>
      <c r="AI128" s="30">
        <f>IF($E141="","",IF(LEFT(UPPER(TRIM($AA141)),8)="FELICITA","⭐ Felicitación",IF(NOT(ISNUMBER($E141)),"⚠ Revisar fecha",IF(UPPER(TRIM($AK141))="RESPONDIDA - CERRADA","✅ Cerrada",IF($AE141="","⚠ Falta entidad",IF($AH141="","⚠ Revisar término",IF(TODAY()&gt;$AH141,"🔴 Vencida",IF($AH141-TODAY()&lt;=Config!$B$12,"🟡 Próxima a vencer","🟢 En término"))))))))</f>
        <v/>
      </c>
      <c r="AJ128" s="42">
        <f>IF(OR($E141="",NOT(ISNUMBER($E141))),"",IF(ISNUMBER($AS141),MAX(0,INT($AS141)-INT($E141)),MAX(0,TODAY()-INT($E141))))</f>
        <v/>
      </c>
      <c r="AK128" s="30" t="n"/>
      <c r="AL128" s="30" t="n"/>
      <c r="AM128" s="30" t="n"/>
      <c r="AN128" s="39" t="n"/>
      <c r="AO128" s="30" t="n"/>
      <c r="AP128" s="30" t="n"/>
      <c r="AQ128" s="39" t="n"/>
      <c r="AR128" s="30" t="n"/>
      <c r="AS128" s="39" t="n"/>
      <c r="AT128" s="30">
        <f>IF(OR($AS141="",NOT(ISNUMBER($AS141)),$AH141=""),"",IF(INT($AS141)&lt;=$AH141,"A tiempo","Fuera de término"))</f>
        <v/>
      </c>
      <c r="AU128" s="40" t="n"/>
      <c r="AV128" s="40" t="n"/>
      <c r="AW128" s="40" t="n"/>
      <c r="AX128" s="40" t="n"/>
      <c r="AY128" s="30" t="n"/>
      <c r="AZ128" s="30" t="n"/>
      <c r="BA128" s="30" t="n"/>
    </row>
    <row r="129" ht="15.75" customHeight="1" s="57">
      <c r="A129" s="29" t="n"/>
      <c r="B129" s="30" t="n"/>
      <c r="C129" s="39" t="n"/>
      <c r="D129" s="39" t="n"/>
      <c r="E129" s="39" t="n"/>
      <c r="F129" s="40" t="n"/>
      <c r="G129" s="30" t="n"/>
      <c r="H129" s="30" t="n"/>
      <c r="I129" s="30" t="n"/>
      <c r="J129" s="30" t="n"/>
      <c r="K129" s="30" t="n"/>
      <c r="L129" s="30" t="n"/>
      <c r="M129" s="30" t="n"/>
      <c r="N129" s="30" t="n"/>
      <c r="O129" s="30" t="n"/>
      <c r="P129" s="30" t="n"/>
      <c r="Q129" s="30" t="n"/>
      <c r="R129" s="30" t="n"/>
      <c r="S129" s="30" t="n"/>
      <c r="T129" s="30" t="n"/>
      <c r="U129" s="30" t="n"/>
      <c r="V129" s="30" t="n"/>
      <c r="W129" s="30" t="n"/>
      <c r="X129" s="30" t="n"/>
      <c r="Y129" s="30" t="n"/>
      <c r="Z129" s="30" t="n"/>
      <c r="AA129" s="30" t="n"/>
      <c r="AB129" s="30" t="n"/>
      <c r="AC129" s="30" t="n"/>
      <c r="AD129" s="41" t="n"/>
      <c r="AE129" s="30" t="n"/>
      <c r="AF129" s="42">
        <f>IF($AA142="","",IF(LEFT(UPPER(TRIM($AA142)),8)="FELICITA","N/A",IF($AE142="","",IFERROR(VLOOKUP(UPPER(TRIM($AE142)),Config!$A$6:$D$8,2,FALSE),IFERROR(VLOOKUP(IF(LEFT(UPPER(TRIM($AE142)),5)="SUPER","SUPER SALUD",IF(LEFT(UPPER(TRIM($AE142)),8)="SECRETAR","SECRETARIA DE SALUD",IF(LEFT(UPPER(TRIM($AE142)),4)="SEDE","SEDE",UPPER(TRIM($AE142))))),Config!$A$6:$D$8,2,FALSE),"⚠")))))</f>
        <v/>
      </c>
      <c r="AG129" s="30">
        <f>IF($AA142="","",IF(LEFT(UPPER(TRIM($AA142)),8)="FELICITA","N/A",IF($AE142="","",IFERROR(VLOOKUP(UPPER(TRIM($AE142)),Config!$A$6:$D$8,3,FALSE),IFERROR(VLOOKUP(IF(LEFT(UPPER(TRIM($AE142)),5)="SUPER","SUPER SALUD",IF(LEFT(UPPER(TRIM($AE142)),8)="SECRETAR","SECRETARIA DE SALUD",IF(LEFT(UPPER(TRIM($AE142)),4)="SEDE","SEDE",UPPER(TRIM($AE142))))),Config!$A$6:$D$8,3,FALSE),"")))))</f>
        <v/>
      </c>
      <c r="AH129" s="39">
        <f>IF(OR($E142="",NOT(ISNUMBER($E142)),$AF142="",$AF142="N/A",NOT(ISNUMBER($AF142))),"",IF($AG142="Hábiles",WORKDAY(INT($E142),$AF142,Config!$F$6:$F$39),INT($E142)+$AF142))</f>
        <v/>
      </c>
      <c r="AI129" s="30">
        <f>IF($E142="","",IF(LEFT(UPPER(TRIM($AA142)),8)="FELICITA","⭐ Felicitación",IF(NOT(ISNUMBER($E142)),"⚠ Revisar fecha",IF(UPPER(TRIM($AK142))="RESPONDIDA - CERRADA","✅ Cerrada",IF($AE142="","⚠ Falta entidad",IF($AH142="","⚠ Revisar término",IF(TODAY()&gt;$AH142,"🔴 Vencida",IF($AH142-TODAY()&lt;=Config!$B$12,"🟡 Próxima a vencer","🟢 En término"))))))))</f>
        <v/>
      </c>
      <c r="AJ129" s="42">
        <f>IF(OR($E142="",NOT(ISNUMBER($E142))),"",IF(ISNUMBER($AS142),MAX(0,INT($AS142)-INT($E142)),MAX(0,TODAY()-INT($E142))))</f>
        <v/>
      </c>
      <c r="AK129" s="30" t="n"/>
      <c r="AL129" s="30" t="n"/>
      <c r="AM129" s="30" t="n"/>
      <c r="AN129" s="39" t="n"/>
      <c r="AO129" s="30" t="n"/>
      <c r="AP129" s="30" t="n"/>
      <c r="AQ129" s="39" t="n"/>
      <c r="AR129" s="30" t="n"/>
      <c r="AS129" s="39" t="n"/>
      <c r="AT129" s="30">
        <f>IF(OR($AS142="",NOT(ISNUMBER($AS142)),$AH142=""),"",IF(INT($AS142)&lt;=$AH142,"A tiempo","Fuera de término"))</f>
        <v/>
      </c>
      <c r="AU129" s="40" t="n"/>
      <c r="AV129" s="40" t="n"/>
      <c r="AW129" s="40" t="n"/>
      <c r="AX129" s="40" t="n"/>
      <c r="AY129" s="30" t="n"/>
      <c r="AZ129" s="30" t="n"/>
      <c r="BA129" s="30" t="n"/>
    </row>
    <row r="130" ht="15.75" customHeight="1" s="57">
      <c r="A130" s="29" t="n"/>
      <c r="B130" s="30" t="n"/>
      <c r="C130" s="39" t="n"/>
      <c r="D130" s="39" t="n"/>
      <c r="E130" s="39" t="n"/>
      <c r="F130" s="40" t="n"/>
      <c r="G130" s="30" t="n"/>
      <c r="H130" s="30" t="n"/>
      <c r="I130" s="30" t="n"/>
      <c r="J130" s="30" t="n"/>
      <c r="K130" s="30" t="n"/>
      <c r="L130" s="30" t="n"/>
      <c r="M130" s="30" t="n"/>
      <c r="N130" s="30" t="n"/>
      <c r="O130" s="30" t="n"/>
      <c r="P130" s="30" t="n"/>
      <c r="Q130" s="30" t="n"/>
      <c r="R130" s="30" t="n"/>
      <c r="S130" s="30" t="n"/>
      <c r="T130" s="30" t="n"/>
      <c r="U130" s="30" t="n"/>
      <c r="V130" s="30" t="n"/>
      <c r="W130" s="30" t="n"/>
      <c r="X130" s="30" t="n"/>
      <c r="Y130" s="30" t="n"/>
      <c r="Z130" s="30" t="n"/>
      <c r="AA130" s="30" t="n"/>
      <c r="AB130" s="30" t="n"/>
      <c r="AC130" s="30" t="n"/>
      <c r="AD130" s="41" t="n"/>
      <c r="AE130" s="30" t="n"/>
      <c r="AF130" s="42">
        <f>IF($AA143="","",IF(LEFT(UPPER(TRIM($AA143)),8)="FELICITA","N/A",IF($AE143="","",IFERROR(VLOOKUP(UPPER(TRIM($AE143)),Config!$A$6:$D$8,2,FALSE),IFERROR(VLOOKUP(IF(LEFT(UPPER(TRIM($AE143)),5)="SUPER","SUPER SALUD",IF(LEFT(UPPER(TRIM($AE143)),8)="SECRETAR","SECRETARIA DE SALUD",IF(LEFT(UPPER(TRIM($AE143)),4)="SEDE","SEDE",UPPER(TRIM($AE143))))),Config!$A$6:$D$8,2,FALSE),"⚠")))))</f>
        <v/>
      </c>
      <c r="AG130" s="30">
        <f>IF($AA143="","",IF(LEFT(UPPER(TRIM($AA143)),8)="FELICITA","N/A",IF($AE143="","",IFERROR(VLOOKUP(UPPER(TRIM($AE143)),Config!$A$6:$D$8,3,FALSE),IFERROR(VLOOKUP(IF(LEFT(UPPER(TRIM($AE143)),5)="SUPER","SUPER SALUD",IF(LEFT(UPPER(TRIM($AE143)),8)="SECRETAR","SECRETARIA DE SALUD",IF(LEFT(UPPER(TRIM($AE143)),4)="SEDE","SEDE",UPPER(TRIM($AE143))))),Config!$A$6:$D$8,3,FALSE),"")))))</f>
        <v/>
      </c>
      <c r="AH130" s="39">
        <f>IF(OR($E143="",NOT(ISNUMBER($E143)),$AF143="",$AF143="N/A",NOT(ISNUMBER($AF143))),"",IF($AG143="Hábiles",WORKDAY(INT($E143),$AF143,Config!$F$6:$F$39),INT($E143)+$AF143))</f>
        <v/>
      </c>
      <c r="AI130" s="30">
        <f>IF($E143="","",IF(LEFT(UPPER(TRIM($AA143)),8)="FELICITA","⭐ Felicitación",IF(NOT(ISNUMBER($E143)),"⚠ Revisar fecha",IF(UPPER(TRIM($AK143))="RESPONDIDA - CERRADA","✅ Cerrada",IF($AE143="","⚠ Falta entidad",IF($AH143="","⚠ Revisar término",IF(TODAY()&gt;$AH143,"🔴 Vencida",IF($AH143-TODAY()&lt;=Config!$B$12,"🟡 Próxima a vencer","🟢 En término"))))))))</f>
        <v/>
      </c>
      <c r="AJ130" s="42">
        <f>IF(OR($E143="",NOT(ISNUMBER($E143))),"",IF(ISNUMBER($AS143),MAX(0,INT($AS143)-INT($E143)),MAX(0,TODAY()-INT($E143))))</f>
        <v/>
      </c>
      <c r="AK130" s="30" t="n"/>
      <c r="AL130" s="30" t="n"/>
      <c r="AM130" s="30" t="n"/>
      <c r="AN130" s="39" t="n"/>
      <c r="AO130" s="30" t="n"/>
      <c r="AP130" s="30" t="n"/>
      <c r="AQ130" s="39" t="n"/>
      <c r="AR130" s="30" t="n"/>
      <c r="AS130" s="39" t="n"/>
      <c r="AT130" s="30">
        <f>IF(OR($AS143="",NOT(ISNUMBER($AS143)),$AH143=""),"",IF(INT($AS143)&lt;=$AH143,"A tiempo","Fuera de término"))</f>
        <v/>
      </c>
      <c r="AU130" s="40" t="n"/>
      <c r="AV130" s="40" t="n"/>
      <c r="AW130" s="40" t="n"/>
      <c r="AX130" s="40" t="n"/>
      <c r="AY130" s="30" t="n"/>
      <c r="AZ130" s="30" t="n"/>
      <c r="BA130" s="30" t="n"/>
    </row>
    <row r="131" ht="15.75" customHeight="1" s="57">
      <c r="A131" s="29" t="n"/>
      <c r="B131" s="30" t="n"/>
      <c r="C131" s="39" t="n"/>
      <c r="D131" s="39" t="n"/>
      <c r="E131" s="39" t="n"/>
      <c r="F131" s="40" t="n"/>
      <c r="G131" s="30" t="n"/>
      <c r="H131" s="30" t="n"/>
      <c r="I131" s="30" t="n"/>
      <c r="J131" s="30" t="n"/>
      <c r="K131" s="30" t="n"/>
      <c r="L131" s="30" t="n"/>
      <c r="M131" s="30" t="n"/>
      <c r="N131" s="30" t="n"/>
      <c r="O131" s="30" t="n"/>
      <c r="P131" s="30" t="n"/>
      <c r="Q131" s="30" t="n"/>
      <c r="R131" s="30" t="n"/>
      <c r="S131" s="30" t="n"/>
      <c r="T131" s="30" t="n"/>
      <c r="U131" s="30" t="n"/>
      <c r="V131" s="30" t="n"/>
      <c r="W131" s="30" t="n"/>
      <c r="X131" s="30" t="n"/>
      <c r="Y131" s="30" t="n"/>
      <c r="Z131" s="30" t="n"/>
      <c r="AA131" s="30" t="n"/>
      <c r="AB131" s="30" t="n"/>
      <c r="AC131" s="30" t="n"/>
      <c r="AD131" s="41" t="n"/>
      <c r="AE131" s="30" t="n"/>
      <c r="AF131" s="42">
        <f>IF($AA144="","",IF(LEFT(UPPER(TRIM($AA144)),8)="FELICITA","N/A",IF($AE144="","",IFERROR(VLOOKUP(UPPER(TRIM($AE144)),Config!$A$6:$D$8,2,FALSE),IFERROR(VLOOKUP(IF(LEFT(UPPER(TRIM($AE144)),5)="SUPER","SUPER SALUD",IF(LEFT(UPPER(TRIM($AE144)),8)="SECRETAR","SECRETARIA DE SALUD",IF(LEFT(UPPER(TRIM($AE144)),4)="SEDE","SEDE",UPPER(TRIM($AE144))))),Config!$A$6:$D$8,2,FALSE),"⚠")))))</f>
        <v/>
      </c>
      <c r="AG131" s="30">
        <f>IF($AA144="","",IF(LEFT(UPPER(TRIM($AA144)),8)="FELICITA","N/A",IF($AE144="","",IFERROR(VLOOKUP(UPPER(TRIM($AE144)),Config!$A$6:$D$8,3,FALSE),IFERROR(VLOOKUP(IF(LEFT(UPPER(TRIM($AE144)),5)="SUPER","SUPER SALUD",IF(LEFT(UPPER(TRIM($AE144)),8)="SECRETAR","SECRETARIA DE SALUD",IF(LEFT(UPPER(TRIM($AE144)),4)="SEDE","SEDE",UPPER(TRIM($AE144))))),Config!$A$6:$D$8,3,FALSE),"")))))</f>
        <v/>
      </c>
      <c r="AH131" s="39">
        <f>IF(OR($E144="",NOT(ISNUMBER($E144)),$AF144="",$AF144="N/A",NOT(ISNUMBER($AF144))),"",IF($AG144="Hábiles",WORKDAY(INT($E144),$AF144,Config!$F$6:$F$39),INT($E144)+$AF144))</f>
        <v/>
      </c>
      <c r="AI131" s="30">
        <f>IF($E144="","",IF(LEFT(UPPER(TRIM($AA144)),8)="FELICITA","⭐ Felicitación",IF(NOT(ISNUMBER($E144)),"⚠ Revisar fecha",IF(UPPER(TRIM($AK144))="RESPONDIDA - CERRADA","✅ Cerrada",IF($AE144="","⚠ Falta entidad",IF($AH144="","⚠ Revisar término",IF(TODAY()&gt;$AH144,"🔴 Vencida",IF($AH144-TODAY()&lt;=Config!$B$12,"🟡 Próxima a vencer","🟢 En término"))))))))</f>
        <v/>
      </c>
      <c r="AJ131" s="42">
        <f>IF(OR($E144="",NOT(ISNUMBER($E144))),"",IF(ISNUMBER($AS144),MAX(0,INT($AS144)-INT($E144)),MAX(0,TODAY()-INT($E144))))</f>
        <v/>
      </c>
      <c r="AK131" s="30" t="n"/>
      <c r="AL131" s="30" t="n"/>
      <c r="AM131" s="30" t="n"/>
      <c r="AN131" s="39" t="n"/>
      <c r="AO131" s="30" t="n"/>
      <c r="AP131" s="30" t="n"/>
      <c r="AQ131" s="39" t="n"/>
      <c r="AR131" s="30" t="n"/>
      <c r="AS131" s="39" t="n"/>
      <c r="AT131" s="30">
        <f>IF(OR($AS144="",NOT(ISNUMBER($AS144)),$AH144=""),"",IF(INT($AS144)&lt;=$AH144,"A tiempo","Fuera de término"))</f>
        <v/>
      </c>
      <c r="AU131" s="40" t="n"/>
      <c r="AV131" s="40" t="n"/>
      <c r="AW131" s="40" t="n"/>
      <c r="AX131" s="40" t="n"/>
      <c r="AY131" s="30" t="n"/>
      <c r="AZ131" s="30" t="n"/>
      <c r="BA131" s="30" t="n"/>
    </row>
    <row r="132" ht="15.75" customHeight="1" s="57">
      <c r="A132" s="29" t="n"/>
      <c r="B132" s="30" t="n"/>
      <c r="C132" s="39" t="n"/>
      <c r="D132" s="39" t="n"/>
      <c r="E132" s="39" t="n"/>
      <c r="F132" s="40" t="n"/>
      <c r="G132" s="30" t="n"/>
      <c r="H132" s="30" t="n"/>
      <c r="I132" s="30" t="n"/>
      <c r="J132" s="30" t="n"/>
      <c r="K132" s="30" t="n"/>
      <c r="L132" s="30" t="n"/>
      <c r="M132" s="30" t="n"/>
      <c r="N132" s="30" t="n"/>
      <c r="O132" s="30" t="n"/>
      <c r="P132" s="30" t="n"/>
      <c r="Q132" s="30" t="n"/>
      <c r="R132" s="30" t="n"/>
      <c r="S132" s="30" t="n"/>
      <c r="T132" s="30" t="n"/>
      <c r="U132" s="30" t="n"/>
      <c r="V132" s="30" t="n"/>
      <c r="W132" s="30" t="n"/>
      <c r="X132" s="30" t="n"/>
      <c r="Y132" s="30" t="n"/>
      <c r="Z132" s="30" t="n"/>
      <c r="AA132" s="30" t="n"/>
      <c r="AB132" s="30" t="n"/>
      <c r="AC132" s="30" t="n"/>
      <c r="AD132" s="41" t="n"/>
      <c r="AE132" s="30" t="n"/>
      <c r="AF132" s="42">
        <f>IF($AA145="","",IF(LEFT(UPPER(TRIM($AA145)),8)="FELICITA","N/A",IF($AE145="","",IFERROR(VLOOKUP(UPPER(TRIM($AE145)),Config!$A$6:$D$8,2,FALSE),IFERROR(VLOOKUP(IF(LEFT(UPPER(TRIM($AE145)),5)="SUPER","SUPER SALUD",IF(LEFT(UPPER(TRIM($AE145)),8)="SECRETAR","SECRETARIA DE SALUD",IF(LEFT(UPPER(TRIM($AE145)),4)="SEDE","SEDE",UPPER(TRIM($AE145))))),Config!$A$6:$D$8,2,FALSE),"⚠")))))</f>
        <v/>
      </c>
      <c r="AG132" s="30">
        <f>IF($AA145="","",IF(LEFT(UPPER(TRIM($AA145)),8)="FELICITA","N/A",IF($AE145="","",IFERROR(VLOOKUP(UPPER(TRIM($AE145)),Config!$A$6:$D$8,3,FALSE),IFERROR(VLOOKUP(IF(LEFT(UPPER(TRIM($AE145)),5)="SUPER","SUPER SALUD",IF(LEFT(UPPER(TRIM($AE145)),8)="SECRETAR","SECRETARIA DE SALUD",IF(LEFT(UPPER(TRIM($AE145)),4)="SEDE","SEDE",UPPER(TRIM($AE145))))),Config!$A$6:$D$8,3,FALSE),"")))))</f>
        <v/>
      </c>
      <c r="AH132" s="39">
        <f>IF(OR($E145="",NOT(ISNUMBER($E145)),$AF145="",$AF145="N/A",NOT(ISNUMBER($AF145))),"",IF($AG145="Hábiles",WORKDAY(INT($E145),$AF145,Config!$F$6:$F$39),INT($E145)+$AF145))</f>
        <v/>
      </c>
      <c r="AI132" s="30">
        <f>IF($E145="","",IF(LEFT(UPPER(TRIM($AA145)),8)="FELICITA","⭐ Felicitación",IF(NOT(ISNUMBER($E145)),"⚠ Revisar fecha",IF(UPPER(TRIM($AK145))="RESPONDIDA - CERRADA","✅ Cerrada",IF($AE145="","⚠ Falta entidad",IF($AH145="","⚠ Revisar término",IF(TODAY()&gt;$AH145,"🔴 Vencida",IF($AH145-TODAY()&lt;=Config!$B$12,"🟡 Próxima a vencer","🟢 En término"))))))))</f>
        <v/>
      </c>
      <c r="AJ132" s="42">
        <f>IF(OR($E145="",NOT(ISNUMBER($E145))),"",IF(ISNUMBER($AS145),MAX(0,INT($AS145)-INT($E145)),MAX(0,TODAY()-INT($E145))))</f>
        <v/>
      </c>
      <c r="AK132" s="30" t="n"/>
      <c r="AL132" s="30" t="n"/>
      <c r="AM132" s="30" t="n"/>
      <c r="AN132" s="39" t="n"/>
      <c r="AO132" s="30" t="n"/>
      <c r="AP132" s="30" t="n"/>
      <c r="AQ132" s="39" t="n"/>
      <c r="AR132" s="30" t="n"/>
      <c r="AS132" s="39" t="n"/>
      <c r="AT132" s="30">
        <f>IF(OR($AS145="",NOT(ISNUMBER($AS145)),$AH145=""),"",IF(INT($AS145)&lt;=$AH145,"A tiempo","Fuera de término"))</f>
        <v/>
      </c>
      <c r="AU132" s="40" t="n"/>
      <c r="AV132" s="40" t="n"/>
      <c r="AW132" s="40" t="n"/>
      <c r="AX132" s="40" t="n"/>
      <c r="AY132" s="30" t="n"/>
      <c r="AZ132" s="30" t="n"/>
      <c r="BA132" s="30" t="n"/>
    </row>
    <row r="133" ht="15.75" customHeight="1" s="57">
      <c r="A133" s="29" t="n"/>
      <c r="B133" s="30" t="n"/>
      <c r="C133" s="39" t="n"/>
      <c r="D133" s="39" t="n"/>
      <c r="E133" s="39" t="n"/>
      <c r="F133" s="40" t="n"/>
      <c r="G133" s="30" t="n"/>
      <c r="H133" s="30" t="n"/>
      <c r="I133" s="30" t="n"/>
      <c r="J133" s="30" t="n"/>
      <c r="K133" s="30" t="n"/>
      <c r="L133" s="30" t="n"/>
      <c r="M133" s="30" t="n"/>
      <c r="N133" s="30" t="n"/>
      <c r="O133" s="30" t="n"/>
      <c r="P133" s="30" t="n"/>
      <c r="Q133" s="30" t="n"/>
      <c r="R133" s="30" t="n"/>
      <c r="S133" s="30" t="n"/>
      <c r="T133" s="30" t="n"/>
      <c r="U133" s="30" t="n"/>
      <c r="V133" s="30" t="n"/>
      <c r="W133" s="30" t="n"/>
      <c r="X133" s="30" t="n"/>
      <c r="Y133" s="30" t="n"/>
      <c r="Z133" s="30" t="n"/>
      <c r="AA133" s="30" t="n"/>
      <c r="AB133" s="30" t="n"/>
      <c r="AC133" s="30" t="n"/>
      <c r="AD133" s="41" t="n"/>
      <c r="AE133" s="30" t="n"/>
      <c r="AF133" s="42">
        <f>IF($AA146="","",IF(LEFT(UPPER(TRIM($AA146)),8)="FELICITA","N/A",IF($AE146="","",IFERROR(VLOOKUP(UPPER(TRIM($AE146)),Config!$A$6:$D$8,2,FALSE),IFERROR(VLOOKUP(IF(LEFT(UPPER(TRIM($AE146)),5)="SUPER","SUPER SALUD",IF(LEFT(UPPER(TRIM($AE146)),8)="SECRETAR","SECRETARIA DE SALUD",IF(LEFT(UPPER(TRIM($AE146)),4)="SEDE","SEDE",UPPER(TRIM($AE146))))),Config!$A$6:$D$8,2,FALSE),"⚠")))))</f>
        <v/>
      </c>
      <c r="AG133" s="30">
        <f>IF($AA146="","",IF(LEFT(UPPER(TRIM($AA146)),8)="FELICITA","N/A",IF($AE146="","",IFERROR(VLOOKUP(UPPER(TRIM($AE146)),Config!$A$6:$D$8,3,FALSE),IFERROR(VLOOKUP(IF(LEFT(UPPER(TRIM($AE146)),5)="SUPER","SUPER SALUD",IF(LEFT(UPPER(TRIM($AE146)),8)="SECRETAR","SECRETARIA DE SALUD",IF(LEFT(UPPER(TRIM($AE146)),4)="SEDE","SEDE",UPPER(TRIM($AE146))))),Config!$A$6:$D$8,3,FALSE),"")))))</f>
        <v/>
      </c>
      <c r="AH133" s="39">
        <f>IF(OR($E146="",NOT(ISNUMBER($E146)),$AF146="",$AF146="N/A",NOT(ISNUMBER($AF146))),"",IF($AG146="Hábiles",WORKDAY(INT($E146),$AF146,Config!$F$6:$F$39),INT($E146)+$AF146))</f>
        <v/>
      </c>
      <c r="AI133" s="30">
        <f>IF($E146="","",IF(LEFT(UPPER(TRIM($AA146)),8)="FELICITA","⭐ Felicitación",IF(NOT(ISNUMBER($E146)),"⚠ Revisar fecha",IF(UPPER(TRIM($AK146))="RESPONDIDA - CERRADA","✅ Cerrada",IF($AE146="","⚠ Falta entidad",IF($AH146="","⚠ Revisar término",IF(TODAY()&gt;$AH146,"🔴 Vencida",IF($AH146-TODAY()&lt;=Config!$B$12,"🟡 Próxima a vencer","🟢 En término"))))))))</f>
        <v/>
      </c>
      <c r="AJ133" s="42">
        <f>IF(OR($E146="",NOT(ISNUMBER($E146))),"",IF(ISNUMBER($AS146),MAX(0,INT($AS146)-INT($E146)),MAX(0,TODAY()-INT($E146))))</f>
        <v/>
      </c>
      <c r="AK133" s="30" t="n"/>
      <c r="AL133" s="30" t="n"/>
      <c r="AM133" s="30" t="n"/>
      <c r="AN133" s="39" t="n"/>
      <c r="AO133" s="30" t="n"/>
      <c r="AP133" s="30" t="n"/>
      <c r="AQ133" s="39" t="n"/>
      <c r="AR133" s="30" t="n"/>
      <c r="AS133" s="39" t="n"/>
      <c r="AT133" s="30">
        <f>IF(OR($AS146="",NOT(ISNUMBER($AS146)),$AH146=""),"",IF(INT($AS146)&lt;=$AH146,"A tiempo","Fuera de término"))</f>
        <v/>
      </c>
      <c r="AU133" s="40" t="n"/>
      <c r="AV133" s="40" t="n"/>
      <c r="AW133" s="40" t="n"/>
      <c r="AX133" s="40" t="n"/>
      <c r="AY133" s="30" t="n"/>
      <c r="AZ133" s="30" t="n"/>
      <c r="BA133" s="30" t="n"/>
    </row>
    <row r="134" ht="15.75" customHeight="1" s="57">
      <c r="A134" s="29" t="n"/>
      <c r="B134" s="30" t="n"/>
      <c r="C134" s="39" t="n"/>
      <c r="D134" s="39" t="n"/>
      <c r="E134" s="39" t="n"/>
      <c r="F134" s="40" t="n"/>
      <c r="G134" s="30" t="n"/>
      <c r="H134" s="30" t="n"/>
      <c r="I134" s="30" t="n"/>
      <c r="J134" s="30" t="n"/>
      <c r="K134" s="30" t="n"/>
      <c r="L134" s="30" t="n"/>
      <c r="M134" s="30" t="n"/>
      <c r="N134" s="30" t="n"/>
      <c r="O134" s="30" t="n"/>
      <c r="P134" s="30" t="n"/>
      <c r="Q134" s="30" t="n"/>
      <c r="R134" s="30" t="n"/>
      <c r="S134" s="30" t="n"/>
      <c r="T134" s="30" t="n"/>
      <c r="U134" s="30" t="n"/>
      <c r="V134" s="30" t="n"/>
      <c r="W134" s="30" t="n"/>
      <c r="X134" s="30" t="n"/>
      <c r="Y134" s="30" t="n"/>
      <c r="Z134" s="30" t="n"/>
      <c r="AA134" s="30" t="n"/>
      <c r="AB134" s="30" t="n"/>
      <c r="AC134" s="30" t="n"/>
      <c r="AD134" s="41" t="n"/>
      <c r="AE134" s="30" t="n"/>
      <c r="AF134" s="42">
        <f>IF($AA147="","",IF(LEFT(UPPER(TRIM($AA147)),8)="FELICITA","N/A",IF($AE147="","",IFERROR(VLOOKUP(UPPER(TRIM($AE147)),Config!$A$6:$D$8,2,FALSE),IFERROR(VLOOKUP(IF(LEFT(UPPER(TRIM($AE147)),5)="SUPER","SUPER SALUD",IF(LEFT(UPPER(TRIM($AE147)),8)="SECRETAR","SECRETARIA DE SALUD",IF(LEFT(UPPER(TRIM($AE147)),4)="SEDE","SEDE",UPPER(TRIM($AE147))))),Config!$A$6:$D$8,2,FALSE),"⚠")))))</f>
        <v/>
      </c>
      <c r="AG134" s="30">
        <f>IF($AA147="","",IF(LEFT(UPPER(TRIM($AA147)),8)="FELICITA","N/A",IF($AE147="","",IFERROR(VLOOKUP(UPPER(TRIM($AE147)),Config!$A$6:$D$8,3,FALSE),IFERROR(VLOOKUP(IF(LEFT(UPPER(TRIM($AE147)),5)="SUPER","SUPER SALUD",IF(LEFT(UPPER(TRIM($AE147)),8)="SECRETAR","SECRETARIA DE SALUD",IF(LEFT(UPPER(TRIM($AE147)),4)="SEDE","SEDE",UPPER(TRIM($AE147))))),Config!$A$6:$D$8,3,FALSE),"")))))</f>
        <v/>
      </c>
      <c r="AH134" s="39">
        <f>IF(OR($E147="",NOT(ISNUMBER($E147)),$AF147="",$AF147="N/A",NOT(ISNUMBER($AF147))),"",IF($AG147="Hábiles",WORKDAY(INT($E147),$AF147,Config!$F$6:$F$39),INT($E147)+$AF147))</f>
        <v/>
      </c>
      <c r="AI134" s="30">
        <f>IF($E147="","",IF(LEFT(UPPER(TRIM($AA147)),8)="FELICITA","⭐ Felicitación",IF(NOT(ISNUMBER($E147)),"⚠ Revisar fecha",IF(UPPER(TRIM($AK147))="RESPONDIDA - CERRADA","✅ Cerrada",IF($AE147="","⚠ Falta entidad",IF($AH147="","⚠ Revisar término",IF(TODAY()&gt;$AH147,"🔴 Vencida",IF($AH147-TODAY()&lt;=Config!$B$12,"🟡 Próxima a vencer","🟢 En término"))))))))</f>
        <v/>
      </c>
      <c r="AJ134" s="42">
        <f>IF(OR($E147="",NOT(ISNUMBER($E147))),"",IF(ISNUMBER($AS147),MAX(0,INT($AS147)-INT($E147)),MAX(0,TODAY()-INT($E147))))</f>
        <v/>
      </c>
      <c r="AK134" s="30" t="n"/>
      <c r="AL134" s="30" t="n"/>
      <c r="AM134" s="30" t="n"/>
      <c r="AN134" s="39" t="n"/>
      <c r="AO134" s="30" t="n"/>
      <c r="AP134" s="30" t="n"/>
      <c r="AQ134" s="39" t="n"/>
      <c r="AR134" s="30" t="n"/>
      <c r="AS134" s="39" t="n"/>
      <c r="AT134" s="30">
        <f>IF(OR($AS147="",NOT(ISNUMBER($AS147)),$AH147=""),"",IF(INT($AS147)&lt;=$AH147,"A tiempo","Fuera de término"))</f>
        <v/>
      </c>
      <c r="AU134" s="40" t="n"/>
      <c r="AV134" s="40" t="n"/>
      <c r="AW134" s="40" t="n"/>
      <c r="AX134" s="40" t="n"/>
      <c r="AY134" s="30" t="n"/>
      <c r="AZ134" s="30" t="n"/>
      <c r="BA134" s="30" t="n"/>
    </row>
    <row r="135" ht="15.75" customHeight="1" s="57">
      <c r="A135" s="29" t="n"/>
      <c r="B135" s="30" t="n"/>
      <c r="C135" s="39" t="n"/>
      <c r="D135" s="39" t="n"/>
      <c r="E135" s="39" t="n"/>
      <c r="F135" s="40" t="n"/>
      <c r="G135" s="30" t="n"/>
      <c r="H135" s="30" t="n"/>
      <c r="I135" s="30" t="n"/>
      <c r="J135" s="30" t="n"/>
      <c r="K135" s="30" t="n"/>
      <c r="L135" s="30" t="n"/>
      <c r="M135" s="30" t="n"/>
      <c r="N135" s="30" t="n"/>
      <c r="O135" s="30" t="n"/>
      <c r="P135" s="30" t="n"/>
      <c r="Q135" s="30" t="n"/>
      <c r="R135" s="30" t="n"/>
      <c r="S135" s="30" t="n"/>
      <c r="T135" s="30" t="n"/>
      <c r="U135" s="30" t="n"/>
      <c r="V135" s="30" t="n"/>
      <c r="W135" s="30" t="n"/>
      <c r="X135" s="30" t="n"/>
      <c r="Y135" s="30" t="n"/>
      <c r="Z135" s="30" t="n"/>
      <c r="AA135" s="30" t="n"/>
      <c r="AB135" s="30" t="n"/>
      <c r="AC135" s="30" t="n"/>
      <c r="AD135" s="41" t="n"/>
      <c r="AE135" s="30" t="n"/>
      <c r="AF135" s="42">
        <f>IF($AA148="","",IF(LEFT(UPPER(TRIM($AA148)),8)="FELICITA","N/A",IF($AE148="","",IFERROR(VLOOKUP(UPPER(TRIM($AE148)),Config!$A$6:$D$8,2,FALSE),IFERROR(VLOOKUP(IF(LEFT(UPPER(TRIM($AE148)),5)="SUPER","SUPER SALUD",IF(LEFT(UPPER(TRIM($AE148)),8)="SECRETAR","SECRETARIA DE SALUD",IF(LEFT(UPPER(TRIM($AE148)),4)="SEDE","SEDE",UPPER(TRIM($AE148))))),Config!$A$6:$D$8,2,FALSE),"⚠")))))</f>
        <v/>
      </c>
      <c r="AG135" s="30">
        <f>IF($AA148="","",IF(LEFT(UPPER(TRIM($AA148)),8)="FELICITA","N/A",IF($AE148="","",IFERROR(VLOOKUP(UPPER(TRIM($AE148)),Config!$A$6:$D$8,3,FALSE),IFERROR(VLOOKUP(IF(LEFT(UPPER(TRIM($AE148)),5)="SUPER","SUPER SALUD",IF(LEFT(UPPER(TRIM($AE148)),8)="SECRETAR","SECRETARIA DE SALUD",IF(LEFT(UPPER(TRIM($AE148)),4)="SEDE","SEDE",UPPER(TRIM($AE148))))),Config!$A$6:$D$8,3,FALSE),"")))))</f>
        <v/>
      </c>
      <c r="AH135" s="39">
        <f>IF(OR($E148="",NOT(ISNUMBER($E148)),$AF148="",$AF148="N/A",NOT(ISNUMBER($AF148))),"",IF($AG148="Hábiles",WORKDAY(INT($E148),$AF148,Config!$F$6:$F$39),INT($E148)+$AF148))</f>
        <v/>
      </c>
      <c r="AI135" s="30">
        <f>IF($E148="","",IF(LEFT(UPPER(TRIM($AA148)),8)="FELICITA","⭐ Felicitación",IF(NOT(ISNUMBER($E148)),"⚠ Revisar fecha",IF(UPPER(TRIM($AK148))="RESPONDIDA - CERRADA","✅ Cerrada",IF($AE148="","⚠ Falta entidad",IF($AH148="","⚠ Revisar término",IF(TODAY()&gt;$AH148,"🔴 Vencida",IF($AH148-TODAY()&lt;=Config!$B$12,"🟡 Próxima a vencer","🟢 En término"))))))))</f>
        <v/>
      </c>
      <c r="AJ135" s="42">
        <f>IF(OR($E148="",NOT(ISNUMBER($E148))),"",IF(ISNUMBER($AS148),MAX(0,INT($AS148)-INT($E148)),MAX(0,TODAY()-INT($E148))))</f>
        <v/>
      </c>
      <c r="AK135" s="30" t="n"/>
      <c r="AL135" s="30" t="n"/>
      <c r="AM135" s="30" t="n"/>
      <c r="AN135" s="39" t="n"/>
      <c r="AO135" s="30" t="n"/>
      <c r="AP135" s="30" t="n"/>
      <c r="AQ135" s="39" t="n"/>
      <c r="AR135" s="30" t="n"/>
      <c r="AS135" s="39" t="n"/>
      <c r="AT135" s="30">
        <f>IF(OR($AS148="",NOT(ISNUMBER($AS148)),$AH148=""),"",IF(INT($AS148)&lt;=$AH148,"A tiempo","Fuera de término"))</f>
        <v/>
      </c>
      <c r="AU135" s="40" t="n"/>
      <c r="AV135" s="40" t="n"/>
      <c r="AW135" s="40" t="n"/>
      <c r="AX135" s="40" t="n"/>
      <c r="AY135" s="30" t="n"/>
      <c r="AZ135" s="30" t="n"/>
      <c r="BA135" s="30" t="n"/>
    </row>
    <row r="136" ht="15.75" customHeight="1" s="57">
      <c r="A136" s="29" t="n"/>
      <c r="B136" s="30" t="n"/>
      <c r="C136" s="39" t="n"/>
      <c r="D136" s="39" t="n"/>
      <c r="E136" s="39" t="n"/>
      <c r="F136" s="40" t="n"/>
      <c r="G136" s="30" t="n"/>
      <c r="H136" s="30" t="n"/>
      <c r="I136" s="30" t="n"/>
      <c r="J136" s="30" t="n"/>
      <c r="K136" s="30" t="n"/>
      <c r="L136" s="30" t="n"/>
      <c r="M136" s="30" t="n"/>
      <c r="N136" s="30" t="n"/>
      <c r="O136" s="30" t="n"/>
      <c r="P136" s="30" t="n"/>
      <c r="Q136" s="30" t="n"/>
      <c r="R136" s="30" t="n"/>
      <c r="S136" s="30" t="n"/>
      <c r="T136" s="30" t="n"/>
      <c r="U136" s="30" t="n"/>
      <c r="V136" s="30" t="n"/>
      <c r="W136" s="30" t="n"/>
      <c r="X136" s="30" t="n"/>
      <c r="Y136" s="30" t="n"/>
      <c r="Z136" s="30" t="n"/>
      <c r="AA136" s="30" t="n"/>
      <c r="AB136" s="30" t="n"/>
      <c r="AC136" s="30" t="n"/>
      <c r="AD136" s="41" t="n"/>
      <c r="AE136" s="30" t="n"/>
      <c r="AF136" s="42">
        <f>IF($AA149="","",IF(LEFT(UPPER(TRIM($AA149)),8)="FELICITA","N/A",IF($AE149="","",IFERROR(VLOOKUP(UPPER(TRIM($AE149)),Config!$A$6:$D$8,2,FALSE),IFERROR(VLOOKUP(IF(LEFT(UPPER(TRIM($AE149)),5)="SUPER","SUPER SALUD",IF(LEFT(UPPER(TRIM($AE149)),8)="SECRETAR","SECRETARIA DE SALUD",IF(LEFT(UPPER(TRIM($AE149)),4)="SEDE","SEDE",UPPER(TRIM($AE149))))),Config!$A$6:$D$8,2,FALSE),"⚠")))))</f>
        <v/>
      </c>
      <c r="AG136" s="30">
        <f>IF($AA149="","",IF(LEFT(UPPER(TRIM($AA149)),8)="FELICITA","N/A",IF($AE149="","",IFERROR(VLOOKUP(UPPER(TRIM($AE149)),Config!$A$6:$D$8,3,FALSE),IFERROR(VLOOKUP(IF(LEFT(UPPER(TRIM($AE149)),5)="SUPER","SUPER SALUD",IF(LEFT(UPPER(TRIM($AE149)),8)="SECRETAR","SECRETARIA DE SALUD",IF(LEFT(UPPER(TRIM($AE149)),4)="SEDE","SEDE",UPPER(TRIM($AE149))))),Config!$A$6:$D$8,3,FALSE),"")))))</f>
        <v/>
      </c>
      <c r="AH136" s="39">
        <f>IF(OR($E149="",NOT(ISNUMBER($E149)),$AF149="",$AF149="N/A",NOT(ISNUMBER($AF149))),"",IF($AG149="Hábiles",WORKDAY(INT($E149),$AF149,Config!$F$6:$F$39),INT($E149)+$AF149))</f>
        <v/>
      </c>
      <c r="AI136" s="30">
        <f>IF($E149="","",IF(LEFT(UPPER(TRIM($AA149)),8)="FELICITA","⭐ Felicitación",IF(NOT(ISNUMBER($E149)),"⚠ Revisar fecha",IF(UPPER(TRIM($AK149))="RESPONDIDA - CERRADA","✅ Cerrada",IF($AE149="","⚠ Falta entidad",IF($AH149="","⚠ Revisar término",IF(TODAY()&gt;$AH149,"🔴 Vencida",IF($AH149-TODAY()&lt;=Config!$B$12,"🟡 Próxima a vencer","🟢 En término"))))))))</f>
        <v/>
      </c>
      <c r="AJ136" s="42">
        <f>IF(OR($E149="",NOT(ISNUMBER($E149))),"",IF(ISNUMBER($AS149),MAX(0,INT($AS149)-INT($E149)),MAX(0,TODAY()-INT($E149))))</f>
        <v/>
      </c>
      <c r="AK136" s="30" t="n"/>
      <c r="AL136" s="30" t="n"/>
      <c r="AM136" s="30" t="n"/>
      <c r="AN136" s="39" t="n"/>
      <c r="AO136" s="30" t="n"/>
      <c r="AP136" s="30" t="n"/>
      <c r="AQ136" s="39" t="n"/>
      <c r="AR136" s="30" t="n"/>
      <c r="AS136" s="39" t="n"/>
      <c r="AT136" s="30">
        <f>IF(OR($AS149="",NOT(ISNUMBER($AS149)),$AH149=""),"",IF(INT($AS149)&lt;=$AH149,"A tiempo","Fuera de término"))</f>
        <v/>
      </c>
      <c r="AU136" s="40" t="n"/>
      <c r="AV136" s="40" t="n"/>
      <c r="AW136" s="40" t="n"/>
      <c r="AX136" s="40" t="n"/>
      <c r="AY136" s="30" t="n"/>
      <c r="AZ136" s="30" t="n"/>
      <c r="BA136" s="30" t="n"/>
    </row>
    <row r="137" ht="15.75" customHeight="1" s="57">
      <c r="A137" s="29" t="n"/>
      <c r="B137" s="30" t="n"/>
      <c r="C137" s="39" t="n"/>
      <c r="D137" s="39" t="n"/>
      <c r="E137" s="39" t="n"/>
      <c r="F137" s="40" t="n"/>
      <c r="G137" s="30" t="n"/>
      <c r="H137" s="30" t="n"/>
      <c r="I137" s="30" t="n"/>
      <c r="J137" s="30" t="n"/>
      <c r="K137" s="30" t="n"/>
      <c r="L137" s="30" t="n"/>
      <c r="M137" s="30" t="n"/>
      <c r="N137" s="30" t="n"/>
      <c r="O137" s="30" t="n"/>
      <c r="P137" s="30" t="n"/>
      <c r="Q137" s="30" t="n"/>
      <c r="R137" s="30" t="n"/>
      <c r="S137" s="30" t="n"/>
      <c r="T137" s="30" t="n"/>
      <c r="U137" s="30" t="n"/>
      <c r="V137" s="30" t="n"/>
      <c r="W137" s="30" t="n"/>
      <c r="X137" s="30" t="n"/>
      <c r="Y137" s="30" t="n"/>
      <c r="Z137" s="30" t="n"/>
      <c r="AA137" s="30" t="n"/>
      <c r="AB137" s="30" t="n"/>
      <c r="AC137" s="30" t="n"/>
      <c r="AD137" s="41" t="n"/>
      <c r="AE137" s="30" t="n"/>
      <c r="AF137" s="42">
        <f>IF($AA150="","",IF(LEFT(UPPER(TRIM($AA150)),8)="FELICITA","N/A",IF($AE150="","",IFERROR(VLOOKUP(UPPER(TRIM($AE150)),Config!$A$6:$D$8,2,FALSE),IFERROR(VLOOKUP(IF(LEFT(UPPER(TRIM($AE150)),5)="SUPER","SUPER SALUD",IF(LEFT(UPPER(TRIM($AE150)),8)="SECRETAR","SECRETARIA DE SALUD",IF(LEFT(UPPER(TRIM($AE150)),4)="SEDE","SEDE",UPPER(TRIM($AE150))))),Config!$A$6:$D$8,2,FALSE),"⚠")))))</f>
        <v/>
      </c>
      <c r="AG137" s="30">
        <f>IF($AA150="","",IF(LEFT(UPPER(TRIM($AA150)),8)="FELICITA","N/A",IF($AE150="","",IFERROR(VLOOKUP(UPPER(TRIM($AE150)),Config!$A$6:$D$8,3,FALSE),IFERROR(VLOOKUP(IF(LEFT(UPPER(TRIM($AE150)),5)="SUPER","SUPER SALUD",IF(LEFT(UPPER(TRIM($AE150)),8)="SECRETAR","SECRETARIA DE SALUD",IF(LEFT(UPPER(TRIM($AE150)),4)="SEDE","SEDE",UPPER(TRIM($AE150))))),Config!$A$6:$D$8,3,FALSE),"")))))</f>
        <v/>
      </c>
      <c r="AH137" s="39">
        <f>IF(OR($E150="",NOT(ISNUMBER($E150)),$AF150="",$AF150="N/A",NOT(ISNUMBER($AF150))),"",IF($AG150="Hábiles",WORKDAY(INT($E150),$AF150,Config!$F$6:$F$39),INT($E150)+$AF150))</f>
        <v/>
      </c>
      <c r="AI137" s="30">
        <f>IF($E150="","",IF(LEFT(UPPER(TRIM($AA150)),8)="FELICITA","⭐ Felicitación",IF(NOT(ISNUMBER($E150)),"⚠ Revisar fecha",IF(UPPER(TRIM($AK150))="RESPONDIDA - CERRADA","✅ Cerrada",IF($AE150="","⚠ Falta entidad",IF($AH150="","⚠ Revisar término",IF(TODAY()&gt;$AH150,"🔴 Vencida",IF($AH150-TODAY()&lt;=Config!$B$12,"🟡 Próxima a vencer","🟢 En término"))))))))</f>
        <v/>
      </c>
      <c r="AJ137" s="42">
        <f>IF(OR($E150="",NOT(ISNUMBER($E150))),"",IF(ISNUMBER($AS150),MAX(0,INT($AS150)-INT($E150)),MAX(0,TODAY()-INT($E150))))</f>
        <v/>
      </c>
      <c r="AK137" s="30" t="n"/>
      <c r="AL137" s="30" t="n"/>
      <c r="AM137" s="30" t="n"/>
      <c r="AN137" s="39" t="n"/>
      <c r="AO137" s="30" t="n"/>
      <c r="AP137" s="30" t="n"/>
      <c r="AQ137" s="39" t="n"/>
      <c r="AR137" s="30" t="n"/>
      <c r="AS137" s="39" t="n"/>
      <c r="AT137" s="30">
        <f>IF(OR($AS150="",NOT(ISNUMBER($AS150)),$AH150=""),"",IF(INT($AS150)&lt;=$AH150,"A tiempo","Fuera de término"))</f>
        <v/>
      </c>
      <c r="AU137" s="40" t="n"/>
      <c r="AV137" s="40" t="n"/>
      <c r="AW137" s="40" t="n"/>
      <c r="AX137" s="40" t="n"/>
      <c r="AY137" s="30" t="n"/>
      <c r="AZ137" s="30" t="n"/>
      <c r="BA137" s="30" t="n"/>
    </row>
    <row r="138" ht="15.75" customHeight="1" s="57">
      <c r="A138" s="29" t="n"/>
      <c r="B138" s="30" t="n"/>
      <c r="C138" s="39" t="n"/>
      <c r="D138" s="39" t="n"/>
      <c r="E138" s="39" t="n"/>
      <c r="F138" s="40" t="n"/>
      <c r="G138" s="30" t="n"/>
      <c r="H138" s="30" t="n"/>
      <c r="I138" s="30" t="n"/>
      <c r="J138" s="30" t="n"/>
      <c r="K138" s="30" t="n"/>
      <c r="L138" s="30" t="n"/>
      <c r="M138" s="30" t="n"/>
      <c r="N138" s="30" t="n"/>
      <c r="O138" s="30" t="n"/>
      <c r="P138" s="30" t="n"/>
      <c r="Q138" s="30" t="n"/>
      <c r="R138" s="30" t="n"/>
      <c r="S138" s="30" t="n"/>
      <c r="T138" s="30" t="n"/>
      <c r="U138" s="30" t="n"/>
      <c r="V138" s="30" t="n"/>
      <c r="W138" s="30" t="n"/>
      <c r="X138" s="30" t="n"/>
      <c r="Y138" s="30" t="n"/>
      <c r="Z138" s="30" t="n"/>
      <c r="AA138" s="30" t="n"/>
      <c r="AB138" s="30" t="n"/>
      <c r="AC138" s="30" t="n"/>
      <c r="AD138" s="41" t="n"/>
      <c r="AE138" s="30" t="n"/>
      <c r="AF138" s="42">
        <f>IF($AA151="","",IF(LEFT(UPPER(TRIM($AA151)),8)="FELICITA","N/A",IF($AE151="","",IFERROR(VLOOKUP(UPPER(TRIM($AE151)),Config!$A$6:$D$8,2,FALSE),IFERROR(VLOOKUP(IF(LEFT(UPPER(TRIM($AE151)),5)="SUPER","SUPER SALUD",IF(LEFT(UPPER(TRIM($AE151)),8)="SECRETAR","SECRETARIA DE SALUD",IF(LEFT(UPPER(TRIM($AE151)),4)="SEDE","SEDE",UPPER(TRIM($AE151))))),Config!$A$6:$D$8,2,FALSE),"⚠")))))</f>
        <v/>
      </c>
      <c r="AG138" s="30">
        <f>IF($AA151="","",IF(LEFT(UPPER(TRIM($AA151)),8)="FELICITA","N/A",IF($AE151="","",IFERROR(VLOOKUP(UPPER(TRIM($AE151)),Config!$A$6:$D$8,3,FALSE),IFERROR(VLOOKUP(IF(LEFT(UPPER(TRIM($AE151)),5)="SUPER","SUPER SALUD",IF(LEFT(UPPER(TRIM($AE151)),8)="SECRETAR","SECRETARIA DE SALUD",IF(LEFT(UPPER(TRIM($AE151)),4)="SEDE","SEDE",UPPER(TRIM($AE151))))),Config!$A$6:$D$8,3,FALSE),"")))))</f>
        <v/>
      </c>
      <c r="AH138" s="39">
        <f>IF(OR($E151="",NOT(ISNUMBER($E151)),$AF151="",$AF151="N/A",NOT(ISNUMBER($AF151))),"",IF($AG151="Hábiles",WORKDAY(INT($E151),$AF151,Config!$F$6:$F$39),INT($E151)+$AF151))</f>
        <v/>
      </c>
      <c r="AI138" s="30">
        <f>IF($E151="","",IF(LEFT(UPPER(TRIM($AA151)),8)="FELICITA","⭐ Felicitación",IF(NOT(ISNUMBER($E151)),"⚠ Revisar fecha",IF(UPPER(TRIM($AK151))="RESPONDIDA - CERRADA","✅ Cerrada",IF($AE151="","⚠ Falta entidad",IF($AH151="","⚠ Revisar término",IF(TODAY()&gt;$AH151,"🔴 Vencida",IF($AH151-TODAY()&lt;=Config!$B$12,"🟡 Próxima a vencer","🟢 En término"))))))))</f>
        <v/>
      </c>
      <c r="AJ138" s="42">
        <f>IF(OR($E151="",NOT(ISNUMBER($E151))),"",IF(ISNUMBER($AS151),MAX(0,INT($AS151)-INT($E151)),MAX(0,TODAY()-INT($E151))))</f>
        <v/>
      </c>
      <c r="AK138" s="30" t="n"/>
      <c r="AL138" s="30" t="n"/>
      <c r="AM138" s="30" t="n"/>
      <c r="AN138" s="39" t="n"/>
      <c r="AO138" s="30" t="n"/>
      <c r="AP138" s="30" t="n"/>
      <c r="AQ138" s="39" t="n"/>
      <c r="AR138" s="30" t="n"/>
      <c r="AS138" s="39" t="n"/>
      <c r="AT138" s="30">
        <f>IF(OR($AS151="",NOT(ISNUMBER($AS151)),$AH151=""),"",IF(INT($AS151)&lt;=$AH151,"A tiempo","Fuera de término"))</f>
        <v/>
      </c>
      <c r="AU138" s="40" t="n"/>
      <c r="AV138" s="40" t="n"/>
      <c r="AW138" s="40" t="n"/>
      <c r="AX138" s="40" t="n"/>
      <c r="AY138" s="30" t="n"/>
      <c r="AZ138" s="30" t="n"/>
      <c r="BA138" s="30" t="n"/>
    </row>
    <row r="139" ht="15.75" customHeight="1" s="57">
      <c r="A139" s="29" t="n"/>
      <c r="B139" s="30" t="n"/>
      <c r="C139" s="39" t="n"/>
      <c r="D139" s="39" t="n"/>
      <c r="E139" s="39" t="n"/>
      <c r="F139" s="40" t="n"/>
      <c r="G139" s="30" t="n"/>
      <c r="H139" s="30" t="n"/>
      <c r="I139" s="30" t="n"/>
      <c r="J139" s="30" t="n"/>
      <c r="K139" s="30" t="n"/>
      <c r="L139" s="30" t="n"/>
      <c r="M139" s="30" t="n"/>
      <c r="N139" s="30" t="n"/>
      <c r="O139" s="30" t="n"/>
      <c r="P139" s="30" t="n"/>
      <c r="Q139" s="30" t="n"/>
      <c r="R139" s="30" t="n"/>
      <c r="S139" s="30" t="n"/>
      <c r="T139" s="30" t="n"/>
      <c r="U139" s="30" t="n"/>
      <c r="V139" s="30" t="n"/>
      <c r="W139" s="30" t="n"/>
      <c r="X139" s="30" t="n"/>
      <c r="Y139" s="30" t="n"/>
      <c r="Z139" s="30" t="n"/>
      <c r="AA139" s="30" t="n"/>
      <c r="AB139" s="30" t="n"/>
      <c r="AC139" s="30" t="n"/>
      <c r="AD139" s="41" t="n"/>
      <c r="AE139" s="30" t="n"/>
      <c r="AF139" s="42">
        <f>IF($AA152="","",IF(LEFT(UPPER(TRIM($AA152)),8)="FELICITA","N/A",IF($AE152="","",IFERROR(VLOOKUP(UPPER(TRIM($AE152)),Config!$A$6:$D$8,2,FALSE),IFERROR(VLOOKUP(IF(LEFT(UPPER(TRIM($AE152)),5)="SUPER","SUPER SALUD",IF(LEFT(UPPER(TRIM($AE152)),8)="SECRETAR","SECRETARIA DE SALUD",IF(LEFT(UPPER(TRIM($AE152)),4)="SEDE","SEDE",UPPER(TRIM($AE152))))),Config!$A$6:$D$8,2,FALSE),"⚠")))))</f>
        <v/>
      </c>
      <c r="AG139" s="30">
        <f>IF($AA152="","",IF(LEFT(UPPER(TRIM($AA152)),8)="FELICITA","N/A",IF($AE152="","",IFERROR(VLOOKUP(UPPER(TRIM($AE152)),Config!$A$6:$D$8,3,FALSE),IFERROR(VLOOKUP(IF(LEFT(UPPER(TRIM($AE152)),5)="SUPER","SUPER SALUD",IF(LEFT(UPPER(TRIM($AE152)),8)="SECRETAR","SECRETARIA DE SALUD",IF(LEFT(UPPER(TRIM($AE152)),4)="SEDE","SEDE",UPPER(TRIM($AE152))))),Config!$A$6:$D$8,3,FALSE),"")))))</f>
        <v/>
      </c>
      <c r="AH139" s="39">
        <f>IF(OR($E152="",NOT(ISNUMBER($E152)),$AF152="",$AF152="N/A",NOT(ISNUMBER($AF152))),"",IF($AG152="Hábiles",WORKDAY(INT($E152),$AF152,Config!$F$6:$F$39),INT($E152)+$AF152))</f>
        <v/>
      </c>
      <c r="AI139" s="30">
        <f>IF($E152="","",IF(LEFT(UPPER(TRIM($AA152)),8)="FELICITA","⭐ Felicitación",IF(NOT(ISNUMBER($E152)),"⚠ Revisar fecha",IF(UPPER(TRIM($AK152))="RESPONDIDA - CERRADA","✅ Cerrada",IF($AE152="","⚠ Falta entidad",IF($AH152="","⚠ Revisar término",IF(TODAY()&gt;$AH152,"🔴 Vencida",IF($AH152-TODAY()&lt;=Config!$B$12,"🟡 Próxima a vencer","🟢 En término"))))))))</f>
        <v/>
      </c>
      <c r="AJ139" s="42">
        <f>IF(OR($E152="",NOT(ISNUMBER($E152))),"",IF(ISNUMBER($AS152),MAX(0,INT($AS152)-INT($E152)),MAX(0,TODAY()-INT($E152))))</f>
        <v/>
      </c>
      <c r="AK139" s="30" t="n"/>
      <c r="AL139" s="30" t="n"/>
      <c r="AM139" s="30" t="n"/>
      <c r="AN139" s="39" t="n"/>
      <c r="AO139" s="30" t="n"/>
      <c r="AP139" s="30" t="n"/>
      <c r="AQ139" s="39" t="n"/>
      <c r="AR139" s="30" t="n"/>
      <c r="AS139" s="39" t="n"/>
      <c r="AT139" s="30">
        <f>IF(OR($AS152="",NOT(ISNUMBER($AS152)),$AH152=""),"",IF(INT($AS152)&lt;=$AH152,"A tiempo","Fuera de término"))</f>
        <v/>
      </c>
      <c r="AU139" s="40" t="n"/>
      <c r="AV139" s="40" t="n"/>
      <c r="AW139" s="40" t="n"/>
      <c r="AX139" s="40" t="n"/>
      <c r="AY139" s="30" t="n"/>
      <c r="AZ139" s="30" t="n"/>
      <c r="BA139" s="30" t="n"/>
    </row>
    <row r="140" ht="15.75" customHeight="1" s="57">
      <c r="A140" s="29" t="n"/>
      <c r="B140" s="30" t="n"/>
      <c r="C140" s="39" t="n"/>
      <c r="D140" s="39" t="n"/>
      <c r="E140" s="39" t="n"/>
      <c r="F140" s="40" t="n"/>
      <c r="G140" s="30" t="n"/>
      <c r="H140" s="30" t="n"/>
      <c r="I140" s="30" t="n"/>
      <c r="J140" s="30" t="n"/>
      <c r="K140" s="30" t="n"/>
      <c r="L140" s="30" t="n"/>
      <c r="M140" s="30" t="n"/>
      <c r="N140" s="30" t="n"/>
      <c r="O140" s="30" t="n"/>
      <c r="P140" s="30" t="n"/>
      <c r="Q140" s="30" t="n"/>
      <c r="R140" s="30" t="n"/>
      <c r="S140" s="30" t="n"/>
      <c r="T140" s="30" t="n"/>
      <c r="U140" s="30" t="n"/>
      <c r="V140" s="30" t="n"/>
      <c r="W140" s="30" t="n"/>
      <c r="X140" s="30" t="n"/>
      <c r="Y140" s="30" t="n"/>
      <c r="Z140" s="30" t="n"/>
      <c r="AA140" s="30" t="n"/>
      <c r="AB140" s="30" t="n"/>
      <c r="AC140" s="30" t="n"/>
      <c r="AD140" s="41" t="n"/>
      <c r="AE140" s="30" t="n"/>
      <c r="AF140" s="42">
        <f>IF($AA153="","",IF(LEFT(UPPER(TRIM($AA153)),8)="FELICITA","N/A",IF($AE153="","",IFERROR(VLOOKUP(UPPER(TRIM($AE153)),Config!$A$6:$D$8,2,FALSE),IFERROR(VLOOKUP(IF(LEFT(UPPER(TRIM($AE153)),5)="SUPER","SUPER SALUD",IF(LEFT(UPPER(TRIM($AE153)),8)="SECRETAR","SECRETARIA DE SALUD",IF(LEFT(UPPER(TRIM($AE153)),4)="SEDE","SEDE",UPPER(TRIM($AE153))))),Config!$A$6:$D$8,2,FALSE),"⚠")))))</f>
        <v/>
      </c>
      <c r="AG140" s="30">
        <f>IF($AA153="","",IF(LEFT(UPPER(TRIM($AA153)),8)="FELICITA","N/A",IF($AE153="","",IFERROR(VLOOKUP(UPPER(TRIM($AE153)),Config!$A$6:$D$8,3,FALSE),IFERROR(VLOOKUP(IF(LEFT(UPPER(TRIM($AE153)),5)="SUPER","SUPER SALUD",IF(LEFT(UPPER(TRIM($AE153)),8)="SECRETAR","SECRETARIA DE SALUD",IF(LEFT(UPPER(TRIM($AE153)),4)="SEDE","SEDE",UPPER(TRIM($AE153))))),Config!$A$6:$D$8,3,FALSE),"")))))</f>
        <v/>
      </c>
      <c r="AH140" s="39">
        <f>IF(OR($E153="",NOT(ISNUMBER($E153)),$AF153="",$AF153="N/A",NOT(ISNUMBER($AF153))),"",IF($AG153="Hábiles",WORKDAY(INT($E153),$AF153,Config!$F$6:$F$39),INT($E153)+$AF153))</f>
        <v/>
      </c>
      <c r="AI140" s="30">
        <f>IF($E153="","",IF(LEFT(UPPER(TRIM($AA153)),8)="FELICITA","⭐ Felicitación",IF(NOT(ISNUMBER($E153)),"⚠ Revisar fecha",IF(UPPER(TRIM($AK153))="RESPONDIDA - CERRADA","✅ Cerrada",IF($AE153="","⚠ Falta entidad",IF($AH153="","⚠ Revisar término",IF(TODAY()&gt;$AH153,"🔴 Vencida",IF($AH153-TODAY()&lt;=Config!$B$12,"🟡 Próxima a vencer","🟢 En término"))))))))</f>
        <v/>
      </c>
      <c r="AJ140" s="42">
        <f>IF(OR($E153="",NOT(ISNUMBER($E153))),"",IF(ISNUMBER($AS153),MAX(0,INT($AS153)-INT($E153)),MAX(0,TODAY()-INT($E153))))</f>
        <v/>
      </c>
      <c r="AK140" s="30" t="n"/>
      <c r="AL140" s="30" t="n"/>
      <c r="AM140" s="30" t="n"/>
      <c r="AN140" s="39" t="n"/>
      <c r="AO140" s="30" t="n"/>
      <c r="AP140" s="30" t="n"/>
      <c r="AQ140" s="39" t="n"/>
      <c r="AR140" s="30" t="n"/>
      <c r="AS140" s="39" t="n"/>
      <c r="AT140" s="30">
        <f>IF(OR($AS153="",NOT(ISNUMBER($AS153)),$AH153=""),"",IF(INT($AS153)&lt;=$AH153,"A tiempo","Fuera de término"))</f>
        <v/>
      </c>
      <c r="AU140" s="40" t="n"/>
      <c r="AV140" s="40" t="n"/>
      <c r="AW140" s="40" t="n"/>
      <c r="AX140" s="40" t="n"/>
      <c r="AY140" s="30" t="n"/>
      <c r="AZ140" s="30" t="n"/>
      <c r="BA140" s="30" t="n"/>
    </row>
    <row r="141" ht="15.75" customHeight="1" s="57">
      <c r="A141" s="29" t="n"/>
      <c r="B141" s="30" t="n"/>
      <c r="C141" s="39" t="n"/>
      <c r="D141" s="39" t="n"/>
      <c r="E141" s="39" t="n"/>
      <c r="F141" s="40" t="n"/>
      <c r="G141" s="30" t="n"/>
      <c r="H141" s="30" t="n"/>
      <c r="I141" s="30" t="n"/>
      <c r="J141" s="30" t="n"/>
      <c r="K141" s="30" t="n"/>
      <c r="L141" s="30" t="n"/>
      <c r="M141" s="30" t="n"/>
      <c r="N141" s="30" t="n"/>
      <c r="O141" s="30" t="n"/>
      <c r="P141" s="30" t="n"/>
      <c r="Q141" s="30" t="n"/>
      <c r="R141" s="30" t="n"/>
      <c r="S141" s="30" t="n"/>
      <c r="T141" s="30" t="n"/>
      <c r="U141" s="30" t="n"/>
      <c r="V141" s="30" t="n"/>
      <c r="W141" s="30" t="n"/>
      <c r="X141" s="30" t="n"/>
      <c r="Y141" s="30" t="n"/>
      <c r="Z141" s="30" t="n"/>
      <c r="AA141" s="30" t="n"/>
      <c r="AB141" s="30" t="n"/>
      <c r="AC141" s="30" t="n"/>
      <c r="AD141" s="41" t="n"/>
      <c r="AE141" s="30" t="n"/>
      <c r="AF141" s="42">
        <f>IF($AA154="","",IF(LEFT(UPPER(TRIM($AA154)),8)="FELICITA","N/A",IF($AE154="","",IFERROR(VLOOKUP(UPPER(TRIM($AE154)),Config!$A$6:$D$8,2,FALSE),IFERROR(VLOOKUP(IF(LEFT(UPPER(TRIM($AE154)),5)="SUPER","SUPER SALUD",IF(LEFT(UPPER(TRIM($AE154)),8)="SECRETAR","SECRETARIA DE SALUD",IF(LEFT(UPPER(TRIM($AE154)),4)="SEDE","SEDE",UPPER(TRIM($AE154))))),Config!$A$6:$D$8,2,FALSE),"⚠")))))</f>
        <v/>
      </c>
      <c r="AG141" s="30">
        <f>IF($AA154="","",IF(LEFT(UPPER(TRIM($AA154)),8)="FELICITA","N/A",IF($AE154="","",IFERROR(VLOOKUP(UPPER(TRIM($AE154)),Config!$A$6:$D$8,3,FALSE),IFERROR(VLOOKUP(IF(LEFT(UPPER(TRIM($AE154)),5)="SUPER","SUPER SALUD",IF(LEFT(UPPER(TRIM($AE154)),8)="SECRETAR","SECRETARIA DE SALUD",IF(LEFT(UPPER(TRIM($AE154)),4)="SEDE","SEDE",UPPER(TRIM($AE154))))),Config!$A$6:$D$8,3,FALSE),"")))))</f>
        <v/>
      </c>
      <c r="AH141" s="39">
        <f>IF(OR($E154="",NOT(ISNUMBER($E154)),$AF154="",$AF154="N/A",NOT(ISNUMBER($AF154))),"",IF($AG154="Hábiles",WORKDAY(INT($E154),$AF154,Config!$F$6:$F$39),INT($E154)+$AF154))</f>
        <v/>
      </c>
      <c r="AI141" s="30">
        <f>IF($E154="","",IF(LEFT(UPPER(TRIM($AA154)),8)="FELICITA","⭐ Felicitación",IF(NOT(ISNUMBER($E154)),"⚠ Revisar fecha",IF(UPPER(TRIM($AK154))="RESPONDIDA - CERRADA","✅ Cerrada",IF($AE154="","⚠ Falta entidad",IF($AH154="","⚠ Revisar término",IF(TODAY()&gt;$AH154,"🔴 Vencida",IF($AH154-TODAY()&lt;=Config!$B$12,"🟡 Próxima a vencer","🟢 En término"))))))))</f>
        <v/>
      </c>
      <c r="AJ141" s="42">
        <f>IF(OR($E154="",NOT(ISNUMBER($E154))),"",IF(ISNUMBER($AS154),MAX(0,INT($AS154)-INT($E154)),MAX(0,TODAY()-INT($E154))))</f>
        <v/>
      </c>
      <c r="AK141" s="30" t="n"/>
      <c r="AL141" s="30" t="n"/>
      <c r="AM141" s="30" t="n"/>
      <c r="AN141" s="39" t="n"/>
      <c r="AO141" s="30" t="n"/>
      <c r="AP141" s="30" t="n"/>
      <c r="AQ141" s="39" t="n"/>
      <c r="AR141" s="30" t="n"/>
      <c r="AS141" s="39" t="n"/>
      <c r="AT141" s="30">
        <f>IF(OR($AS154="",NOT(ISNUMBER($AS154)),$AH154=""),"",IF(INT($AS154)&lt;=$AH154,"A tiempo","Fuera de término"))</f>
        <v/>
      </c>
      <c r="AU141" s="40" t="n"/>
      <c r="AV141" s="40" t="n"/>
      <c r="AW141" s="40" t="n"/>
      <c r="AX141" s="40" t="n"/>
      <c r="AY141" s="30" t="n"/>
      <c r="AZ141" s="30" t="n"/>
      <c r="BA141" s="30" t="n"/>
    </row>
    <row r="142" ht="15.75" customHeight="1" s="57">
      <c r="A142" s="29" t="n"/>
      <c r="B142" s="30" t="n"/>
      <c r="C142" s="39" t="n"/>
      <c r="D142" s="39" t="n"/>
      <c r="E142" s="39" t="n"/>
      <c r="F142" s="40" t="n"/>
      <c r="G142" s="30" t="n"/>
      <c r="H142" s="30" t="n"/>
      <c r="I142" s="30" t="n"/>
      <c r="J142" s="30" t="n"/>
      <c r="K142" s="30" t="n"/>
      <c r="L142" s="30" t="n"/>
      <c r="M142" s="30" t="n"/>
      <c r="N142" s="30" t="n"/>
      <c r="O142" s="30" t="n"/>
      <c r="P142" s="30" t="n"/>
      <c r="Q142" s="30" t="n"/>
      <c r="R142" s="30" t="n"/>
      <c r="S142" s="30" t="n"/>
      <c r="T142" s="30" t="n"/>
      <c r="U142" s="30" t="n"/>
      <c r="V142" s="30" t="n"/>
      <c r="W142" s="30" t="n"/>
      <c r="X142" s="30" t="n"/>
      <c r="Y142" s="30" t="n"/>
      <c r="Z142" s="30" t="n"/>
      <c r="AA142" s="30" t="n"/>
      <c r="AB142" s="30" t="n"/>
      <c r="AC142" s="30" t="n"/>
      <c r="AD142" s="41" t="n"/>
      <c r="AE142" s="30" t="n"/>
      <c r="AF142" s="42">
        <f>IF($AA155="","",IF(LEFT(UPPER(TRIM($AA155)),8)="FELICITA","N/A",IF($AE155="","",IFERROR(VLOOKUP(UPPER(TRIM($AE155)),Config!$A$6:$D$8,2,FALSE),IFERROR(VLOOKUP(IF(LEFT(UPPER(TRIM($AE155)),5)="SUPER","SUPER SALUD",IF(LEFT(UPPER(TRIM($AE155)),8)="SECRETAR","SECRETARIA DE SALUD",IF(LEFT(UPPER(TRIM($AE155)),4)="SEDE","SEDE",UPPER(TRIM($AE155))))),Config!$A$6:$D$8,2,FALSE),"⚠")))))</f>
        <v/>
      </c>
      <c r="AG142" s="30">
        <f>IF($AA155="","",IF(LEFT(UPPER(TRIM($AA155)),8)="FELICITA","N/A",IF($AE155="","",IFERROR(VLOOKUP(UPPER(TRIM($AE155)),Config!$A$6:$D$8,3,FALSE),IFERROR(VLOOKUP(IF(LEFT(UPPER(TRIM($AE155)),5)="SUPER","SUPER SALUD",IF(LEFT(UPPER(TRIM($AE155)),8)="SECRETAR","SECRETARIA DE SALUD",IF(LEFT(UPPER(TRIM($AE155)),4)="SEDE","SEDE",UPPER(TRIM($AE155))))),Config!$A$6:$D$8,3,FALSE),"")))))</f>
        <v/>
      </c>
      <c r="AH142" s="39">
        <f>IF(OR($E155="",NOT(ISNUMBER($E155)),$AF155="",$AF155="N/A",NOT(ISNUMBER($AF155))),"",IF($AG155="Hábiles",WORKDAY(INT($E155),$AF155,Config!$F$6:$F$39),INT($E155)+$AF155))</f>
        <v/>
      </c>
      <c r="AI142" s="30">
        <f>IF($E155="","",IF(LEFT(UPPER(TRIM($AA155)),8)="FELICITA","⭐ Felicitación",IF(NOT(ISNUMBER($E155)),"⚠ Revisar fecha",IF(UPPER(TRIM($AK155))="RESPONDIDA - CERRADA","✅ Cerrada",IF($AE155="","⚠ Falta entidad",IF($AH155="","⚠ Revisar término",IF(TODAY()&gt;$AH155,"🔴 Vencida",IF($AH155-TODAY()&lt;=Config!$B$12,"🟡 Próxima a vencer","🟢 En término"))))))))</f>
        <v/>
      </c>
      <c r="AJ142" s="42">
        <f>IF(OR($E155="",NOT(ISNUMBER($E155))),"",IF(ISNUMBER($AS155),MAX(0,INT($AS155)-INT($E155)),MAX(0,TODAY()-INT($E155))))</f>
        <v/>
      </c>
      <c r="AK142" s="30" t="n"/>
      <c r="AL142" s="30" t="n"/>
      <c r="AM142" s="30" t="n"/>
      <c r="AN142" s="39" t="n"/>
      <c r="AO142" s="30" t="n"/>
      <c r="AP142" s="30" t="n"/>
      <c r="AQ142" s="39" t="n"/>
      <c r="AR142" s="30" t="n"/>
      <c r="AS142" s="39" t="n"/>
      <c r="AT142" s="30">
        <f>IF(OR($AS155="",NOT(ISNUMBER($AS155)),$AH155=""),"",IF(INT($AS155)&lt;=$AH155,"A tiempo","Fuera de término"))</f>
        <v/>
      </c>
      <c r="AU142" s="40" t="n"/>
      <c r="AV142" s="40" t="n"/>
      <c r="AW142" s="40" t="n"/>
      <c r="AX142" s="40" t="n"/>
      <c r="AY142" s="30" t="n"/>
      <c r="AZ142" s="30" t="n"/>
      <c r="BA142" s="30" t="n"/>
    </row>
    <row r="143" ht="15.75" customHeight="1" s="57">
      <c r="A143" s="29" t="n"/>
      <c r="B143" s="30" t="n"/>
      <c r="C143" s="39" t="n"/>
      <c r="D143" s="39" t="n"/>
      <c r="E143" s="39" t="n"/>
      <c r="F143" s="40" t="n"/>
      <c r="G143" s="30" t="n"/>
      <c r="H143" s="30" t="n"/>
      <c r="I143" s="30" t="n"/>
      <c r="J143" s="30" t="n"/>
      <c r="K143" s="30" t="n"/>
      <c r="L143" s="30" t="n"/>
      <c r="M143" s="30" t="n"/>
      <c r="N143" s="30" t="n"/>
      <c r="O143" s="30" t="n"/>
      <c r="P143" s="30" t="n"/>
      <c r="Q143" s="30" t="n"/>
      <c r="R143" s="30" t="n"/>
      <c r="S143" s="30" t="n"/>
      <c r="T143" s="30" t="n"/>
      <c r="U143" s="30" t="n"/>
      <c r="V143" s="30" t="n"/>
      <c r="W143" s="30" t="n"/>
      <c r="X143" s="30" t="n"/>
      <c r="Y143" s="30" t="n"/>
      <c r="Z143" s="30" t="n"/>
      <c r="AA143" s="30" t="n"/>
      <c r="AB143" s="30" t="n"/>
      <c r="AC143" s="30" t="n"/>
      <c r="AD143" s="41" t="n"/>
      <c r="AE143" s="30" t="n"/>
      <c r="AF143" s="42">
        <f>IF($AA156="","",IF(LEFT(UPPER(TRIM($AA156)),8)="FELICITA","N/A",IF($AE156="","",IFERROR(VLOOKUP(UPPER(TRIM($AE156)),Config!$A$6:$D$8,2,FALSE),IFERROR(VLOOKUP(IF(LEFT(UPPER(TRIM($AE156)),5)="SUPER","SUPER SALUD",IF(LEFT(UPPER(TRIM($AE156)),8)="SECRETAR","SECRETARIA DE SALUD",IF(LEFT(UPPER(TRIM($AE156)),4)="SEDE","SEDE",UPPER(TRIM($AE156))))),Config!$A$6:$D$8,2,FALSE),"⚠")))))</f>
        <v/>
      </c>
      <c r="AG143" s="30">
        <f>IF($AA156="","",IF(LEFT(UPPER(TRIM($AA156)),8)="FELICITA","N/A",IF($AE156="","",IFERROR(VLOOKUP(UPPER(TRIM($AE156)),Config!$A$6:$D$8,3,FALSE),IFERROR(VLOOKUP(IF(LEFT(UPPER(TRIM($AE156)),5)="SUPER","SUPER SALUD",IF(LEFT(UPPER(TRIM($AE156)),8)="SECRETAR","SECRETARIA DE SALUD",IF(LEFT(UPPER(TRIM($AE156)),4)="SEDE","SEDE",UPPER(TRIM($AE156))))),Config!$A$6:$D$8,3,FALSE),"")))))</f>
        <v/>
      </c>
      <c r="AH143" s="39">
        <f>IF(OR($E156="",NOT(ISNUMBER($E156)),$AF156="",$AF156="N/A",NOT(ISNUMBER($AF156))),"",IF($AG156="Hábiles",WORKDAY(INT($E156),$AF156,Config!$F$6:$F$39),INT($E156)+$AF156))</f>
        <v/>
      </c>
      <c r="AI143" s="30">
        <f>IF($E156="","",IF(LEFT(UPPER(TRIM($AA156)),8)="FELICITA","⭐ Felicitación",IF(NOT(ISNUMBER($E156)),"⚠ Revisar fecha",IF(UPPER(TRIM($AK156))="RESPONDIDA - CERRADA","✅ Cerrada",IF($AE156="","⚠ Falta entidad",IF($AH156="","⚠ Revisar término",IF(TODAY()&gt;$AH156,"🔴 Vencida",IF($AH156-TODAY()&lt;=Config!$B$12,"🟡 Próxima a vencer","🟢 En término"))))))))</f>
        <v/>
      </c>
      <c r="AJ143" s="42">
        <f>IF(OR($E156="",NOT(ISNUMBER($E156))),"",IF(ISNUMBER($AS156),MAX(0,INT($AS156)-INT($E156)),MAX(0,TODAY()-INT($E156))))</f>
        <v/>
      </c>
      <c r="AK143" s="30" t="n"/>
      <c r="AL143" s="30" t="n"/>
      <c r="AM143" s="30" t="n"/>
      <c r="AN143" s="39" t="n"/>
      <c r="AO143" s="30" t="n"/>
      <c r="AP143" s="30" t="n"/>
      <c r="AQ143" s="39" t="n"/>
      <c r="AR143" s="30" t="n"/>
      <c r="AS143" s="39" t="n"/>
      <c r="AT143" s="30">
        <f>IF(OR($AS156="",NOT(ISNUMBER($AS156)),$AH156=""),"",IF(INT($AS156)&lt;=$AH156,"A tiempo","Fuera de término"))</f>
        <v/>
      </c>
      <c r="AU143" s="40" t="n"/>
      <c r="AV143" s="40" t="n"/>
      <c r="AW143" s="40" t="n"/>
      <c r="AX143" s="40" t="n"/>
      <c r="AY143" s="30" t="n"/>
      <c r="AZ143" s="30" t="n"/>
      <c r="BA143" s="30" t="n"/>
    </row>
    <row r="144" ht="15.75" customHeight="1" s="57">
      <c r="A144" s="29" t="n"/>
      <c r="B144" s="30" t="n"/>
      <c r="C144" s="39" t="n"/>
      <c r="D144" s="39" t="n"/>
      <c r="E144" s="39" t="n"/>
      <c r="F144" s="40" t="n"/>
      <c r="G144" s="30" t="n"/>
      <c r="H144" s="30" t="n"/>
      <c r="I144" s="30" t="n"/>
      <c r="J144" s="30" t="n"/>
      <c r="K144" s="30" t="n"/>
      <c r="L144" s="30" t="n"/>
      <c r="M144" s="30" t="n"/>
      <c r="N144" s="30" t="n"/>
      <c r="O144" s="30" t="n"/>
      <c r="P144" s="30" t="n"/>
      <c r="Q144" s="30" t="n"/>
      <c r="R144" s="30" t="n"/>
      <c r="S144" s="30" t="n"/>
      <c r="T144" s="30" t="n"/>
      <c r="U144" s="30" t="n"/>
      <c r="V144" s="30" t="n"/>
      <c r="W144" s="30" t="n"/>
      <c r="X144" s="30" t="n"/>
      <c r="Y144" s="30" t="n"/>
      <c r="Z144" s="30" t="n"/>
      <c r="AA144" s="30" t="n"/>
      <c r="AB144" s="30" t="n"/>
      <c r="AC144" s="30" t="n"/>
      <c r="AD144" s="41" t="n"/>
      <c r="AE144" s="30" t="n"/>
      <c r="AF144" s="42">
        <f>IF($AA157="","",IF(LEFT(UPPER(TRIM($AA157)),8)="FELICITA","N/A",IF($AE157="","",IFERROR(VLOOKUP(UPPER(TRIM($AE157)),Config!$A$6:$D$8,2,FALSE),IFERROR(VLOOKUP(IF(LEFT(UPPER(TRIM($AE157)),5)="SUPER","SUPER SALUD",IF(LEFT(UPPER(TRIM($AE157)),8)="SECRETAR","SECRETARIA DE SALUD",IF(LEFT(UPPER(TRIM($AE157)),4)="SEDE","SEDE",UPPER(TRIM($AE157))))),Config!$A$6:$D$8,2,FALSE),"⚠")))))</f>
        <v/>
      </c>
      <c r="AG144" s="30">
        <f>IF($AA157="","",IF(LEFT(UPPER(TRIM($AA157)),8)="FELICITA","N/A",IF($AE157="","",IFERROR(VLOOKUP(UPPER(TRIM($AE157)),Config!$A$6:$D$8,3,FALSE),IFERROR(VLOOKUP(IF(LEFT(UPPER(TRIM($AE157)),5)="SUPER","SUPER SALUD",IF(LEFT(UPPER(TRIM($AE157)),8)="SECRETAR","SECRETARIA DE SALUD",IF(LEFT(UPPER(TRIM($AE157)),4)="SEDE","SEDE",UPPER(TRIM($AE157))))),Config!$A$6:$D$8,3,FALSE),"")))))</f>
        <v/>
      </c>
      <c r="AH144" s="39">
        <f>IF(OR($E157="",NOT(ISNUMBER($E157)),$AF157="",$AF157="N/A",NOT(ISNUMBER($AF157))),"",IF($AG157="Hábiles",WORKDAY(INT($E157),$AF157,Config!$F$6:$F$39),INT($E157)+$AF157))</f>
        <v/>
      </c>
      <c r="AI144" s="30">
        <f>IF($E157="","",IF(LEFT(UPPER(TRIM($AA157)),8)="FELICITA","⭐ Felicitación",IF(NOT(ISNUMBER($E157)),"⚠ Revisar fecha",IF(UPPER(TRIM($AK157))="RESPONDIDA - CERRADA","✅ Cerrada",IF($AE157="","⚠ Falta entidad",IF($AH157="","⚠ Revisar término",IF(TODAY()&gt;$AH157,"🔴 Vencida",IF($AH157-TODAY()&lt;=Config!$B$12,"🟡 Próxima a vencer","🟢 En término"))))))))</f>
        <v/>
      </c>
      <c r="AJ144" s="42">
        <f>IF(OR($E157="",NOT(ISNUMBER($E157))),"",IF(ISNUMBER($AS157),MAX(0,INT($AS157)-INT($E157)),MAX(0,TODAY()-INT($E157))))</f>
        <v/>
      </c>
      <c r="AK144" s="30" t="n"/>
      <c r="AL144" s="30" t="n"/>
      <c r="AM144" s="30" t="n"/>
      <c r="AN144" s="39" t="n"/>
      <c r="AO144" s="30" t="n"/>
      <c r="AP144" s="30" t="n"/>
      <c r="AQ144" s="39" t="n"/>
      <c r="AR144" s="30" t="n"/>
      <c r="AS144" s="39" t="n"/>
      <c r="AT144" s="30">
        <f>IF(OR($AS157="",NOT(ISNUMBER($AS157)),$AH157=""),"",IF(INT($AS157)&lt;=$AH157,"A tiempo","Fuera de término"))</f>
        <v/>
      </c>
      <c r="AU144" s="40" t="n"/>
      <c r="AV144" s="40" t="n"/>
      <c r="AW144" s="40" t="n"/>
      <c r="AX144" s="40" t="n"/>
      <c r="AY144" s="30" t="n"/>
      <c r="AZ144" s="30" t="n"/>
      <c r="BA144" s="30" t="n"/>
    </row>
    <row r="145" ht="15.75" customHeight="1" s="57">
      <c r="A145" s="29" t="n"/>
      <c r="B145" s="30" t="n"/>
      <c r="C145" s="39" t="n"/>
      <c r="D145" s="39" t="n"/>
      <c r="E145" s="39" t="n"/>
      <c r="F145" s="40" t="n"/>
      <c r="G145" s="30" t="n"/>
      <c r="H145" s="30" t="n"/>
      <c r="I145" s="30" t="n"/>
      <c r="J145" s="30" t="n"/>
      <c r="K145" s="30" t="n"/>
      <c r="L145" s="30" t="n"/>
      <c r="M145" s="30" t="n"/>
      <c r="N145" s="30" t="n"/>
      <c r="O145" s="30" t="n"/>
      <c r="P145" s="30" t="n"/>
      <c r="Q145" s="30" t="n"/>
      <c r="R145" s="30" t="n"/>
      <c r="S145" s="30" t="n"/>
      <c r="T145" s="30" t="n"/>
      <c r="U145" s="30" t="n"/>
      <c r="V145" s="30" t="n"/>
      <c r="W145" s="30" t="n"/>
      <c r="X145" s="30" t="n"/>
      <c r="Y145" s="30" t="n"/>
      <c r="Z145" s="30" t="n"/>
      <c r="AA145" s="30" t="n"/>
      <c r="AB145" s="30" t="n"/>
      <c r="AC145" s="30" t="n"/>
      <c r="AD145" s="41" t="n"/>
      <c r="AE145" s="30" t="n"/>
      <c r="AF145" s="42">
        <f>IF($AA158="","",IF(LEFT(UPPER(TRIM($AA158)),8)="FELICITA","N/A",IF($AE158="","",IFERROR(VLOOKUP(UPPER(TRIM($AE158)),Config!$A$6:$D$8,2,FALSE),IFERROR(VLOOKUP(IF(LEFT(UPPER(TRIM($AE158)),5)="SUPER","SUPER SALUD",IF(LEFT(UPPER(TRIM($AE158)),8)="SECRETAR","SECRETARIA DE SALUD",IF(LEFT(UPPER(TRIM($AE158)),4)="SEDE","SEDE",UPPER(TRIM($AE158))))),Config!$A$6:$D$8,2,FALSE),"⚠")))))</f>
        <v/>
      </c>
      <c r="AG145" s="30">
        <f>IF($AA158="","",IF(LEFT(UPPER(TRIM($AA158)),8)="FELICITA","N/A",IF($AE158="","",IFERROR(VLOOKUP(UPPER(TRIM($AE158)),Config!$A$6:$D$8,3,FALSE),IFERROR(VLOOKUP(IF(LEFT(UPPER(TRIM($AE158)),5)="SUPER","SUPER SALUD",IF(LEFT(UPPER(TRIM($AE158)),8)="SECRETAR","SECRETARIA DE SALUD",IF(LEFT(UPPER(TRIM($AE158)),4)="SEDE","SEDE",UPPER(TRIM($AE158))))),Config!$A$6:$D$8,3,FALSE),"")))))</f>
        <v/>
      </c>
      <c r="AH145" s="39">
        <f>IF(OR($E158="",NOT(ISNUMBER($E158)),$AF158="",$AF158="N/A",NOT(ISNUMBER($AF158))),"",IF($AG158="Hábiles",WORKDAY(INT($E158),$AF158,Config!$F$6:$F$39),INT($E158)+$AF158))</f>
        <v/>
      </c>
      <c r="AI145" s="30">
        <f>IF($E158="","",IF(LEFT(UPPER(TRIM($AA158)),8)="FELICITA","⭐ Felicitación",IF(NOT(ISNUMBER($E158)),"⚠ Revisar fecha",IF(UPPER(TRIM($AK158))="RESPONDIDA - CERRADA","✅ Cerrada",IF($AE158="","⚠ Falta entidad",IF($AH158="","⚠ Revisar término",IF(TODAY()&gt;$AH158,"🔴 Vencida",IF($AH158-TODAY()&lt;=Config!$B$12,"🟡 Próxima a vencer","🟢 En término"))))))))</f>
        <v/>
      </c>
      <c r="AJ145" s="42">
        <f>IF(OR($E158="",NOT(ISNUMBER($E158))),"",IF(ISNUMBER($AS158),MAX(0,INT($AS158)-INT($E158)),MAX(0,TODAY()-INT($E158))))</f>
        <v/>
      </c>
      <c r="AK145" s="30" t="n"/>
      <c r="AL145" s="30" t="n"/>
      <c r="AM145" s="30" t="n"/>
      <c r="AN145" s="39" t="n"/>
      <c r="AO145" s="30" t="n"/>
      <c r="AP145" s="30" t="n"/>
      <c r="AQ145" s="39" t="n"/>
      <c r="AR145" s="30" t="n"/>
      <c r="AS145" s="39" t="n"/>
      <c r="AT145" s="30">
        <f>IF(OR($AS158="",NOT(ISNUMBER($AS158)),$AH158=""),"",IF(INT($AS158)&lt;=$AH158,"A tiempo","Fuera de término"))</f>
        <v/>
      </c>
      <c r="AU145" s="40" t="n"/>
      <c r="AV145" s="40" t="n"/>
      <c r="AW145" s="40" t="n"/>
      <c r="AX145" s="40" t="n"/>
      <c r="AY145" s="30" t="n"/>
      <c r="AZ145" s="30" t="n"/>
      <c r="BA145" s="30" t="n"/>
    </row>
    <row r="146" ht="15.75" customHeight="1" s="57">
      <c r="A146" s="29" t="n"/>
      <c r="B146" s="30" t="n"/>
      <c r="C146" s="39" t="n"/>
      <c r="D146" s="39" t="n"/>
      <c r="E146" s="39" t="n"/>
      <c r="F146" s="40" t="n"/>
      <c r="G146" s="30" t="n"/>
      <c r="H146" s="30" t="n"/>
      <c r="I146" s="30" t="n"/>
      <c r="J146" s="30" t="n"/>
      <c r="K146" s="30" t="n"/>
      <c r="L146" s="30" t="n"/>
      <c r="M146" s="30" t="n"/>
      <c r="N146" s="30" t="n"/>
      <c r="O146" s="30" t="n"/>
      <c r="P146" s="30" t="n"/>
      <c r="Q146" s="30" t="n"/>
      <c r="R146" s="30" t="n"/>
      <c r="S146" s="30" t="n"/>
      <c r="T146" s="30" t="n"/>
      <c r="U146" s="30" t="n"/>
      <c r="V146" s="30" t="n"/>
      <c r="W146" s="30" t="n"/>
      <c r="X146" s="30" t="n"/>
      <c r="Y146" s="30" t="n"/>
      <c r="Z146" s="30" t="n"/>
      <c r="AA146" s="30" t="n"/>
      <c r="AB146" s="30" t="n"/>
      <c r="AC146" s="30" t="n"/>
      <c r="AD146" s="41" t="n"/>
      <c r="AE146" s="30" t="n"/>
      <c r="AF146" s="42">
        <f>IF($AA159="","",IF(LEFT(UPPER(TRIM($AA159)),8)="FELICITA","N/A",IF($AE159="","",IFERROR(VLOOKUP(UPPER(TRIM($AE159)),Config!$A$6:$D$8,2,FALSE),IFERROR(VLOOKUP(IF(LEFT(UPPER(TRIM($AE159)),5)="SUPER","SUPER SALUD",IF(LEFT(UPPER(TRIM($AE159)),8)="SECRETAR","SECRETARIA DE SALUD",IF(LEFT(UPPER(TRIM($AE159)),4)="SEDE","SEDE",UPPER(TRIM($AE159))))),Config!$A$6:$D$8,2,FALSE),"⚠")))))</f>
        <v/>
      </c>
      <c r="AG146" s="30">
        <f>IF($AA159="","",IF(LEFT(UPPER(TRIM($AA159)),8)="FELICITA","N/A",IF($AE159="","",IFERROR(VLOOKUP(UPPER(TRIM($AE159)),Config!$A$6:$D$8,3,FALSE),IFERROR(VLOOKUP(IF(LEFT(UPPER(TRIM($AE159)),5)="SUPER","SUPER SALUD",IF(LEFT(UPPER(TRIM($AE159)),8)="SECRETAR","SECRETARIA DE SALUD",IF(LEFT(UPPER(TRIM($AE159)),4)="SEDE","SEDE",UPPER(TRIM($AE159))))),Config!$A$6:$D$8,3,FALSE),"")))))</f>
        <v/>
      </c>
      <c r="AH146" s="39">
        <f>IF(OR($E159="",NOT(ISNUMBER($E159)),$AF159="",$AF159="N/A",NOT(ISNUMBER($AF159))),"",IF($AG159="Hábiles",WORKDAY(INT($E159),$AF159,Config!$F$6:$F$39),INT($E159)+$AF159))</f>
        <v/>
      </c>
      <c r="AI146" s="30">
        <f>IF($E159="","",IF(LEFT(UPPER(TRIM($AA159)),8)="FELICITA","⭐ Felicitación",IF(NOT(ISNUMBER($E159)),"⚠ Revisar fecha",IF(UPPER(TRIM($AK159))="RESPONDIDA - CERRADA","✅ Cerrada",IF($AE159="","⚠ Falta entidad",IF($AH159="","⚠ Revisar término",IF(TODAY()&gt;$AH159,"🔴 Vencida",IF($AH159-TODAY()&lt;=Config!$B$12,"🟡 Próxima a vencer","🟢 En término"))))))))</f>
        <v/>
      </c>
      <c r="AJ146" s="42">
        <f>IF(OR($E159="",NOT(ISNUMBER($E159))),"",IF(ISNUMBER($AS159),MAX(0,INT($AS159)-INT($E159)),MAX(0,TODAY()-INT($E159))))</f>
        <v/>
      </c>
      <c r="AK146" s="30" t="n"/>
      <c r="AL146" s="30" t="n"/>
      <c r="AM146" s="30" t="n"/>
      <c r="AN146" s="39" t="n"/>
      <c r="AO146" s="30" t="n"/>
      <c r="AP146" s="30" t="n"/>
      <c r="AQ146" s="39" t="n"/>
      <c r="AR146" s="30" t="n"/>
      <c r="AS146" s="39" t="n"/>
      <c r="AT146" s="30">
        <f>IF(OR($AS159="",NOT(ISNUMBER($AS159)),$AH159=""),"",IF(INT($AS159)&lt;=$AH159,"A tiempo","Fuera de término"))</f>
        <v/>
      </c>
      <c r="AU146" s="40" t="n"/>
      <c r="AV146" s="40" t="n"/>
      <c r="AW146" s="40" t="n"/>
      <c r="AX146" s="40" t="n"/>
      <c r="AY146" s="30" t="n"/>
      <c r="AZ146" s="30" t="n"/>
      <c r="BA146" s="30" t="n"/>
    </row>
    <row r="147" ht="15.75" customHeight="1" s="57">
      <c r="A147" s="29" t="n"/>
      <c r="B147" s="30" t="n"/>
      <c r="C147" s="39" t="n"/>
      <c r="D147" s="39" t="n"/>
      <c r="E147" s="39" t="n"/>
      <c r="F147" s="40" t="n"/>
      <c r="G147" s="30" t="n"/>
      <c r="H147" s="30" t="n"/>
      <c r="I147" s="30" t="n"/>
      <c r="J147" s="30" t="n"/>
      <c r="K147" s="30" t="n"/>
      <c r="L147" s="30" t="n"/>
      <c r="M147" s="30" t="n"/>
      <c r="N147" s="30" t="n"/>
      <c r="O147" s="30" t="n"/>
      <c r="P147" s="30" t="n"/>
      <c r="Q147" s="30" t="n"/>
      <c r="R147" s="30" t="n"/>
      <c r="S147" s="30" t="n"/>
      <c r="T147" s="30" t="n"/>
      <c r="U147" s="30" t="n"/>
      <c r="V147" s="30" t="n"/>
      <c r="W147" s="30" t="n"/>
      <c r="X147" s="30" t="n"/>
      <c r="Y147" s="30" t="n"/>
      <c r="Z147" s="30" t="n"/>
      <c r="AA147" s="30" t="n"/>
      <c r="AB147" s="30" t="n"/>
      <c r="AC147" s="30" t="n"/>
      <c r="AD147" s="41" t="n"/>
      <c r="AE147" s="30" t="n"/>
      <c r="AF147" s="42">
        <f>IF($AA160="","",IF(LEFT(UPPER(TRIM($AA160)),8)="FELICITA","N/A",IF($AE160="","",IFERROR(VLOOKUP(UPPER(TRIM($AE160)),Config!$A$6:$D$8,2,FALSE),IFERROR(VLOOKUP(IF(LEFT(UPPER(TRIM($AE160)),5)="SUPER","SUPER SALUD",IF(LEFT(UPPER(TRIM($AE160)),8)="SECRETAR","SECRETARIA DE SALUD",IF(LEFT(UPPER(TRIM($AE160)),4)="SEDE","SEDE",UPPER(TRIM($AE160))))),Config!$A$6:$D$8,2,FALSE),"⚠")))))</f>
        <v/>
      </c>
      <c r="AG147" s="30">
        <f>IF($AA160="","",IF(LEFT(UPPER(TRIM($AA160)),8)="FELICITA","N/A",IF($AE160="","",IFERROR(VLOOKUP(UPPER(TRIM($AE160)),Config!$A$6:$D$8,3,FALSE),IFERROR(VLOOKUP(IF(LEFT(UPPER(TRIM($AE160)),5)="SUPER","SUPER SALUD",IF(LEFT(UPPER(TRIM($AE160)),8)="SECRETAR","SECRETARIA DE SALUD",IF(LEFT(UPPER(TRIM($AE160)),4)="SEDE","SEDE",UPPER(TRIM($AE160))))),Config!$A$6:$D$8,3,FALSE),"")))))</f>
        <v/>
      </c>
      <c r="AH147" s="39">
        <f>IF(OR($E160="",NOT(ISNUMBER($E160)),$AF160="",$AF160="N/A",NOT(ISNUMBER($AF160))),"",IF($AG160="Hábiles",WORKDAY(INT($E160),$AF160,Config!$F$6:$F$39),INT($E160)+$AF160))</f>
        <v/>
      </c>
      <c r="AI147" s="30">
        <f>IF($E160="","",IF(LEFT(UPPER(TRIM($AA160)),8)="FELICITA","⭐ Felicitación",IF(NOT(ISNUMBER($E160)),"⚠ Revisar fecha",IF(UPPER(TRIM($AK160))="RESPONDIDA - CERRADA","✅ Cerrada",IF($AE160="","⚠ Falta entidad",IF($AH160="","⚠ Revisar término",IF(TODAY()&gt;$AH160,"🔴 Vencida",IF($AH160-TODAY()&lt;=Config!$B$12,"🟡 Próxima a vencer","🟢 En término"))))))))</f>
        <v/>
      </c>
      <c r="AJ147" s="42">
        <f>IF(OR($E160="",NOT(ISNUMBER($E160))),"",IF(ISNUMBER($AS160),MAX(0,INT($AS160)-INT($E160)),MAX(0,TODAY()-INT($E160))))</f>
        <v/>
      </c>
      <c r="AK147" s="30" t="n"/>
      <c r="AL147" s="30" t="n"/>
      <c r="AM147" s="30" t="n"/>
      <c r="AN147" s="39" t="n"/>
      <c r="AO147" s="30" t="n"/>
      <c r="AP147" s="30" t="n"/>
      <c r="AQ147" s="39" t="n"/>
      <c r="AR147" s="30" t="n"/>
      <c r="AS147" s="39" t="n"/>
      <c r="AT147" s="30">
        <f>IF(OR($AS160="",NOT(ISNUMBER($AS160)),$AH160=""),"",IF(INT($AS160)&lt;=$AH160,"A tiempo","Fuera de término"))</f>
        <v/>
      </c>
      <c r="AU147" s="40" t="n"/>
      <c r="AV147" s="40" t="n"/>
      <c r="AW147" s="40" t="n"/>
      <c r="AX147" s="40" t="n"/>
      <c r="AY147" s="30" t="n"/>
      <c r="AZ147" s="30" t="n"/>
      <c r="BA147" s="30" t="n"/>
    </row>
    <row r="148" ht="15.75" customHeight="1" s="57">
      <c r="A148" s="29" t="n"/>
      <c r="B148" s="30" t="n"/>
      <c r="C148" s="39" t="n"/>
      <c r="D148" s="39" t="n"/>
      <c r="E148" s="39" t="n"/>
      <c r="F148" s="40" t="n"/>
      <c r="G148" s="30" t="n"/>
      <c r="H148" s="30" t="n"/>
      <c r="I148" s="30" t="n"/>
      <c r="J148" s="30" t="n"/>
      <c r="K148" s="30" t="n"/>
      <c r="L148" s="30" t="n"/>
      <c r="M148" s="30" t="n"/>
      <c r="N148" s="30" t="n"/>
      <c r="O148" s="30" t="n"/>
      <c r="P148" s="30" t="n"/>
      <c r="Q148" s="30" t="n"/>
      <c r="R148" s="30" t="n"/>
      <c r="S148" s="30" t="n"/>
      <c r="T148" s="30" t="n"/>
      <c r="U148" s="30" t="n"/>
      <c r="V148" s="30" t="n"/>
      <c r="W148" s="30" t="n"/>
      <c r="X148" s="30" t="n"/>
      <c r="Y148" s="30" t="n"/>
      <c r="Z148" s="30" t="n"/>
      <c r="AA148" s="30" t="n"/>
      <c r="AB148" s="30" t="n"/>
      <c r="AC148" s="30" t="n"/>
      <c r="AD148" s="41" t="n"/>
      <c r="AE148" s="30" t="n"/>
      <c r="AF148" s="42">
        <f>IF($AA161="","",IF(LEFT(UPPER(TRIM($AA161)),8)="FELICITA","N/A",IF($AE161="","",IFERROR(VLOOKUP(UPPER(TRIM($AE161)),Config!$A$6:$D$8,2,FALSE),IFERROR(VLOOKUP(IF(LEFT(UPPER(TRIM($AE161)),5)="SUPER","SUPER SALUD",IF(LEFT(UPPER(TRIM($AE161)),8)="SECRETAR","SECRETARIA DE SALUD",IF(LEFT(UPPER(TRIM($AE161)),4)="SEDE","SEDE",UPPER(TRIM($AE161))))),Config!$A$6:$D$8,2,FALSE),"⚠")))))</f>
        <v/>
      </c>
      <c r="AG148" s="30">
        <f>IF($AA161="","",IF(LEFT(UPPER(TRIM($AA161)),8)="FELICITA","N/A",IF($AE161="","",IFERROR(VLOOKUP(UPPER(TRIM($AE161)),Config!$A$6:$D$8,3,FALSE),IFERROR(VLOOKUP(IF(LEFT(UPPER(TRIM($AE161)),5)="SUPER","SUPER SALUD",IF(LEFT(UPPER(TRIM($AE161)),8)="SECRETAR","SECRETARIA DE SALUD",IF(LEFT(UPPER(TRIM($AE161)),4)="SEDE","SEDE",UPPER(TRIM($AE161))))),Config!$A$6:$D$8,3,FALSE),"")))))</f>
        <v/>
      </c>
      <c r="AH148" s="39">
        <f>IF(OR($E161="",NOT(ISNUMBER($E161)),$AF161="",$AF161="N/A",NOT(ISNUMBER($AF161))),"",IF($AG161="Hábiles",WORKDAY(INT($E161),$AF161,Config!$F$6:$F$39),INT($E161)+$AF161))</f>
        <v/>
      </c>
      <c r="AI148" s="30">
        <f>IF($E161="","",IF(LEFT(UPPER(TRIM($AA161)),8)="FELICITA","⭐ Felicitación",IF(NOT(ISNUMBER($E161)),"⚠ Revisar fecha",IF(UPPER(TRIM($AK161))="RESPONDIDA - CERRADA","✅ Cerrada",IF($AE161="","⚠ Falta entidad",IF($AH161="","⚠ Revisar término",IF(TODAY()&gt;$AH161,"🔴 Vencida",IF($AH161-TODAY()&lt;=Config!$B$12,"🟡 Próxima a vencer","🟢 En término"))))))))</f>
        <v/>
      </c>
      <c r="AJ148" s="42">
        <f>IF(OR($E161="",NOT(ISNUMBER($E161))),"",IF(ISNUMBER($AS161),MAX(0,INT($AS161)-INT($E161)),MAX(0,TODAY()-INT($E161))))</f>
        <v/>
      </c>
      <c r="AK148" s="30" t="n"/>
      <c r="AL148" s="30" t="n"/>
      <c r="AM148" s="30" t="n"/>
      <c r="AN148" s="39" t="n"/>
      <c r="AO148" s="30" t="n"/>
      <c r="AP148" s="30" t="n"/>
      <c r="AQ148" s="39" t="n"/>
      <c r="AR148" s="30" t="n"/>
      <c r="AS148" s="39" t="n"/>
      <c r="AT148" s="30">
        <f>IF(OR($AS161="",NOT(ISNUMBER($AS161)),$AH161=""),"",IF(INT($AS161)&lt;=$AH161,"A tiempo","Fuera de término"))</f>
        <v/>
      </c>
      <c r="AU148" s="40" t="n"/>
      <c r="AV148" s="40" t="n"/>
      <c r="AW148" s="40" t="n"/>
      <c r="AX148" s="40" t="n"/>
      <c r="AY148" s="30" t="n"/>
      <c r="AZ148" s="30" t="n"/>
      <c r="BA148" s="30" t="n"/>
    </row>
    <row r="149" ht="15.75" customHeight="1" s="57">
      <c r="A149" s="29" t="n"/>
      <c r="B149" s="30" t="n"/>
      <c r="C149" s="39" t="n"/>
      <c r="D149" s="39" t="n"/>
      <c r="E149" s="39" t="n"/>
      <c r="F149" s="40" t="n"/>
      <c r="G149" s="30" t="n"/>
      <c r="H149" s="30" t="n"/>
      <c r="I149" s="30" t="n"/>
      <c r="J149" s="30" t="n"/>
      <c r="K149" s="30" t="n"/>
      <c r="L149" s="30" t="n"/>
      <c r="M149" s="30" t="n"/>
      <c r="N149" s="30" t="n"/>
      <c r="O149" s="30" t="n"/>
      <c r="P149" s="30" t="n"/>
      <c r="Q149" s="30" t="n"/>
      <c r="R149" s="30" t="n"/>
      <c r="S149" s="30" t="n"/>
      <c r="T149" s="30" t="n"/>
      <c r="U149" s="30" t="n"/>
      <c r="V149" s="30" t="n"/>
      <c r="W149" s="30" t="n"/>
      <c r="X149" s="30" t="n"/>
      <c r="Y149" s="30" t="n"/>
      <c r="Z149" s="30" t="n"/>
      <c r="AA149" s="30" t="n"/>
      <c r="AB149" s="30" t="n"/>
      <c r="AC149" s="30" t="n"/>
      <c r="AD149" s="41" t="n"/>
      <c r="AE149" s="30" t="n"/>
      <c r="AF149" s="42">
        <f>IF($AA162="","",IF(LEFT(UPPER(TRIM($AA162)),8)="FELICITA","N/A",IF($AE162="","",IFERROR(VLOOKUP(UPPER(TRIM($AE162)),Config!$A$6:$D$8,2,FALSE),IFERROR(VLOOKUP(IF(LEFT(UPPER(TRIM($AE162)),5)="SUPER","SUPER SALUD",IF(LEFT(UPPER(TRIM($AE162)),8)="SECRETAR","SECRETARIA DE SALUD",IF(LEFT(UPPER(TRIM($AE162)),4)="SEDE","SEDE",UPPER(TRIM($AE162))))),Config!$A$6:$D$8,2,FALSE),"⚠")))))</f>
        <v/>
      </c>
      <c r="AG149" s="30">
        <f>IF($AA162="","",IF(LEFT(UPPER(TRIM($AA162)),8)="FELICITA","N/A",IF($AE162="","",IFERROR(VLOOKUP(UPPER(TRIM($AE162)),Config!$A$6:$D$8,3,FALSE),IFERROR(VLOOKUP(IF(LEFT(UPPER(TRIM($AE162)),5)="SUPER","SUPER SALUD",IF(LEFT(UPPER(TRIM($AE162)),8)="SECRETAR","SECRETARIA DE SALUD",IF(LEFT(UPPER(TRIM($AE162)),4)="SEDE","SEDE",UPPER(TRIM($AE162))))),Config!$A$6:$D$8,3,FALSE),"")))))</f>
        <v/>
      </c>
      <c r="AH149" s="39">
        <f>IF(OR($E162="",NOT(ISNUMBER($E162)),$AF162="",$AF162="N/A",NOT(ISNUMBER($AF162))),"",IF($AG162="Hábiles",WORKDAY(INT($E162),$AF162,Config!$F$6:$F$39),INT($E162)+$AF162))</f>
        <v/>
      </c>
      <c r="AI149" s="30">
        <f>IF($E162="","",IF(LEFT(UPPER(TRIM($AA162)),8)="FELICITA","⭐ Felicitación",IF(NOT(ISNUMBER($E162)),"⚠ Revisar fecha",IF(UPPER(TRIM($AK162))="RESPONDIDA - CERRADA","✅ Cerrada",IF($AE162="","⚠ Falta entidad",IF($AH162="","⚠ Revisar término",IF(TODAY()&gt;$AH162,"🔴 Vencida",IF($AH162-TODAY()&lt;=Config!$B$12,"🟡 Próxima a vencer","🟢 En término"))))))))</f>
        <v/>
      </c>
      <c r="AJ149" s="42">
        <f>IF(OR($E162="",NOT(ISNUMBER($E162))),"",IF(ISNUMBER($AS162),MAX(0,INT($AS162)-INT($E162)),MAX(0,TODAY()-INT($E162))))</f>
        <v/>
      </c>
      <c r="AK149" s="30" t="n"/>
      <c r="AL149" s="30" t="n"/>
      <c r="AM149" s="30" t="n"/>
      <c r="AN149" s="39" t="n"/>
      <c r="AO149" s="30" t="n"/>
      <c r="AP149" s="30" t="n"/>
      <c r="AQ149" s="39" t="n"/>
      <c r="AR149" s="30" t="n"/>
      <c r="AS149" s="39" t="n"/>
      <c r="AT149" s="30">
        <f>IF(OR($AS162="",NOT(ISNUMBER($AS162)),$AH162=""),"",IF(INT($AS162)&lt;=$AH162,"A tiempo","Fuera de término"))</f>
        <v/>
      </c>
      <c r="AU149" s="40" t="n"/>
      <c r="AV149" s="40" t="n"/>
      <c r="AW149" s="40" t="n"/>
      <c r="AX149" s="40" t="n"/>
      <c r="AY149" s="30" t="n"/>
      <c r="AZ149" s="30" t="n"/>
      <c r="BA149" s="30" t="n"/>
    </row>
    <row r="150" ht="15.75" customHeight="1" s="57">
      <c r="A150" s="29" t="n"/>
      <c r="B150" s="30" t="n"/>
      <c r="C150" s="39" t="n"/>
      <c r="D150" s="39" t="n"/>
      <c r="E150" s="39" t="n"/>
      <c r="F150" s="40" t="n"/>
      <c r="G150" s="30" t="n"/>
      <c r="H150" s="30" t="n"/>
      <c r="I150" s="30" t="n"/>
      <c r="J150" s="30" t="n"/>
      <c r="K150" s="30" t="n"/>
      <c r="L150" s="30" t="n"/>
      <c r="M150" s="30" t="n"/>
      <c r="N150" s="30" t="n"/>
      <c r="O150" s="30" t="n"/>
      <c r="P150" s="30" t="n"/>
      <c r="Q150" s="30" t="n"/>
      <c r="R150" s="30" t="n"/>
      <c r="S150" s="30" t="n"/>
      <c r="T150" s="30" t="n"/>
      <c r="U150" s="30" t="n"/>
      <c r="V150" s="30" t="n"/>
      <c r="W150" s="30" t="n"/>
      <c r="X150" s="30" t="n"/>
      <c r="Y150" s="30" t="n"/>
      <c r="Z150" s="30" t="n"/>
      <c r="AA150" s="30" t="n"/>
      <c r="AB150" s="30" t="n"/>
      <c r="AC150" s="30" t="n"/>
      <c r="AD150" s="41" t="n"/>
      <c r="AE150" s="30" t="n"/>
      <c r="AF150" s="42">
        <f>IF($AA163="","",IF(LEFT(UPPER(TRIM($AA163)),8)="FELICITA","N/A",IF($AE163="","",IFERROR(VLOOKUP(UPPER(TRIM($AE163)),Config!$A$6:$D$8,2,FALSE),IFERROR(VLOOKUP(IF(LEFT(UPPER(TRIM($AE163)),5)="SUPER","SUPER SALUD",IF(LEFT(UPPER(TRIM($AE163)),8)="SECRETAR","SECRETARIA DE SALUD",IF(LEFT(UPPER(TRIM($AE163)),4)="SEDE","SEDE",UPPER(TRIM($AE163))))),Config!$A$6:$D$8,2,FALSE),"⚠")))))</f>
        <v/>
      </c>
      <c r="AG150" s="30">
        <f>IF($AA163="","",IF(LEFT(UPPER(TRIM($AA163)),8)="FELICITA","N/A",IF($AE163="","",IFERROR(VLOOKUP(UPPER(TRIM($AE163)),Config!$A$6:$D$8,3,FALSE),IFERROR(VLOOKUP(IF(LEFT(UPPER(TRIM($AE163)),5)="SUPER","SUPER SALUD",IF(LEFT(UPPER(TRIM($AE163)),8)="SECRETAR","SECRETARIA DE SALUD",IF(LEFT(UPPER(TRIM($AE163)),4)="SEDE","SEDE",UPPER(TRIM($AE163))))),Config!$A$6:$D$8,3,FALSE),"")))))</f>
        <v/>
      </c>
      <c r="AH150" s="39">
        <f>IF(OR($E163="",NOT(ISNUMBER($E163)),$AF163="",$AF163="N/A",NOT(ISNUMBER($AF163))),"",IF($AG163="Hábiles",WORKDAY(INT($E163),$AF163,Config!$F$6:$F$39),INT($E163)+$AF163))</f>
        <v/>
      </c>
      <c r="AI150" s="30">
        <f>IF($E163="","",IF(LEFT(UPPER(TRIM($AA163)),8)="FELICITA","⭐ Felicitación",IF(NOT(ISNUMBER($E163)),"⚠ Revisar fecha",IF(UPPER(TRIM($AK163))="RESPONDIDA - CERRADA","✅ Cerrada",IF($AE163="","⚠ Falta entidad",IF($AH163="","⚠ Revisar término",IF(TODAY()&gt;$AH163,"🔴 Vencida",IF($AH163-TODAY()&lt;=Config!$B$12,"🟡 Próxima a vencer","🟢 En término"))))))))</f>
        <v/>
      </c>
      <c r="AJ150" s="42">
        <f>IF(OR($E163="",NOT(ISNUMBER($E163))),"",IF(ISNUMBER($AS163),MAX(0,INT($AS163)-INT($E163)),MAX(0,TODAY()-INT($E163))))</f>
        <v/>
      </c>
      <c r="AK150" s="30" t="n"/>
      <c r="AL150" s="30" t="n"/>
      <c r="AM150" s="30" t="n"/>
      <c r="AN150" s="39" t="n"/>
      <c r="AO150" s="30" t="n"/>
      <c r="AP150" s="30" t="n"/>
      <c r="AQ150" s="39" t="n"/>
      <c r="AR150" s="30" t="n"/>
      <c r="AS150" s="39" t="n"/>
      <c r="AT150" s="30">
        <f>IF(OR($AS163="",NOT(ISNUMBER($AS163)),$AH163=""),"",IF(INT($AS163)&lt;=$AH163,"A tiempo","Fuera de término"))</f>
        <v/>
      </c>
      <c r="AU150" s="40" t="n"/>
      <c r="AV150" s="40" t="n"/>
      <c r="AW150" s="40" t="n"/>
      <c r="AX150" s="40" t="n"/>
      <c r="AY150" s="30" t="n"/>
      <c r="AZ150" s="30" t="n"/>
      <c r="BA150" s="30" t="n"/>
    </row>
    <row r="151" ht="15.75" customHeight="1" s="57">
      <c r="A151" s="29" t="n"/>
      <c r="B151" s="30" t="n"/>
      <c r="C151" s="39" t="n"/>
      <c r="D151" s="39" t="n"/>
      <c r="E151" s="39" t="n"/>
      <c r="F151" s="40" t="n"/>
      <c r="G151" s="30" t="n"/>
      <c r="H151" s="30" t="n"/>
      <c r="I151" s="30" t="n"/>
      <c r="J151" s="30" t="n"/>
      <c r="K151" s="30" t="n"/>
      <c r="L151" s="30" t="n"/>
      <c r="M151" s="30" t="n"/>
      <c r="N151" s="30" t="n"/>
      <c r="O151" s="30" t="n"/>
      <c r="P151" s="30" t="n"/>
      <c r="Q151" s="30" t="n"/>
      <c r="R151" s="30" t="n"/>
      <c r="S151" s="30" t="n"/>
      <c r="T151" s="30" t="n"/>
      <c r="U151" s="30" t="n"/>
      <c r="V151" s="30" t="n"/>
      <c r="W151" s="30" t="n"/>
      <c r="X151" s="30" t="n"/>
      <c r="Y151" s="30" t="n"/>
      <c r="Z151" s="30" t="n"/>
      <c r="AA151" s="30" t="n"/>
      <c r="AB151" s="30" t="n"/>
      <c r="AC151" s="30" t="n"/>
      <c r="AD151" s="41" t="n"/>
      <c r="AE151" s="30" t="n"/>
      <c r="AF151" s="42">
        <f>IF($AA164="","",IF(LEFT(UPPER(TRIM($AA164)),8)="FELICITA","N/A",IF($AE164="","",IFERROR(VLOOKUP(UPPER(TRIM($AE164)),Config!$A$6:$D$8,2,FALSE),IFERROR(VLOOKUP(IF(LEFT(UPPER(TRIM($AE164)),5)="SUPER","SUPER SALUD",IF(LEFT(UPPER(TRIM($AE164)),8)="SECRETAR","SECRETARIA DE SALUD",IF(LEFT(UPPER(TRIM($AE164)),4)="SEDE","SEDE",UPPER(TRIM($AE164))))),Config!$A$6:$D$8,2,FALSE),"⚠")))))</f>
        <v/>
      </c>
      <c r="AG151" s="30">
        <f>IF($AA164="","",IF(LEFT(UPPER(TRIM($AA164)),8)="FELICITA","N/A",IF($AE164="","",IFERROR(VLOOKUP(UPPER(TRIM($AE164)),Config!$A$6:$D$8,3,FALSE),IFERROR(VLOOKUP(IF(LEFT(UPPER(TRIM($AE164)),5)="SUPER","SUPER SALUD",IF(LEFT(UPPER(TRIM($AE164)),8)="SECRETAR","SECRETARIA DE SALUD",IF(LEFT(UPPER(TRIM($AE164)),4)="SEDE","SEDE",UPPER(TRIM($AE164))))),Config!$A$6:$D$8,3,FALSE),"")))))</f>
        <v/>
      </c>
      <c r="AH151" s="39">
        <f>IF(OR($E164="",NOT(ISNUMBER($E164)),$AF164="",$AF164="N/A",NOT(ISNUMBER($AF164))),"",IF($AG164="Hábiles",WORKDAY(INT($E164),$AF164,Config!$F$6:$F$39),INT($E164)+$AF164))</f>
        <v/>
      </c>
      <c r="AI151" s="30">
        <f>IF($E164="","",IF(LEFT(UPPER(TRIM($AA164)),8)="FELICITA","⭐ Felicitación",IF(NOT(ISNUMBER($E164)),"⚠ Revisar fecha",IF(UPPER(TRIM($AK164))="RESPONDIDA - CERRADA","✅ Cerrada",IF($AE164="","⚠ Falta entidad",IF($AH164="","⚠ Revisar término",IF(TODAY()&gt;$AH164,"🔴 Vencida",IF($AH164-TODAY()&lt;=Config!$B$12,"🟡 Próxima a vencer","🟢 En término"))))))))</f>
        <v/>
      </c>
      <c r="AJ151" s="42">
        <f>IF(OR($E164="",NOT(ISNUMBER($E164))),"",IF(ISNUMBER($AS164),MAX(0,INT($AS164)-INT($E164)),MAX(0,TODAY()-INT($E164))))</f>
        <v/>
      </c>
      <c r="AK151" s="30" t="n"/>
      <c r="AL151" s="30" t="n"/>
      <c r="AM151" s="30" t="n"/>
      <c r="AN151" s="39" t="n"/>
      <c r="AO151" s="30" t="n"/>
      <c r="AP151" s="30" t="n"/>
      <c r="AQ151" s="39" t="n"/>
      <c r="AR151" s="30" t="n"/>
      <c r="AS151" s="39" t="n"/>
      <c r="AT151" s="30">
        <f>IF(OR($AS164="",NOT(ISNUMBER($AS164)),$AH164=""),"",IF(INT($AS164)&lt;=$AH164,"A tiempo","Fuera de término"))</f>
        <v/>
      </c>
      <c r="AU151" s="40" t="n"/>
      <c r="AV151" s="40" t="n"/>
      <c r="AW151" s="40" t="n"/>
      <c r="AX151" s="40" t="n"/>
      <c r="AY151" s="30" t="n"/>
      <c r="AZ151" s="30" t="n"/>
      <c r="BA151" s="30" t="n"/>
    </row>
    <row r="152" ht="15.75" customHeight="1" s="57">
      <c r="A152" s="29" t="n"/>
      <c r="B152" s="30" t="n"/>
      <c r="C152" s="39" t="n"/>
      <c r="D152" s="39" t="n"/>
      <c r="E152" s="39" t="n"/>
      <c r="F152" s="40" t="n"/>
      <c r="G152" s="30" t="n"/>
      <c r="H152" s="30" t="n"/>
      <c r="I152" s="30" t="n"/>
      <c r="J152" s="30" t="n"/>
      <c r="K152" s="30" t="n"/>
      <c r="L152" s="30" t="n"/>
      <c r="M152" s="30" t="n"/>
      <c r="N152" s="30" t="n"/>
      <c r="O152" s="30" t="n"/>
      <c r="P152" s="30" t="n"/>
      <c r="Q152" s="30" t="n"/>
      <c r="R152" s="30" t="n"/>
      <c r="S152" s="30" t="n"/>
      <c r="T152" s="30" t="n"/>
      <c r="U152" s="30" t="n"/>
      <c r="V152" s="30" t="n"/>
      <c r="W152" s="30" t="n"/>
      <c r="X152" s="30" t="n"/>
      <c r="Y152" s="30" t="n"/>
      <c r="Z152" s="30" t="n"/>
      <c r="AA152" s="30" t="n"/>
      <c r="AB152" s="30" t="n"/>
      <c r="AC152" s="30" t="n"/>
      <c r="AD152" s="41" t="n"/>
      <c r="AE152" s="30" t="n"/>
      <c r="AF152" s="42">
        <f>IF($AA165="","",IF(LEFT(UPPER(TRIM($AA165)),8)="FELICITA","N/A",IF($AE165="","",IFERROR(VLOOKUP(UPPER(TRIM($AE165)),Config!$A$6:$D$8,2,FALSE),IFERROR(VLOOKUP(IF(LEFT(UPPER(TRIM($AE165)),5)="SUPER","SUPER SALUD",IF(LEFT(UPPER(TRIM($AE165)),8)="SECRETAR","SECRETARIA DE SALUD",IF(LEFT(UPPER(TRIM($AE165)),4)="SEDE","SEDE",UPPER(TRIM($AE165))))),Config!$A$6:$D$8,2,FALSE),"⚠")))))</f>
        <v/>
      </c>
      <c r="AG152" s="30">
        <f>IF($AA165="","",IF(LEFT(UPPER(TRIM($AA165)),8)="FELICITA","N/A",IF($AE165="","",IFERROR(VLOOKUP(UPPER(TRIM($AE165)),Config!$A$6:$D$8,3,FALSE),IFERROR(VLOOKUP(IF(LEFT(UPPER(TRIM($AE165)),5)="SUPER","SUPER SALUD",IF(LEFT(UPPER(TRIM($AE165)),8)="SECRETAR","SECRETARIA DE SALUD",IF(LEFT(UPPER(TRIM($AE165)),4)="SEDE","SEDE",UPPER(TRIM($AE165))))),Config!$A$6:$D$8,3,FALSE),"")))))</f>
        <v/>
      </c>
      <c r="AH152" s="39">
        <f>IF(OR($E165="",NOT(ISNUMBER($E165)),$AF165="",$AF165="N/A",NOT(ISNUMBER($AF165))),"",IF($AG165="Hábiles",WORKDAY(INT($E165),$AF165,Config!$F$6:$F$39),INT($E165)+$AF165))</f>
        <v/>
      </c>
      <c r="AI152" s="30">
        <f>IF($E165="","",IF(LEFT(UPPER(TRIM($AA165)),8)="FELICITA","⭐ Felicitación",IF(NOT(ISNUMBER($E165)),"⚠ Revisar fecha",IF(UPPER(TRIM($AK165))="RESPONDIDA - CERRADA","✅ Cerrada",IF($AE165="","⚠ Falta entidad",IF($AH165="","⚠ Revisar término",IF(TODAY()&gt;$AH165,"🔴 Vencida",IF($AH165-TODAY()&lt;=Config!$B$12,"🟡 Próxima a vencer","🟢 En término"))))))))</f>
        <v/>
      </c>
      <c r="AJ152" s="42">
        <f>IF(OR($E165="",NOT(ISNUMBER($E165))),"",IF(ISNUMBER($AS165),MAX(0,INT($AS165)-INT($E165)),MAX(0,TODAY()-INT($E165))))</f>
        <v/>
      </c>
      <c r="AK152" s="30" t="n"/>
      <c r="AL152" s="30" t="n"/>
      <c r="AM152" s="30" t="n"/>
      <c r="AN152" s="39" t="n"/>
      <c r="AO152" s="30" t="n"/>
      <c r="AP152" s="30" t="n"/>
      <c r="AQ152" s="39" t="n"/>
      <c r="AR152" s="30" t="n"/>
      <c r="AS152" s="39" t="n"/>
      <c r="AT152" s="30">
        <f>IF(OR($AS165="",NOT(ISNUMBER($AS165)),$AH165=""),"",IF(INT($AS165)&lt;=$AH165,"A tiempo","Fuera de término"))</f>
        <v/>
      </c>
      <c r="AU152" s="40" t="n"/>
      <c r="AV152" s="40" t="n"/>
      <c r="AW152" s="40" t="n"/>
      <c r="AX152" s="40" t="n"/>
      <c r="AY152" s="30" t="n"/>
      <c r="AZ152" s="30" t="n"/>
      <c r="BA152" s="30" t="n"/>
    </row>
    <row r="153" ht="15.75" customHeight="1" s="57">
      <c r="A153" s="29" t="n"/>
      <c r="B153" s="30" t="n"/>
      <c r="C153" s="39" t="n"/>
      <c r="D153" s="39" t="n"/>
      <c r="E153" s="39" t="n"/>
      <c r="F153" s="40" t="n"/>
      <c r="G153" s="30" t="n"/>
      <c r="H153" s="30" t="n"/>
      <c r="I153" s="30" t="n"/>
      <c r="J153" s="30" t="n"/>
      <c r="K153" s="30" t="n"/>
      <c r="L153" s="30" t="n"/>
      <c r="M153" s="30" t="n"/>
      <c r="N153" s="30" t="n"/>
      <c r="O153" s="30" t="n"/>
      <c r="P153" s="30" t="n"/>
      <c r="Q153" s="30" t="n"/>
      <c r="R153" s="30" t="n"/>
      <c r="S153" s="30" t="n"/>
      <c r="T153" s="30" t="n"/>
      <c r="U153" s="30" t="n"/>
      <c r="V153" s="30" t="n"/>
      <c r="W153" s="30" t="n"/>
      <c r="X153" s="30" t="n"/>
      <c r="Y153" s="30" t="n"/>
      <c r="Z153" s="30" t="n"/>
      <c r="AA153" s="30" t="n"/>
      <c r="AB153" s="30" t="n"/>
      <c r="AC153" s="30" t="n"/>
      <c r="AD153" s="41" t="n"/>
      <c r="AE153" s="30" t="n"/>
      <c r="AF153" s="42">
        <f>IF($AA166="","",IF(LEFT(UPPER(TRIM($AA166)),8)="FELICITA","N/A",IF($AE166="","",IFERROR(VLOOKUP(UPPER(TRIM($AE166)),Config!$A$6:$D$8,2,FALSE),IFERROR(VLOOKUP(IF(LEFT(UPPER(TRIM($AE166)),5)="SUPER","SUPER SALUD",IF(LEFT(UPPER(TRIM($AE166)),8)="SECRETAR","SECRETARIA DE SALUD",IF(LEFT(UPPER(TRIM($AE166)),4)="SEDE","SEDE",UPPER(TRIM($AE166))))),Config!$A$6:$D$8,2,FALSE),"⚠")))))</f>
        <v/>
      </c>
      <c r="AG153" s="30">
        <f>IF($AA166="","",IF(LEFT(UPPER(TRIM($AA166)),8)="FELICITA","N/A",IF($AE166="","",IFERROR(VLOOKUP(UPPER(TRIM($AE166)),Config!$A$6:$D$8,3,FALSE),IFERROR(VLOOKUP(IF(LEFT(UPPER(TRIM($AE166)),5)="SUPER","SUPER SALUD",IF(LEFT(UPPER(TRIM($AE166)),8)="SECRETAR","SECRETARIA DE SALUD",IF(LEFT(UPPER(TRIM($AE166)),4)="SEDE","SEDE",UPPER(TRIM($AE166))))),Config!$A$6:$D$8,3,FALSE),"")))))</f>
        <v/>
      </c>
      <c r="AH153" s="39">
        <f>IF(OR($E166="",NOT(ISNUMBER($E166)),$AF166="",$AF166="N/A",NOT(ISNUMBER($AF166))),"",IF($AG166="Hábiles",WORKDAY(INT($E166),$AF166,Config!$F$6:$F$39),INT($E166)+$AF166))</f>
        <v/>
      </c>
      <c r="AI153" s="30">
        <f>IF($E166="","",IF(LEFT(UPPER(TRIM($AA166)),8)="FELICITA","⭐ Felicitación",IF(NOT(ISNUMBER($E166)),"⚠ Revisar fecha",IF(UPPER(TRIM($AK166))="RESPONDIDA - CERRADA","✅ Cerrada",IF($AE166="","⚠ Falta entidad",IF($AH166="","⚠ Revisar término",IF(TODAY()&gt;$AH166,"🔴 Vencida",IF($AH166-TODAY()&lt;=Config!$B$12,"🟡 Próxima a vencer","🟢 En término"))))))))</f>
        <v/>
      </c>
      <c r="AJ153" s="42">
        <f>IF(OR($E166="",NOT(ISNUMBER($E166))),"",IF(ISNUMBER($AS166),MAX(0,INT($AS166)-INT($E166)),MAX(0,TODAY()-INT($E166))))</f>
        <v/>
      </c>
      <c r="AK153" s="30" t="n"/>
      <c r="AL153" s="30" t="n"/>
      <c r="AM153" s="30" t="n"/>
      <c r="AN153" s="39" t="n"/>
      <c r="AO153" s="30" t="n"/>
      <c r="AP153" s="30" t="n"/>
      <c r="AQ153" s="39" t="n"/>
      <c r="AR153" s="30" t="n"/>
      <c r="AS153" s="39" t="n"/>
      <c r="AT153" s="30">
        <f>IF(OR($AS166="",NOT(ISNUMBER($AS166)),$AH166=""),"",IF(INT($AS166)&lt;=$AH166,"A tiempo","Fuera de término"))</f>
        <v/>
      </c>
      <c r="AU153" s="40" t="n"/>
      <c r="AV153" s="40" t="n"/>
      <c r="AW153" s="40" t="n"/>
      <c r="AX153" s="40" t="n"/>
      <c r="AY153" s="30" t="n"/>
      <c r="AZ153" s="30" t="n"/>
      <c r="BA153" s="30" t="n"/>
    </row>
    <row r="154" ht="15.75" customHeight="1" s="57">
      <c r="A154" s="29" t="n"/>
      <c r="B154" s="30" t="n"/>
      <c r="C154" s="39" t="n"/>
      <c r="D154" s="39" t="n"/>
      <c r="E154" s="39" t="n"/>
      <c r="F154" s="40" t="n"/>
      <c r="G154" s="30" t="n"/>
      <c r="H154" s="30" t="n"/>
      <c r="I154" s="30" t="n"/>
      <c r="J154" s="30" t="n"/>
      <c r="K154" s="30" t="n"/>
      <c r="L154" s="30" t="n"/>
      <c r="M154" s="30" t="n"/>
      <c r="N154" s="30" t="n"/>
      <c r="O154" s="30" t="n"/>
      <c r="P154" s="30" t="n"/>
      <c r="Q154" s="30" t="n"/>
      <c r="R154" s="30" t="n"/>
      <c r="S154" s="30" t="n"/>
      <c r="T154" s="30" t="n"/>
      <c r="U154" s="30" t="n"/>
      <c r="V154" s="30" t="n"/>
      <c r="W154" s="30" t="n"/>
      <c r="X154" s="30" t="n"/>
      <c r="Y154" s="30" t="n"/>
      <c r="Z154" s="30" t="n"/>
      <c r="AA154" s="30" t="n"/>
      <c r="AB154" s="30" t="n"/>
      <c r="AC154" s="30" t="n"/>
      <c r="AD154" s="41" t="n"/>
      <c r="AE154" s="30" t="n"/>
      <c r="AF154" s="42">
        <f>IF($AA167="","",IF(LEFT(UPPER(TRIM($AA167)),8)="FELICITA","N/A",IF($AE167="","",IFERROR(VLOOKUP(UPPER(TRIM($AE167)),Config!$A$6:$D$8,2,FALSE),IFERROR(VLOOKUP(IF(LEFT(UPPER(TRIM($AE167)),5)="SUPER","SUPER SALUD",IF(LEFT(UPPER(TRIM($AE167)),8)="SECRETAR","SECRETARIA DE SALUD",IF(LEFT(UPPER(TRIM($AE167)),4)="SEDE","SEDE",UPPER(TRIM($AE167))))),Config!$A$6:$D$8,2,FALSE),"⚠")))))</f>
        <v/>
      </c>
      <c r="AG154" s="30">
        <f>IF($AA167="","",IF(LEFT(UPPER(TRIM($AA167)),8)="FELICITA","N/A",IF($AE167="","",IFERROR(VLOOKUP(UPPER(TRIM($AE167)),Config!$A$6:$D$8,3,FALSE),IFERROR(VLOOKUP(IF(LEFT(UPPER(TRIM($AE167)),5)="SUPER","SUPER SALUD",IF(LEFT(UPPER(TRIM($AE167)),8)="SECRETAR","SECRETARIA DE SALUD",IF(LEFT(UPPER(TRIM($AE167)),4)="SEDE","SEDE",UPPER(TRIM($AE167))))),Config!$A$6:$D$8,3,FALSE),"")))))</f>
        <v/>
      </c>
      <c r="AH154" s="39">
        <f>IF(OR($E167="",NOT(ISNUMBER($E167)),$AF167="",$AF167="N/A",NOT(ISNUMBER($AF167))),"",IF($AG167="Hábiles",WORKDAY(INT($E167),$AF167,Config!$F$6:$F$39),INT($E167)+$AF167))</f>
        <v/>
      </c>
      <c r="AI154" s="30">
        <f>IF($E167="","",IF(LEFT(UPPER(TRIM($AA167)),8)="FELICITA","⭐ Felicitación",IF(NOT(ISNUMBER($E167)),"⚠ Revisar fecha",IF(UPPER(TRIM($AK167))="RESPONDIDA - CERRADA","✅ Cerrada",IF($AE167="","⚠ Falta entidad",IF($AH167="","⚠ Revisar término",IF(TODAY()&gt;$AH167,"🔴 Vencida",IF($AH167-TODAY()&lt;=Config!$B$12,"🟡 Próxima a vencer","🟢 En término"))))))))</f>
        <v/>
      </c>
      <c r="AJ154" s="42">
        <f>IF(OR($E167="",NOT(ISNUMBER($E167))),"",IF(ISNUMBER($AS167),MAX(0,INT($AS167)-INT($E167)),MAX(0,TODAY()-INT($E167))))</f>
        <v/>
      </c>
      <c r="AK154" s="30" t="n"/>
      <c r="AL154" s="30" t="n"/>
      <c r="AM154" s="30" t="n"/>
      <c r="AN154" s="39" t="n"/>
      <c r="AO154" s="30" t="n"/>
      <c r="AP154" s="30" t="n"/>
      <c r="AQ154" s="39" t="n"/>
      <c r="AR154" s="30" t="n"/>
      <c r="AS154" s="39" t="n"/>
      <c r="AT154" s="30">
        <f>IF(OR($AS167="",NOT(ISNUMBER($AS167)),$AH167=""),"",IF(INT($AS167)&lt;=$AH167,"A tiempo","Fuera de término"))</f>
        <v/>
      </c>
      <c r="AU154" s="40" t="n"/>
      <c r="AV154" s="40" t="n"/>
      <c r="AW154" s="40" t="n"/>
      <c r="AX154" s="40" t="n"/>
      <c r="AY154" s="30" t="n"/>
      <c r="AZ154" s="30" t="n"/>
      <c r="BA154" s="30" t="n"/>
    </row>
    <row r="155" ht="15.75" customHeight="1" s="57">
      <c r="A155" s="29" t="n"/>
      <c r="B155" s="30" t="n"/>
      <c r="C155" s="39" t="n"/>
      <c r="D155" s="39" t="n"/>
      <c r="E155" s="39" t="n"/>
      <c r="F155" s="40" t="n"/>
      <c r="G155" s="30" t="n"/>
      <c r="H155" s="30" t="n"/>
      <c r="I155" s="30" t="n"/>
      <c r="J155" s="30" t="n"/>
      <c r="K155" s="30" t="n"/>
      <c r="L155" s="30" t="n"/>
      <c r="M155" s="30" t="n"/>
      <c r="N155" s="30" t="n"/>
      <c r="O155" s="30" t="n"/>
      <c r="P155" s="30" t="n"/>
      <c r="Q155" s="30" t="n"/>
      <c r="R155" s="30" t="n"/>
      <c r="S155" s="30" t="n"/>
      <c r="T155" s="30" t="n"/>
      <c r="U155" s="30" t="n"/>
      <c r="V155" s="30" t="n"/>
      <c r="W155" s="30" t="n"/>
      <c r="X155" s="30" t="n"/>
      <c r="Y155" s="30" t="n"/>
      <c r="Z155" s="30" t="n"/>
      <c r="AA155" s="30" t="n"/>
      <c r="AB155" s="30" t="n"/>
      <c r="AC155" s="30" t="n"/>
      <c r="AD155" s="41" t="n"/>
      <c r="AE155" s="30" t="n"/>
      <c r="AF155" s="42">
        <f>IF($AA168="","",IF(LEFT(UPPER(TRIM($AA168)),8)="FELICITA","N/A",IF($AE168="","",IFERROR(VLOOKUP(UPPER(TRIM($AE168)),Config!$A$6:$D$8,2,FALSE),IFERROR(VLOOKUP(IF(LEFT(UPPER(TRIM($AE168)),5)="SUPER","SUPER SALUD",IF(LEFT(UPPER(TRIM($AE168)),8)="SECRETAR","SECRETARIA DE SALUD",IF(LEFT(UPPER(TRIM($AE168)),4)="SEDE","SEDE",UPPER(TRIM($AE168))))),Config!$A$6:$D$8,2,FALSE),"⚠")))))</f>
        <v/>
      </c>
      <c r="AG155" s="30">
        <f>IF($AA168="","",IF(LEFT(UPPER(TRIM($AA168)),8)="FELICITA","N/A",IF($AE168="","",IFERROR(VLOOKUP(UPPER(TRIM($AE168)),Config!$A$6:$D$8,3,FALSE),IFERROR(VLOOKUP(IF(LEFT(UPPER(TRIM($AE168)),5)="SUPER","SUPER SALUD",IF(LEFT(UPPER(TRIM($AE168)),8)="SECRETAR","SECRETARIA DE SALUD",IF(LEFT(UPPER(TRIM($AE168)),4)="SEDE","SEDE",UPPER(TRIM($AE168))))),Config!$A$6:$D$8,3,FALSE),"")))))</f>
        <v/>
      </c>
      <c r="AH155" s="39">
        <f>IF(OR($E168="",NOT(ISNUMBER($E168)),$AF168="",$AF168="N/A",NOT(ISNUMBER($AF168))),"",IF($AG168="Hábiles",WORKDAY(INT($E168),$AF168,Config!$F$6:$F$39),INT($E168)+$AF168))</f>
        <v/>
      </c>
      <c r="AI155" s="30">
        <f>IF($E168="","",IF(LEFT(UPPER(TRIM($AA168)),8)="FELICITA","⭐ Felicitación",IF(NOT(ISNUMBER($E168)),"⚠ Revisar fecha",IF(UPPER(TRIM($AK168))="RESPONDIDA - CERRADA","✅ Cerrada",IF($AE168="","⚠ Falta entidad",IF($AH168="","⚠ Revisar término",IF(TODAY()&gt;$AH168,"🔴 Vencida",IF($AH168-TODAY()&lt;=Config!$B$12,"🟡 Próxima a vencer","🟢 En término"))))))))</f>
        <v/>
      </c>
      <c r="AJ155" s="42">
        <f>IF(OR($E168="",NOT(ISNUMBER($E168))),"",IF(ISNUMBER($AS168),MAX(0,INT($AS168)-INT($E168)),MAX(0,TODAY()-INT($E168))))</f>
        <v/>
      </c>
      <c r="AK155" s="30" t="n"/>
      <c r="AL155" s="30" t="n"/>
      <c r="AM155" s="30" t="n"/>
      <c r="AN155" s="39" t="n"/>
      <c r="AO155" s="30" t="n"/>
      <c r="AP155" s="30" t="n"/>
      <c r="AQ155" s="39" t="n"/>
      <c r="AR155" s="30" t="n"/>
      <c r="AS155" s="39" t="n"/>
      <c r="AT155" s="30">
        <f>IF(OR($AS168="",NOT(ISNUMBER($AS168)),$AH168=""),"",IF(INT($AS168)&lt;=$AH168,"A tiempo","Fuera de término"))</f>
        <v/>
      </c>
      <c r="AU155" s="40" t="n"/>
      <c r="AV155" s="40" t="n"/>
      <c r="AW155" s="40" t="n"/>
      <c r="AX155" s="40" t="n"/>
      <c r="AY155" s="30" t="n"/>
      <c r="AZ155" s="30" t="n"/>
      <c r="BA155" s="30" t="n"/>
    </row>
    <row r="156" ht="15.75" customHeight="1" s="57">
      <c r="A156" s="29" t="n"/>
      <c r="B156" s="30" t="n"/>
      <c r="C156" s="39" t="n"/>
      <c r="D156" s="39" t="n"/>
      <c r="E156" s="39" t="n"/>
      <c r="F156" s="40" t="n"/>
      <c r="G156" s="30" t="n"/>
      <c r="H156" s="30" t="n"/>
      <c r="I156" s="30" t="n"/>
      <c r="J156" s="30" t="n"/>
      <c r="K156" s="30" t="n"/>
      <c r="L156" s="30" t="n"/>
      <c r="M156" s="30" t="n"/>
      <c r="N156" s="30" t="n"/>
      <c r="O156" s="30" t="n"/>
      <c r="P156" s="30" t="n"/>
      <c r="Q156" s="30" t="n"/>
      <c r="R156" s="30" t="n"/>
      <c r="S156" s="30" t="n"/>
      <c r="T156" s="30" t="n"/>
      <c r="U156" s="30" t="n"/>
      <c r="V156" s="30" t="n"/>
      <c r="W156" s="30" t="n"/>
      <c r="X156" s="30" t="n"/>
      <c r="Y156" s="30" t="n"/>
      <c r="Z156" s="30" t="n"/>
      <c r="AA156" s="30" t="n"/>
      <c r="AB156" s="30" t="n"/>
      <c r="AC156" s="30" t="n"/>
      <c r="AD156" s="41" t="n"/>
      <c r="AE156" s="30" t="n"/>
      <c r="AF156" s="42">
        <f>IF($AA169="","",IF(LEFT(UPPER(TRIM($AA169)),8)="FELICITA","N/A",IF($AE169="","",IFERROR(VLOOKUP(UPPER(TRIM($AE169)),Config!$A$6:$D$8,2,FALSE),IFERROR(VLOOKUP(IF(LEFT(UPPER(TRIM($AE169)),5)="SUPER","SUPER SALUD",IF(LEFT(UPPER(TRIM($AE169)),8)="SECRETAR","SECRETARIA DE SALUD",IF(LEFT(UPPER(TRIM($AE169)),4)="SEDE","SEDE",UPPER(TRIM($AE169))))),Config!$A$6:$D$8,2,FALSE),"⚠")))))</f>
        <v/>
      </c>
      <c r="AG156" s="30">
        <f>IF($AA169="","",IF(LEFT(UPPER(TRIM($AA169)),8)="FELICITA","N/A",IF($AE169="","",IFERROR(VLOOKUP(UPPER(TRIM($AE169)),Config!$A$6:$D$8,3,FALSE),IFERROR(VLOOKUP(IF(LEFT(UPPER(TRIM($AE169)),5)="SUPER","SUPER SALUD",IF(LEFT(UPPER(TRIM($AE169)),8)="SECRETAR","SECRETARIA DE SALUD",IF(LEFT(UPPER(TRIM($AE169)),4)="SEDE","SEDE",UPPER(TRIM($AE169))))),Config!$A$6:$D$8,3,FALSE),"")))))</f>
        <v/>
      </c>
      <c r="AH156" s="39">
        <f>IF(OR($E169="",NOT(ISNUMBER($E169)),$AF169="",$AF169="N/A",NOT(ISNUMBER($AF169))),"",IF($AG169="Hábiles",WORKDAY(INT($E169),$AF169,Config!$F$6:$F$39),INT($E169)+$AF169))</f>
        <v/>
      </c>
      <c r="AI156" s="30">
        <f>IF($E169="","",IF(LEFT(UPPER(TRIM($AA169)),8)="FELICITA","⭐ Felicitación",IF(NOT(ISNUMBER($E169)),"⚠ Revisar fecha",IF(UPPER(TRIM($AK169))="RESPONDIDA - CERRADA","✅ Cerrada",IF($AE169="","⚠ Falta entidad",IF($AH169="","⚠ Revisar término",IF(TODAY()&gt;$AH169,"🔴 Vencida",IF($AH169-TODAY()&lt;=Config!$B$12,"🟡 Próxima a vencer","🟢 En término"))))))))</f>
        <v/>
      </c>
      <c r="AJ156" s="42">
        <f>IF(OR($E169="",NOT(ISNUMBER($E169))),"",IF(ISNUMBER($AS169),MAX(0,INT($AS169)-INT($E169)),MAX(0,TODAY()-INT($E169))))</f>
        <v/>
      </c>
      <c r="AK156" s="30" t="n"/>
      <c r="AL156" s="30" t="n"/>
      <c r="AM156" s="30" t="n"/>
      <c r="AN156" s="39" t="n"/>
      <c r="AO156" s="30" t="n"/>
      <c r="AP156" s="30" t="n"/>
      <c r="AQ156" s="39" t="n"/>
      <c r="AR156" s="30" t="n"/>
      <c r="AS156" s="39" t="n"/>
      <c r="AT156" s="30">
        <f>IF(OR($AS169="",NOT(ISNUMBER($AS169)),$AH169=""),"",IF(INT($AS169)&lt;=$AH169,"A tiempo","Fuera de término"))</f>
        <v/>
      </c>
      <c r="AU156" s="40" t="n"/>
      <c r="AV156" s="40" t="n"/>
      <c r="AW156" s="40" t="n"/>
      <c r="AX156" s="40" t="n"/>
      <c r="AY156" s="30" t="n"/>
      <c r="AZ156" s="30" t="n"/>
      <c r="BA156" s="30" t="n"/>
    </row>
    <row r="157" ht="15.75" customHeight="1" s="57">
      <c r="A157" s="29" t="n"/>
      <c r="B157" s="30" t="n"/>
      <c r="C157" s="39" t="n"/>
      <c r="D157" s="39" t="n"/>
      <c r="E157" s="39" t="n"/>
      <c r="F157" s="40" t="n"/>
      <c r="G157" s="30" t="n"/>
      <c r="H157" s="30" t="n"/>
      <c r="I157" s="30" t="n"/>
      <c r="J157" s="30" t="n"/>
      <c r="K157" s="30" t="n"/>
      <c r="L157" s="30" t="n"/>
      <c r="M157" s="30" t="n"/>
      <c r="N157" s="30" t="n"/>
      <c r="O157" s="30" t="n"/>
      <c r="P157" s="30" t="n"/>
      <c r="Q157" s="30" t="n"/>
      <c r="R157" s="30" t="n"/>
      <c r="S157" s="30" t="n"/>
      <c r="T157" s="30" t="n"/>
      <c r="U157" s="30" t="n"/>
      <c r="V157" s="30" t="n"/>
      <c r="W157" s="30" t="n"/>
      <c r="X157" s="30" t="n"/>
      <c r="Y157" s="30" t="n"/>
      <c r="Z157" s="30" t="n"/>
      <c r="AA157" s="30" t="n"/>
      <c r="AB157" s="30" t="n"/>
      <c r="AC157" s="30" t="n"/>
      <c r="AD157" s="41" t="n"/>
      <c r="AE157" s="30" t="n"/>
      <c r="AF157" s="42">
        <f>IF($AA170="","",IF(LEFT(UPPER(TRIM($AA170)),8)="FELICITA","N/A",IF($AE170="","",IFERROR(VLOOKUP(UPPER(TRIM($AE170)),Config!$A$6:$D$8,2,FALSE),IFERROR(VLOOKUP(IF(LEFT(UPPER(TRIM($AE170)),5)="SUPER","SUPER SALUD",IF(LEFT(UPPER(TRIM($AE170)),8)="SECRETAR","SECRETARIA DE SALUD",IF(LEFT(UPPER(TRIM($AE170)),4)="SEDE","SEDE",UPPER(TRIM($AE170))))),Config!$A$6:$D$8,2,FALSE),"⚠")))))</f>
        <v/>
      </c>
      <c r="AG157" s="30">
        <f>IF($AA170="","",IF(LEFT(UPPER(TRIM($AA170)),8)="FELICITA","N/A",IF($AE170="","",IFERROR(VLOOKUP(UPPER(TRIM($AE170)),Config!$A$6:$D$8,3,FALSE),IFERROR(VLOOKUP(IF(LEFT(UPPER(TRIM($AE170)),5)="SUPER","SUPER SALUD",IF(LEFT(UPPER(TRIM($AE170)),8)="SECRETAR","SECRETARIA DE SALUD",IF(LEFT(UPPER(TRIM($AE170)),4)="SEDE","SEDE",UPPER(TRIM($AE170))))),Config!$A$6:$D$8,3,FALSE),"")))))</f>
        <v/>
      </c>
      <c r="AH157" s="39">
        <f>IF(OR($E170="",NOT(ISNUMBER($E170)),$AF170="",$AF170="N/A",NOT(ISNUMBER($AF170))),"",IF($AG170="Hábiles",WORKDAY(INT($E170),$AF170,Config!$F$6:$F$39),INT($E170)+$AF170))</f>
        <v/>
      </c>
      <c r="AI157" s="30">
        <f>IF($E170="","",IF(LEFT(UPPER(TRIM($AA170)),8)="FELICITA","⭐ Felicitación",IF(NOT(ISNUMBER($E170)),"⚠ Revisar fecha",IF(UPPER(TRIM($AK170))="RESPONDIDA - CERRADA","✅ Cerrada",IF($AE170="","⚠ Falta entidad",IF($AH170="","⚠ Revisar término",IF(TODAY()&gt;$AH170,"🔴 Vencida",IF($AH170-TODAY()&lt;=Config!$B$12,"🟡 Próxima a vencer","🟢 En término"))))))))</f>
        <v/>
      </c>
      <c r="AJ157" s="42">
        <f>IF(OR($E170="",NOT(ISNUMBER($E170))),"",IF(ISNUMBER($AS170),MAX(0,INT($AS170)-INT($E170)),MAX(0,TODAY()-INT($E170))))</f>
        <v/>
      </c>
      <c r="AK157" s="30" t="n"/>
      <c r="AL157" s="30" t="n"/>
      <c r="AM157" s="30" t="n"/>
      <c r="AN157" s="39" t="n"/>
      <c r="AO157" s="30" t="n"/>
      <c r="AP157" s="30" t="n"/>
      <c r="AQ157" s="39" t="n"/>
      <c r="AR157" s="30" t="n"/>
      <c r="AS157" s="39" t="n"/>
      <c r="AT157" s="30">
        <f>IF(OR($AS170="",NOT(ISNUMBER($AS170)),$AH170=""),"",IF(INT($AS170)&lt;=$AH170,"A tiempo","Fuera de término"))</f>
        <v/>
      </c>
      <c r="AU157" s="40" t="n"/>
      <c r="AV157" s="40" t="n"/>
      <c r="AW157" s="40" t="n"/>
      <c r="AX157" s="40" t="n"/>
      <c r="AY157" s="30" t="n"/>
      <c r="AZ157" s="30" t="n"/>
      <c r="BA157" s="30" t="n"/>
    </row>
    <row r="158" ht="15.75" customHeight="1" s="57">
      <c r="A158" s="29" t="n"/>
      <c r="B158" s="30" t="n"/>
      <c r="C158" s="39" t="n"/>
      <c r="D158" s="39" t="n"/>
      <c r="E158" s="39" t="n"/>
      <c r="F158" s="40" t="n"/>
      <c r="G158" s="30" t="n"/>
      <c r="H158" s="30" t="n"/>
      <c r="I158" s="30" t="n"/>
      <c r="J158" s="30" t="n"/>
      <c r="K158" s="30" t="n"/>
      <c r="L158" s="30" t="n"/>
      <c r="M158" s="30" t="n"/>
      <c r="N158" s="30" t="n"/>
      <c r="O158" s="30" t="n"/>
      <c r="P158" s="30" t="n"/>
      <c r="Q158" s="30" t="n"/>
      <c r="R158" s="30" t="n"/>
      <c r="S158" s="30" t="n"/>
      <c r="T158" s="30" t="n"/>
      <c r="U158" s="30" t="n"/>
      <c r="V158" s="30" t="n"/>
      <c r="W158" s="30" t="n"/>
      <c r="X158" s="30" t="n"/>
      <c r="Y158" s="30" t="n"/>
      <c r="Z158" s="30" t="n"/>
      <c r="AA158" s="30" t="n"/>
      <c r="AB158" s="30" t="n"/>
      <c r="AC158" s="30" t="n"/>
      <c r="AD158" s="41" t="n"/>
      <c r="AE158" s="30" t="n"/>
      <c r="AF158" s="42">
        <f>IF($AA171="","",IF(LEFT(UPPER(TRIM($AA171)),8)="FELICITA","N/A",IF($AE171="","",IFERROR(VLOOKUP(UPPER(TRIM($AE171)),Config!$A$6:$D$8,2,FALSE),IFERROR(VLOOKUP(IF(LEFT(UPPER(TRIM($AE171)),5)="SUPER","SUPER SALUD",IF(LEFT(UPPER(TRIM($AE171)),8)="SECRETAR","SECRETARIA DE SALUD",IF(LEFT(UPPER(TRIM($AE171)),4)="SEDE","SEDE",UPPER(TRIM($AE171))))),Config!$A$6:$D$8,2,FALSE),"⚠")))))</f>
        <v/>
      </c>
      <c r="AG158" s="30">
        <f>IF($AA171="","",IF(LEFT(UPPER(TRIM($AA171)),8)="FELICITA","N/A",IF($AE171="","",IFERROR(VLOOKUP(UPPER(TRIM($AE171)),Config!$A$6:$D$8,3,FALSE),IFERROR(VLOOKUP(IF(LEFT(UPPER(TRIM($AE171)),5)="SUPER","SUPER SALUD",IF(LEFT(UPPER(TRIM($AE171)),8)="SECRETAR","SECRETARIA DE SALUD",IF(LEFT(UPPER(TRIM($AE171)),4)="SEDE","SEDE",UPPER(TRIM($AE171))))),Config!$A$6:$D$8,3,FALSE),"")))))</f>
        <v/>
      </c>
      <c r="AH158" s="39">
        <f>IF(OR($E171="",NOT(ISNUMBER($E171)),$AF171="",$AF171="N/A",NOT(ISNUMBER($AF171))),"",IF($AG171="Hábiles",WORKDAY(INT($E171),$AF171,Config!$F$6:$F$39),INT($E171)+$AF171))</f>
        <v/>
      </c>
      <c r="AI158" s="30">
        <f>IF($E171="","",IF(LEFT(UPPER(TRIM($AA171)),8)="FELICITA","⭐ Felicitación",IF(NOT(ISNUMBER($E171)),"⚠ Revisar fecha",IF(UPPER(TRIM($AK171))="RESPONDIDA - CERRADA","✅ Cerrada",IF($AE171="","⚠ Falta entidad",IF($AH171="","⚠ Revisar término",IF(TODAY()&gt;$AH171,"🔴 Vencida",IF($AH171-TODAY()&lt;=Config!$B$12,"🟡 Próxima a vencer","🟢 En término"))))))))</f>
        <v/>
      </c>
      <c r="AJ158" s="42">
        <f>IF(OR($E171="",NOT(ISNUMBER($E171))),"",IF(ISNUMBER($AS171),MAX(0,INT($AS171)-INT($E171)),MAX(0,TODAY()-INT($E171))))</f>
        <v/>
      </c>
      <c r="AK158" s="30" t="n"/>
      <c r="AL158" s="30" t="n"/>
      <c r="AM158" s="30" t="n"/>
      <c r="AN158" s="39" t="n"/>
      <c r="AO158" s="30" t="n"/>
      <c r="AP158" s="30" t="n"/>
      <c r="AQ158" s="39" t="n"/>
      <c r="AR158" s="30" t="n"/>
      <c r="AS158" s="39" t="n"/>
      <c r="AT158" s="30">
        <f>IF(OR($AS171="",NOT(ISNUMBER($AS171)),$AH171=""),"",IF(INT($AS171)&lt;=$AH171,"A tiempo","Fuera de término"))</f>
        <v/>
      </c>
      <c r="AU158" s="40" t="n"/>
      <c r="AV158" s="40" t="n"/>
      <c r="AW158" s="40" t="n"/>
      <c r="AX158" s="40" t="n"/>
      <c r="AY158" s="30" t="n"/>
      <c r="AZ158" s="30" t="n"/>
      <c r="BA158" s="30" t="n"/>
    </row>
    <row r="159" ht="15.75" customHeight="1" s="57">
      <c r="A159" s="29" t="n"/>
      <c r="B159" s="30" t="n"/>
      <c r="C159" s="39" t="n"/>
      <c r="D159" s="39" t="n"/>
      <c r="E159" s="39" t="n"/>
      <c r="F159" s="40" t="n"/>
      <c r="G159" s="30" t="n"/>
      <c r="H159" s="30" t="n"/>
      <c r="I159" s="30" t="n"/>
      <c r="J159" s="30" t="n"/>
      <c r="K159" s="30" t="n"/>
      <c r="L159" s="30" t="n"/>
      <c r="M159" s="30" t="n"/>
      <c r="N159" s="30" t="n"/>
      <c r="O159" s="30" t="n"/>
      <c r="P159" s="30" t="n"/>
      <c r="Q159" s="30" t="n"/>
      <c r="R159" s="30" t="n"/>
      <c r="S159" s="30" t="n"/>
      <c r="T159" s="30" t="n"/>
      <c r="U159" s="30" t="n"/>
      <c r="V159" s="30" t="n"/>
      <c r="W159" s="30" t="n"/>
      <c r="X159" s="30" t="n"/>
      <c r="Y159" s="30" t="n"/>
      <c r="Z159" s="30" t="n"/>
      <c r="AA159" s="30" t="n"/>
      <c r="AB159" s="30" t="n"/>
      <c r="AC159" s="30" t="n"/>
      <c r="AD159" s="41" t="n"/>
      <c r="AE159" s="30" t="n"/>
      <c r="AF159" s="42">
        <f>IF($AA172="","",IF(LEFT(UPPER(TRIM($AA172)),8)="FELICITA","N/A",IF($AE172="","",IFERROR(VLOOKUP(UPPER(TRIM($AE172)),Config!$A$6:$D$8,2,FALSE),IFERROR(VLOOKUP(IF(LEFT(UPPER(TRIM($AE172)),5)="SUPER","SUPER SALUD",IF(LEFT(UPPER(TRIM($AE172)),8)="SECRETAR","SECRETARIA DE SALUD",IF(LEFT(UPPER(TRIM($AE172)),4)="SEDE","SEDE",UPPER(TRIM($AE172))))),Config!$A$6:$D$8,2,FALSE),"⚠")))))</f>
        <v/>
      </c>
      <c r="AG159" s="30">
        <f>IF($AA172="","",IF(LEFT(UPPER(TRIM($AA172)),8)="FELICITA","N/A",IF($AE172="","",IFERROR(VLOOKUP(UPPER(TRIM($AE172)),Config!$A$6:$D$8,3,FALSE),IFERROR(VLOOKUP(IF(LEFT(UPPER(TRIM($AE172)),5)="SUPER","SUPER SALUD",IF(LEFT(UPPER(TRIM($AE172)),8)="SECRETAR","SECRETARIA DE SALUD",IF(LEFT(UPPER(TRIM($AE172)),4)="SEDE","SEDE",UPPER(TRIM($AE172))))),Config!$A$6:$D$8,3,FALSE),"")))))</f>
        <v/>
      </c>
      <c r="AH159" s="39">
        <f>IF(OR($E172="",NOT(ISNUMBER($E172)),$AF172="",$AF172="N/A",NOT(ISNUMBER($AF172))),"",IF($AG172="Hábiles",WORKDAY(INT($E172),$AF172,Config!$F$6:$F$39),INT($E172)+$AF172))</f>
        <v/>
      </c>
      <c r="AI159" s="30">
        <f>IF($E172="","",IF(LEFT(UPPER(TRIM($AA172)),8)="FELICITA","⭐ Felicitación",IF(NOT(ISNUMBER($E172)),"⚠ Revisar fecha",IF(UPPER(TRIM($AK172))="RESPONDIDA - CERRADA","✅ Cerrada",IF($AE172="","⚠ Falta entidad",IF($AH172="","⚠ Revisar término",IF(TODAY()&gt;$AH172,"🔴 Vencida",IF($AH172-TODAY()&lt;=Config!$B$12,"🟡 Próxima a vencer","🟢 En término"))))))))</f>
        <v/>
      </c>
      <c r="AJ159" s="42">
        <f>IF(OR($E172="",NOT(ISNUMBER($E172))),"",IF(ISNUMBER($AS172),MAX(0,INT($AS172)-INT($E172)),MAX(0,TODAY()-INT($E172))))</f>
        <v/>
      </c>
      <c r="AK159" s="30" t="n"/>
      <c r="AL159" s="30" t="n"/>
      <c r="AM159" s="30" t="n"/>
      <c r="AN159" s="39" t="n"/>
      <c r="AO159" s="30" t="n"/>
      <c r="AP159" s="30" t="n"/>
      <c r="AQ159" s="39" t="n"/>
      <c r="AR159" s="30" t="n"/>
      <c r="AS159" s="39" t="n"/>
      <c r="AT159" s="30">
        <f>IF(OR($AS172="",NOT(ISNUMBER($AS172)),$AH172=""),"",IF(INT($AS172)&lt;=$AH172,"A tiempo","Fuera de término"))</f>
        <v/>
      </c>
      <c r="AU159" s="40" t="n"/>
      <c r="AV159" s="40" t="n"/>
      <c r="AW159" s="40" t="n"/>
      <c r="AX159" s="40" t="n"/>
      <c r="AY159" s="30" t="n"/>
      <c r="AZ159" s="30" t="n"/>
      <c r="BA159" s="30" t="n"/>
    </row>
    <row r="160" ht="15.75" customHeight="1" s="57">
      <c r="A160" s="29" t="n"/>
      <c r="B160" s="30" t="n"/>
      <c r="C160" s="39" t="n"/>
      <c r="D160" s="39" t="n"/>
      <c r="E160" s="39" t="n"/>
      <c r="F160" s="40" t="n"/>
      <c r="G160" s="30" t="n"/>
      <c r="H160" s="30" t="n"/>
      <c r="I160" s="30" t="n"/>
      <c r="J160" s="30" t="n"/>
      <c r="K160" s="30" t="n"/>
      <c r="L160" s="30" t="n"/>
      <c r="M160" s="30" t="n"/>
      <c r="N160" s="30" t="n"/>
      <c r="O160" s="30" t="n"/>
      <c r="P160" s="30" t="n"/>
      <c r="Q160" s="30" t="n"/>
      <c r="R160" s="30" t="n"/>
      <c r="S160" s="30" t="n"/>
      <c r="T160" s="30" t="n"/>
      <c r="U160" s="30" t="n"/>
      <c r="V160" s="30" t="n"/>
      <c r="W160" s="30" t="n"/>
      <c r="X160" s="30" t="n"/>
      <c r="Y160" s="30" t="n"/>
      <c r="Z160" s="30" t="n"/>
      <c r="AA160" s="30" t="n"/>
      <c r="AB160" s="30" t="n"/>
      <c r="AC160" s="30" t="n"/>
      <c r="AD160" s="41" t="n"/>
      <c r="AE160" s="30" t="n"/>
      <c r="AF160" s="42">
        <f>IF($AA173="","",IF(LEFT(UPPER(TRIM($AA173)),8)="FELICITA","N/A",IF($AE173="","",IFERROR(VLOOKUP(UPPER(TRIM($AE173)),Config!$A$6:$D$8,2,FALSE),IFERROR(VLOOKUP(IF(LEFT(UPPER(TRIM($AE173)),5)="SUPER","SUPER SALUD",IF(LEFT(UPPER(TRIM($AE173)),8)="SECRETAR","SECRETARIA DE SALUD",IF(LEFT(UPPER(TRIM($AE173)),4)="SEDE","SEDE",UPPER(TRIM($AE173))))),Config!$A$6:$D$8,2,FALSE),"⚠")))))</f>
        <v/>
      </c>
      <c r="AG160" s="30">
        <f>IF($AA173="","",IF(LEFT(UPPER(TRIM($AA173)),8)="FELICITA","N/A",IF($AE173="","",IFERROR(VLOOKUP(UPPER(TRIM($AE173)),Config!$A$6:$D$8,3,FALSE),IFERROR(VLOOKUP(IF(LEFT(UPPER(TRIM($AE173)),5)="SUPER","SUPER SALUD",IF(LEFT(UPPER(TRIM($AE173)),8)="SECRETAR","SECRETARIA DE SALUD",IF(LEFT(UPPER(TRIM($AE173)),4)="SEDE","SEDE",UPPER(TRIM($AE173))))),Config!$A$6:$D$8,3,FALSE),"")))))</f>
        <v/>
      </c>
      <c r="AH160" s="39">
        <f>IF(OR($E173="",NOT(ISNUMBER($E173)),$AF173="",$AF173="N/A",NOT(ISNUMBER($AF173))),"",IF($AG173="Hábiles",WORKDAY(INT($E173),$AF173,Config!$F$6:$F$39),INT($E173)+$AF173))</f>
        <v/>
      </c>
      <c r="AI160" s="30">
        <f>IF($E173="","",IF(LEFT(UPPER(TRIM($AA173)),8)="FELICITA","⭐ Felicitación",IF(NOT(ISNUMBER($E173)),"⚠ Revisar fecha",IF(UPPER(TRIM($AK173))="RESPONDIDA - CERRADA","✅ Cerrada",IF($AE173="","⚠ Falta entidad",IF($AH173="","⚠ Revisar término",IF(TODAY()&gt;$AH173,"🔴 Vencida",IF($AH173-TODAY()&lt;=Config!$B$12,"🟡 Próxima a vencer","🟢 En término"))))))))</f>
        <v/>
      </c>
      <c r="AJ160" s="42">
        <f>IF(OR($E173="",NOT(ISNUMBER($E173))),"",IF(ISNUMBER($AS173),MAX(0,INT($AS173)-INT($E173)),MAX(0,TODAY()-INT($E173))))</f>
        <v/>
      </c>
      <c r="AK160" s="30" t="n"/>
      <c r="AL160" s="30" t="n"/>
      <c r="AM160" s="30" t="n"/>
      <c r="AN160" s="39" t="n"/>
      <c r="AO160" s="30" t="n"/>
      <c r="AP160" s="30" t="n"/>
      <c r="AQ160" s="39" t="n"/>
      <c r="AR160" s="30" t="n"/>
      <c r="AS160" s="39" t="n"/>
      <c r="AT160" s="30">
        <f>IF(OR($AS173="",NOT(ISNUMBER($AS173)),$AH173=""),"",IF(INT($AS173)&lt;=$AH173,"A tiempo","Fuera de término"))</f>
        <v/>
      </c>
      <c r="AU160" s="40" t="n"/>
      <c r="AV160" s="40" t="n"/>
      <c r="AW160" s="40" t="n"/>
      <c r="AX160" s="40" t="n"/>
      <c r="AY160" s="30" t="n"/>
      <c r="AZ160" s="30" t="n"/>
      <c r="BA160" s="30" t="n"/>
    </row>
    <row r="161" ht="15.75" customHeight="1" s="57">
      <c r="A161" s="29" t="n"/>
      <c r="B161" s="30" t="n"/>
      <c r="C161" s="39" t="n"/>
      <c r="D161" s="39" t="n"/>
      <c r="E161" s="39" t="n"/>
      <c r="F161" s="40" t="n"/>
      <c r="G161" s="30" t="n"/>
      <c r="H161" s="30" t="n"/>
      <c r="I161" s="30" t="n"/>
      <c r="J161" s="30" t="n"/>
      <c r="K161" s="30" t="n"/>
      <c r="L161" s="30" t="n"/>
      <c r="M161" s="30" t="n"/>
      <c r="N161" s="30" t="n"/>
      <c r="O161" s="30" t="n"/>
      <c r="P161" s="30" t="n"/>
      <c r="Q161" s="30" t="n"/>
      <c r="R161" s="30" t="n"/>
      <c r="S161" s="30" t="n"/>
      <c r="T161" s="30" t="n"/>
      <c r="U161" s="30" t="n"/>
      <c r="V161" s="30" t="n"/>
      <c r="W161" s="30" t="n"/>
      <c r="X161" s="30" t="n"/>
      <c r="Y161" s="30" t="n"/>
      <c r="Z161" s="30" t="n"/>
      <c r="AA161" s="30" t="n"/>
      <c r="AB161" s="30" t="n"/>
      <c r="AC161" s="30" t="n"/>
      <c r="AD161" s="41" t="n"/>
      <c r="AE161" s="30" t="n"/>
      <c r="AF161" s="42">
        <f>IF($AA174="","",IF(LEFT(UPPER(TRIM($AA174)),8)="FELICITA","N/A",IF($AE174="","",IFERROR(VLOOKUP(UPPER(TRIM($AE174)),Config!$A$6:$D$8,2,FALSE),IFERROR(VLOOKUP(IF(LEFT(UPPER(TRIM($AE174)),5)="SUPER","SUPER SALUD",IF(LEFT(UPPER(TRIM($AE174)),8)="SECRETAR","SECRETARIA DE SALUD",IF(LEFT(UPPER(TRIM($AE174)),4)="SEDE","SEDE",UPPER(TRIM($AE174))))),Config!$A$6:$D$8,2,FALSE),"⚠")))))</f>
        <v/>
      </c>
      <c r="AG161" s="30">
        <f>IF($AA174="","",IF(LEFT(UPPER(TRIM($AA174)),8)="FELICITA","N/A",IF($AE174="","",IFERROR(VLOOKUP(UPPER(TRIM($AE174)),Config!$A$6:$D$8,3,FALSE),IFERROR(VLOOKUP(IF(LEFT(UPPER(TRIM($AE174)),5)="SUPER","SUPER SALUD",IF(LEFT(UPPER(TRIM($AE174)),8)="SECRETAR","SECRETARIA DE SALUD",IF(LEFT(UPPER(TRIM($AE174)),4)="SEDE","SEDE",UPPER(TRIM($AE174))))),Config!$A$6:$D$8,3,FALSE),"")))))</f>
        <v/>
      </c>
      <c r="AH161" s="39">
        <f>IF(OR($E174="",NOT(ISNUMBER($E174)),$AF174="",$AF174="N/A",NOT(ISNUMBER($AF174))),"",IF($AG174="Hábiles",WORKDAY(INT($E174),$AF174,Config!$F$6:$F$39),INT($E174)+$AF174))</f>
        <v/>
      </c>
      <c r="AI161" s="30">
        <f>IF($E174="","",IF(LEFT(UPPER(TRIM($AA174)),8)="FELICITA","⭐ Felicitación",IF(NOT(ISNUMBER($E174)),"⚠ Revisar fecha",IF(UPPER(TRIM($AK174))="RESPONDIDA - CERRADA","✅ Cerrada",IF($AE174="","⚠ Falta entidad",IF($AH174="","⚠ Revisar término",IF(TODAY()&gt;$AH174,"🔴 Vencida",IF($AH174-TODAY()&lt;=Config!$B$12,"🟡 Próxima a vencer","🟢 En término"))))))))</f>
        <v/>
      </c>
      <c r="AJ161" s="42">
        <f>IF(OR($E174="",NOT(ISNUMBER($E174))),"",IF(ISNUMBER($AS174),MAX(0,INT($AS174)-INT($E174)),MAX(0,TODAY()-INT($E174))))</f>
        <v/>
      </c>
      <c r="AK161" s="30" t="n"/>
      <c r="AL161" s="30" t="n"/>
      <c r="AM161" s="30" t="n"/>
      <c r="AN161" s="39" t="n"/>
      <c r="AO161" s="30" t="n"/>
      <c r="AP161" s="30" t="n"/>
      <c r="AQ161" s="39" t="n"/>
      <c r="AR161" s="30" t="n"/>
      <c r="AS161" s="39" t="n"/>
      <c r="AT161" s="30">
        <f>IF(OR($AS174="",NOT(ISNUMBER($AS174)),$AH174=""),"",IF(INT($AS174)&lt;=$AH174,"A tiempo","Fuera de término"))</f>
        <v/>
      </c>
      <c r="AU161" s="40" t="n"/>
      <c r="AV161" s="40" t="n"/>
      <c r="AW161" s="40" t="n"/>
      <c r="AX161" s="40" t="n"/>
      <c r="AY161" s="30" t="n"/>
      <c r="AZ161" s="30" t="n"/>
      <c r="BA161" s="30" t="n"/>
    </row>
    <row r="162" ht="15.75" customHeight="1" s="57">
      <c r="A162" s="29" t="n"/>
      <c r="B162" s="30" t="n"/>
      <c r="C162" s="39" t="n"/>
      <c r="D162" s="39" t="n"/>
      <c r="E162" s="39" t="n"/>
      <c r="F162" s="40" t="n"/>
      <c r="G162" s="30" t="n"/>
      <c r="H162" s="30" t="n"/>
      <c r="I162" s="30" t="n"/>
      <c r="J162" s="30" t="n"/>
      <c r="K162" s="30" t="n"/>
      <c r="L162" s="30" t="n"/>
      <c r="M162" s="30" t="n"/>
      <c r="N162" s="30" t="n"/>
      <c r="O162" s="30" t="n"/>
      <c r="P162" s="30" t="n"/>
      <c r="Q162" s="30" t="n"/>
      <c r="R162" s="30" t="n"/>
      <c r="S162" s="30" t="n"/>
      <c r="T162" s="30" t="n"/>
      <c r="U162" s="30" t="n"/>
      <c r="V162" s="30" t="n"/>
      <c r="W162" s="30" t="n"/>
      <c r="X162" s="30" t="n"/>
      <c r="Y162" s="30" t="n"/>
      <c r="Z162" s="30" t="n"/>
      <c r="AA162" s="30" t="n"/>
      <c r="AB162" s="30" t="n"/>
      <c r="AC162" s="30" t="n"/>
      <c r="AD162" s="41" t="n"/>
      <c r="AE162" s="30" t="n"/>
      <c r="AF162" s="42">
        <f>IF($AA175="","",IF(LEFT(UPPER(TRIM($AA175)),8)="FELICITA","N/A",IF($AE175="","",IFERROR(VLOOKUP(UPPER(TRIM($AE175)),Config!$A$6:$D$8,2,FALSE),IFERROR(VLOOKUP(IF(LEFT(UPPER(TRIM($AE175)),5)="SUPER","SUPER SALUD",IF(LEFT(UPPER(TRIM($AE175)),8)="SECRETAR","SECRETARIA DE SALUD",IF(LEFT(UPPER(TRIM($AE175)),4)="SEDE","SEDE",UPPER(TRIM($AE175))))),Config!$A$6:$D$8,2,FALSE),"⚠")))))</f>
        <v/>
      </c>
      <c r="AG162" s="30">
        <f>IF($AA175="","",IF(LEFT(UPPER(TRIM($AA175)),8)="FELICITA","N/A",IF($AE175="","",IFERROR(VLOOKUP(UPPER(TRIM($AE175)),Config!$A$6:$D$8,3,FALSE),IFERROR(VLOOKUP(IF(LEFT(UPPER(TRIM($AE175)),5)="SUPER","SUPER SALUD",IF(LEFT(UPPER(TRIM($AE175)),8)="SECRETAR","SECRETARIA DE SALUD",IF(LEFT(UPPER(TRIM($AE175)),4)="SEDE","SEDE",UPPER(TRIM($AE175))))),Config!$A$6:$D$8,3,FALSE),"")))))</f>
        <v/>
      </c>
      <c r="AH162" s="39">
        <f>IF(OR($E175="",NOT(ISNUMBER($E175)),$AF175="",$AF175="N/A",NOT(ISNUMBER($AF175))),"",IF($AG175="Hábiles",WORKDAY(INT($E175),$AF175,Config!$F$6:$F$39),INT($E175)+$AF175))</f>
        <v/>
      </c>
      <c r="AI162" s="30">
        <f>IF($E175="","",IF(LEFT(UPPER(TRIM($AA175)),8)="FELICITA","⭐ Felicitación",IF(NOT(ISNUMBER($E175)),"⚠ Revisar fecha",IF(UPPER(TRIM($AK175))="RESPONDIDA - CERRADA","✅ Cerrada",IF($AE175="","⚠ Falta entidad",IF($AH175="","⚠ Revisar término",IF(TODAY()&gt;$AH175,"🔴 Vencida",IF($AH175-TODAY()&lt;=Config!$B$12,"🟡 Próxima a vencer","🟢 En término"))))))))</f>
        <v/>
      </c>
      <c r="AJ162" s="42">
        <f>IF(OR($E175="",NOT(ISNUMBER($E175))),"",IF(ISNUMBER($AS175),MAX(0,INT($AS175)-INT($E175)),MAX(0,TODAY()-INT($E175))))</f>
        <v/>
      </c>
      <c r="AK162" s="30" t="n"/>
      <c r="AL162" s="30" t="n"/>
      <c r="AM162" s="30" t="n"/>
      <c r="AN162" s="39" t="n"/>
      <c r="AO162" s="30" t="n"/>
      <c r="AP162" s="30" t="n"/>
      <c r="AQ162" s="39" t="n"/>
      <c r="AR162" s="30" t="n"/>
      <c r="AS162" s="39" t="n"/>
      <c r="AT162" s="30">
        <f>IF(OR($AS175="",NOT(ISNUMBER($AS175)),$AH175=""),"",IF(INT($AS175)&lt;=$AH175,"A tiempo","Fuera de término"))</f>
        <v/>
      </c>
      <c r="AU162" s="40" t="n"/>
      <c r="AV162" s="40" t="n"/>
      <c r="AW162" s="40" t="n"/>
      <c r="AX162" s="40" t="n"/>
      <c r="AY162" s="30" t="n"/>
      <c r="AZ162" s="30" t="n"/>
      <c r="BA162" s="30" t="n"/>
    </row>
    <row r="163" ht="15.75" customHeight="1" s="57">
      <c r="A163" s="29" t="n"/>
      <c r="B163" s="30" t="n"/>
      <c r="C163" s="39" t="n"/>
      <c r="D163" s="39" t="n"/>
      <c r="E163" s="39" t="n"/>
      <c r="F163" s="40" t="n"/>
      <c r="G163" s="30" t="n"/>
      <c r="H163" s="30" t="n"/>
      <c r="I163" s="30" t="n"/>
      <c r="J163" s="30" t="n"/>
      <c r="K163" s="30" t="n"/>
      <c r="L163" s="30" t="n"/>
      <c r="M163" s="30" t="n"/>
      <c r="N163" s="30" t="n"/>
      <c r="O163" s="30" t="n"/>
      <c r="P163" s="30" t="n"/>
      <c r="Q163" s="30" t="n"/>
      <c r="R163" s="30" t="n"/>
      <c r="S163" s="30" t="n"/>
      <c r="T163" s="30" t="n"/>
      <c r="U163" s="30" t="n"/>
      <c r="V163" s="30" t="n"/>
      <c r="W163" s="30" t="n"/>
      <c r="X163" s="30" t="n"/>
      <c r="Y163" s="30" t="n"/>
      <c r="Z163" s="30" t="n"/>
      <c r="AA163" s="30" t="n"/>
      <c r="AB163" s="30" t="n"/>
      <c r="AC163" s="30" t="n"/>
      <c r="AD163" s="41" t="n"/>
      <c r="AE163" s="30" t="n"/>
      <c r="AF163" s="42">
        <f>IF($AA176="","",IF(LEFT(UPPER(TRIM($AA176)),8)="FELICITA","N/A",IF($AE176="","",IFERROR(VLOOKUP(UPPER(TRIM($AE176)),Config!$A$6:$D$8,2,FALSE),IFERROR(VLOOKUP(IF(LEFT(UPPER(TRIM($AE176)),5)="SUPER","SUPER SALUD",IF(LEFT(UPPER(TRIM($AE176)),8)="SECRETAR","SECRETARIA DE SALUD",IF(LEFT(UPPER(TRIM($AE176)),4)="SEDE","SEDE",UPPER(TRIM($AE176))))),Config!$A$6:$D$8,2,FALSE),"⚠")))))</f>
        <v/>
      </c>
      <c r="AG163" s="30">
        <f>IF($AA176="","",IF(LEFT(UPPER(TRIM($AA176)),8)="FELICITA","N/A",IF($AE176="","",IFERROR(VLOOKUP(UPPER(TRIM($AE176)),Config!$A$6:$D$8,3,FALSE),IFERROR(VLOOKUP(IF(LEFT(UPPER(TRIM($AE176)),5)="SUPER","SUPER SALUD",IF(LEFT(UPPER(TRIM($AE176)),8)="SECRETAR","SECRETARIA DE SALUD",IF(LEFT(UPPER(TRIM($AE176)),4)="SEDE","SEDE",UPPER(TRIM($AE176))))),Config!$A$6:$D$8,3,FALSE),"")))))</f>
        <v/>
      </c>
      <c r="AH163" s="39">
        <f>IF(OR($E176="",NOT(ISNUMBER($E176)),$AF176="",$AF176="N/A",NOT(ISNUMBER($AF176))),"",IF($AG176="Hábiles",WORKDAY(INT($E176),$AF176,Config!$F$6:$F$39),INT($E176)+$AF176))</f>
        <v/>
      </c>
      <c r="AI163" s="30">
        <f>IF($E176="","",IF(LEFT(UPPER(TRIM($AA176)),8)="FELICITA","⭐ Felicitación",IF(NOT(ISNUMBER($E176)),"⚠ Revisar fecha",IF(UPPER(TRIM($AK176))="RESPONDIDA - CERRADA","✅ Cerrada",IF($AE176="","⚠ Falta entidad",IF($AH176="","⚠ Revisar término",IF(TODAY()&gt;$AH176,"🔴 Vencida",IF($AH176-TODAY()&lt;=Config!$B$12,"🟡 Próxima a vencer","🟢 En término"))))))))</f>
        <v/>
      </c>
      <c r="AJ163" s="42">
        <f>IF(OR($E176="",NOT(ISNUMBER($E176))),"",IF(ISNUMBER($AS176),MAX(0,INT($AS176)-INT($E176)),MAX(0,TODAY()-INT($E176))))</f>
        <v/>
      </c>
      <c r="AK163" s="30" t="n"/>
      <c r="AL163" s="30" t="n"/>
      <c r="AM163" s="30" t="n"/>
      <c r="AN163" s="39" t="n"/>
      <c r="AO163" s="30" t="n"/>
      <c r="AP163" s="30" t="n"/>
      <c r="AQ163" s="39" t="n"/>
      <c r="AR163" s="30" t="n"/>
      <c r="AS163" s="39" t="n"/>
      <c r="AT163" s="30">
        <f>IF(OR($AS176="",NOT(ISNUMBER($AS176)),$AH176=""),"",IF(INT($AS176)&lt;=$AH176,"A tiempo","Fuera de término"))</f>
        <v/>
      </c>
      <c r="AU163" s="40" t="n"/>
      <c r="AV163" s="40" t="n"/>
      <c r="AW163" s="40" t="n"/>
      <c r="AX163" s="40" t="n"/>
      <c r="AY163" s="30" t="n"/>
      <c r="AZ163" s="30" t="n"/>
      <c r="BA163" s="30" t="n"/>
    </row>
    <row r="164" ht="15.75" customHeight="1" s="57">
      <c r="A164" s="29" t="n"/>
      <c r="B164" s="30" t="n"/>
      <c r="C164" s="39" t="n"/>
      <c r="D164" s="39" t="n"/>
      <c r="E164" s="39" t="n"/>
      <c r="F164" s="40" t="n"/>
      <c r="G164" s="30" t="n"/>
      <c r="H164" s="30" t="n"/>
      <c r="I164" s="30" t="n"/>
      <c r="J164" s="30" t="n"/>
      <c r="K164" s="30" t="n"/>
      <c r="L164" s="30" t="n"/>
      <c r="M164" s="30" t="n"/>
      <c r="N164" s="30" t="n"/>
      <c r="O164" s="30" t="n"/>
      <c r="P164" s="30" t="n"/>
      <c r="Q164" s="30" t="n"/>
      <c r="R164" s="30" t="n"/>
      <c r="S164" s="30" t="n"/>
      <c r="T164" s="30" t="n"/>
      <c r="U164" s="30" t="n"/>
      <c r="V164" s="30" t="n"/>
      <c r="W164" s="30" t="n"/>
      <c r="X164" s="30" t="n"/>
      <c r="Y164" s="30" t="n"/>
      <c r="Z164" s="30" t="n"/>
      <c r="AA164" s="30" t="n"/>
      <c r="AB164" s="30" t="n"/>
      <c r="AC164" s="30" t="n"/>
      <c r="AD164" s="41" t="n"/>
      <c r="AE164" s="30" t="n"/>
      <c r="AF164" s="42">
        <f>IF($AA177="","",IF(LEFT(UPPER(TRIM($AA177)),8)="FELICITA","N/A",IF($AE177="","",IFERROR(VLOOKUP(UPPER(TRIM($AE177)),Config!$A$6:$D$8,2,FALSE),IFERROR(VLOOKUP(IF(LEFT(UPPER(TRIM($AE177)),5)="SUPER","SUPER SALUD",IF(LEFT(UPPER(TRIM($AE177)),8)="SECRETAR","SECRETARIA DE SALUD",IF(LEFT(UPPER(TRIM($AE177)),4)="SEDE","SEDE",UPPER(TRIM($AE177))))),Config!$A$6:$D$8,2,FALSE),"⚠")))))</f>
        <v/>
      </c>
      <c r="AG164" s="30">
        <f>IF($AA177="","",IF(LEFT(UPPER(TRIM($AA177)),8)="FELICITA","N/A",IF($AE177="","",IFERROR(VLOOKUP(UPPER(TRIM($AE177)),Config!$A$6:$D$8,3,FALSE),IFERROR(VLOOKUP(IF(LEFT(UPPER(TRIM($AE177)),5)="SUPER","SUPER SALUD",IF(LEFT(UPPER(TRIM($AE177)),8)="SECRETAR","SECRETARIA DE SALUD",IF(LEFT(UPPER(TRIM($AE177)),4)="SEDE","SEDE",UPPER(TRIM($AE177))))),Config!$A$6:$D$8,3,FALSE),"")))))</f>
        <v/>
      </c>
      <c r="AH164" s="39">
        <f>IF(OR($E177="",NOT(ISNUMBER($E177)),$AF177="",$AF177="N/A",NOT(ISNUMBER($AF177))),"",IF($AG177="Hábiles",WORKDAY(INT($E177),$AF177,Config!$F$6:$F$39),INT($E177)+$AF177))</f>
        <v/>
      </c>
      <c r="AI164" s="30">
        <f>IF($E177="","",IF(LEFT(UPPER(TRIM($AA177)),8)="FELICITA","⭐ Felicitación",IF(NOT(ISNUMBER($E177)),"⚠ Revisar fecha",IF(UPPER(TRIM($AK177))="RESPONDIDA - CERRADA","✅ Cerrada",IF($AE177="","⚠ Falta entidad",IF($AH177="","⚠ Revisar término",IF(TODAY()&gt;$AH177,"🔴 Vencida",IF($AH177-TODAY()&lt;=Config!$B$12,"🟡 Próxima a vencer","🟢 En término"))))))))</f>
        <v/>
      </c>
      <c r="AJ164" s="42">
        <f>IF(OR($E177="",NOT(ISNUMBER($E177))),"",IF(ISNUMBER($AS177),MAX(0,INT($AS177)-INT($E177)),MAX(0,TODAY()-INT($E177))))</f>
        <v/>
      </c>
      <c r="AK164" s="30" t="n"/>
      <c r="AL164" s="30" t="n"/>
      <c r="AM164" s="30" t="n"/>
      <c r="AN164" s="39" t="n"/>
      <c r="AO164" s="30" t="n"/>
      <c r="AP164" s="30" t="n"/>
      <c r="AQ164" s="39" t="n"/>
      <c r="AR164" s="30" t="n"/>
      <c r="AS164" s="39" t="n"/>
      <c r="AT164" s="30">
        <f>IF(OR($AS177="",NOT(ISNUMBER($AS177)),$AH177=""),"",IF(INT($AS177)&lt;=$AH177,"A tiempo","Fuera de término"))</f>
        <v/>
      </c>
      <c r="AU164" s="40" t="n"/>
      <c r="AV164" s="40" t="n"/>
      <c r="AW164" s="40" t="n"/>
      <c r="AX164" s="40" t="n"/>
      <c r="AY164" s="30" t="n"/>
      <c r="AZ164" s="30" t="n"/>
      <c r="BA164" s="30" t="n"/>
    </row>
    <row r="165" ht="15.75" customHeight="1" s="57">
      <c r="A165" s="29" t="n"/>
      <c r="B165" s="30" t="n"/>
      <c r="C165" s="39" t="n"/>
      <c r="D165" s="39" t="n"/>
      <c r="E165" s="39" t="n"/>
      <c r="F165" s="40" t="n"/>
      <c r="G165" s="30" t="n"/>
      <c r="H165" s="30" t="n"/>
      <c r="I165" s="30" t="n"/>
      <c r="J165" s="30" t="n"/>
      <c r="K165" s="30" t="n"/>
      <c r="L165" s="30" t="n"/>
      <c r="M165" s="30" t="n"/>
      <c r="N165" s="30" t="n"/>
      <c r="O165" s="30" t="n"/>
      <c r="P165" s="30" t="n"/>
      <c r="Q165" s="30" t="n"/>
      <c r="R165" s="30" t="n"/>
      <c r="S165" s="30" t="n"/>
      <c r="T165" s="30" t="n"/>
      <c r="U165" s="30" t="n"/>
      <c r="V165" s="30" t="n"/>
      <c r="W165" s="30" t="n"/>
      <c r="X165" s="30" t="n"/>
      <c r="Y165" s="30" t="n"/>
      <c r="Z165" s="30" t="n"/>
      <c r="AA165" s="30" t="n"/>
      <c r="AB165" s="30" t="n"/>
      <c r="AC165" s="30" t="n"/>
      <c r="AD165" s="41" t="n"/>
      <c r="AE165" s="30" t="n"/>
      <c r="AF165" s="42">
        <f>IF($AA178="","",IF(LEFT(UPPER(TRIM($AA178)),8)="FELICITA","N/A",IF($AE178="","",IFERROR(VLOOKUP(UPPER(TRIM($AE178)),Config!$A$6:$D$8,2,FALSE),IFERROR(VLOOKUP(IF(LEFT(UPPER(TRIM($AE178)),5)="SUPER","SUPER SALUD",IF(LEFT(UPPER(TRIM($AE178)),8)="SECRETAR","SECRETARIA DE SALUD",IF(LEFT(UPPER(TRIM($AE178)),4)="SEDE","SEDE",UPPER(TRIM($AE178))))),Config!$A$6:$D$8,2,FALSE),"⚠")))))</f>
        <v/>
      </c>
      <c r="AG165" s="30">
        <f>IF($AA178="","",IF(LEFT(UPPER(TRIM($AA178)),8)="FELICITA","N/A",IF($AE178="","",IFERROR(VLOOKUP(UPPER(TRIM($AE178)),Config!$A$6:$D$8,3,FALSE),IFERROR(VLOOKUP(IF(LEFT(UPPER(TRIM($AE178)),5)="SUPER","SUPER SALUD",IF(LEFT(UPPER(TRIM($AE178)),8)="SECRETAR","SECRETARIA DE SALUD",IF(LEFT(UPPER(TRIM($AE178)),4)="SEDE","SEDE",UPPER(TRIM($AE178))))),Config!$A$6:$D$8,3,FALSE),"")))))</f>
        <v/>
      </c>
      <c r="AH165" s="39">
        <f>IF(OR($E178="",NOT(ISNUMBER($E178)),$AF178="",$AF178="N/A",NOT(ISNUMBER($AF178))),"",IF($AG178="Hábiles",WORKDAY(INT($E178),$AF178,Config!$F$6:$F$39),INT($E178)+$AF178))</f>
        <v/>
      </c>
      <c r="AI165" s="30">
        <f>IF($E178="","",IF(LEFT(UPPER(TRIM($AA178)),8)="FELICITA","⭐ Felicitación",IF(NOT(ISNUMBER($E178)),"⚠ Revisar fecha",IF(UPPER(TRIM($AK178))="RESPONDIDA - CERRADA","✅ Cerrada",IF($AE178="","⚠ Falta entidad",IF($AH178="","⚠ Revisar término",IF(TODAY()&gt;$AH178,"🔴 Vencida",IF($AH178-TODAY()&lt;=Config!$B$12,"🟡 Próxima a vencer","🟢 En término"))))))))</f>
        <v/>
      </c>
      <c r="AJ165" s="42">
        <f>IF(OR($E178="",NOT(ISNUMBER($E178))),"",IF(ISNUMBER($AS178),MAX(0,INT($AS178)-INT($E178)),MAX(0,TODAY()-INT($E178))))</f>
        <v/>
      </c>
      <c r="AK165" s="30" t="n"/>
      <c r="AL165" s="30" t="n"/>
      <c r="AM165" s="30" t="n"/>
      <c r="AN165" s="39" t="n"/>
      <c r="AO165" s="30" t="n"/>
      <c r="AP165" s="30" t="n"/>
      <c r="AQ165" s="39" t="n"/>
      <c r="AR165" s="30" t="n"/>
      <c r="AS165" s="39" t="n"/>
      <c r="AT165" s="30">
        <f>IF(OR($AS178="",NOT(ISNUMBER($AS178)),$AH178=""),"",IF(INT($AS178)&lt;=$AH178,"A tiempo","Fuera de término"))</f>
        <v/>
      </c>
      <c r="AU165" s="40" t="n"/>
      <c r="AV165" s="40" t="n"/>
      <c r="AW165" s="40" t="n"/>
      <c r="AX165" s="40" t="n"/>
      <c r="AY165" s="30" t="n"/>
      <c r="AZ165" s="30" t="n"/>
      <c r="BA165" s="30" t="n"/>
    </row>
    <row r="166" ht="15.75" customHeight="1" s="57">
      <c r="A166" s="29" t="n"/>
      <c r="B166" s="30" t="n"/>
      <c r="C166" s="39" t="n"/>
      <c r="D166" s="39" t="n"/>
      <c r="E166" s="39" t="n"/>
      <c r="F166" s="40" t="n"/>
      <c r="G166" s="30" t="n"/>
      <c r="H166" s="30" t="n"/>
      <c r="I166" s="30" t="n"/>
      <c r="J166" s="30" t="n"/>
      <c r="K166" s="30" t="n"/>
      <c r="L166" s="30" t="n"/>
      <c r="M166" s="30" t="n"/>
      <c r="N166" s="30" t="n"/>
      <c r="O166" s="30" t="n"/>
      <c r="P166" s="30" t="n"/>
      <c r="Q166" s="30" t="n"/>
      <c r="R166" s="30" t="n"/>
      <c r="S166" s="30" t="n"/>
      <c r="T166" s="30" t="n"/>
      <c r="U166" s="30" t="n"/>
      <c r="V166" s="30" t="n"/>
      <c r="W166" s="30" t="n"/>
      <c r="X166" s="30" t="n"/>
      <c r="Y166" s="30" t="n"/>
      <c r="Z166" s="30" t="n"/>
      <c r="AA166" s="30" t="n"/>
      <c r="AB166" s="30" t="n"/>
      <c r="AC166" s="30" t="n"/>
      <c r="AD166" s="41" t="n"/>
      <c r="AE166" s="30" t="n"/>
      <c r="AF166" s="42">
        <f>IF($AA179="","",IF(LEFT(UPPER(TRIM($AA179)),8)="FELICITA","N/A",IF($AE179="","",IFERROR(VLOOKUP(UPPER(TRIM($AE179)),Config!$A$6:$D$8,2,FALSE),IFERROR(VLOOKUP(IF(LEFT(UPPER(TRIM($AE179)),5)="SUPER","SUPER SALUD",IF(LEFT(UPPER(TRIM($AE179)),8)="SECRETAR","SECRETARIA DE SALUD",IF(LEFT(UPPER(TRIM($AE179)),4)="SEDE","SEDE",UPPER(TRIM($AE179))))),Config!$A$6:$D$8,2,FALSE),"⚠")))))</f>
        <v/>
      </c>
      <c r="AG166" s="30">
        <f>IF($AA179="","",IF(LEFT(UPPER(TRIM($AA179)),8)="FELICITA","N/A",IF($AE179="","",IFERROR(VLOOKUP(UPPER(TRIM($AE179)),Config!$A$6:$D$8,3,FALSE),IFERROR(VLOOKUP(IF(LEFT(UPPER(TRIM($AE179)),5)="SUPER","SUPER SALUD",IF(LEFT(UPPER(TRIM($AE179)),8)="SECRETAR","SECRETARIA DE SALUD",IF(LEFT(UPPER(TRIM($AE179)),4)="SEDE","SEDE",UPPER(TRIM($AE179))))),Config!$A$6:$D$8,3,FALSE),"")))))</f>
        <v/>
      </c>
      <c r="AH166" s="39">
        <f>IF(OR($E179="",NOT(ISNUMBER($E179)),$AF179="",$AF179="N/A",NOT(ISNUMBER($AF179))),"",IF($AG179="Hábiles",WORKDAY(INT($E179),$AF179,Config!$F$6:$F$39),INT($E179)+$AF179))</f>
        <v/>
      </c>
      <c r="AI166" s="30">
        <f>IF($E179="","",IF(LEFT(UPPER(TRIM($AA179)),8)="FELICITA","⭐ Felicitación",IF(NOT(ISNUMBER($E179)),"⚠ Revisar fecha",IF(UPPER(TRIM($AK179))="RESPONDIDA - CERRADA","✅ Cerrada",IF($AE179="","⚠ Falta entidad",IF($AH179="","⚠ Revisar término",IF(TODAY()&gt;$AH179,"🔴 Vencida",IF($AH179-TODAY()&lt;=Config!$B$12,"🟡 Próxima a vencer","🟢 En término"))))))))</f>
        <v/>
      </c>
      <c r="AJ166" s="42">
        <f>IF(OR($E179="",NOT(ISNUMBER($E179))),"",IF(ISNUMBER($AS179),MAX(0,INT($AS179)-INT($E179)),MAX(0,TODAY()-INT($E179))))</f>
        <v/>
      </c>
      <c r="AK166" s="30" t="n"/>
      <c r="AL166" s="30" t="n"/>
      <c r="AM166" s="30" t="n"/>
      <c r="AN166" s="39" t="n"/>
      <c r="AO166" s="30" t="n"/>
      <c r="AP166" s="30" t="n"/>
      <c r="AQ166" s="39" t="n"/>
      <c r="AR166" s="30" t="n"/>
      <c r="AS166" s="39" t="n"/>
      <c r="AT166" s="30">
        <f>IF(OR($AS179="",NOT(ISNUMBER($AS179)),$AH179=""),"",IF(INT($AS179)&lt;=$AH179,"A tiempo","Fuera de término"))</f>
        <v/>
      </c>
      <c r="AU166" s="40" t="n"/>
      <c r="AV166" s="40" t="n"/>
      <c r="AW166" s="40" t="n"/>
      <c r="AX166" s="40" t="n"/>
      <c r="AY166" s="30" t="n"/>
      <c r="AZ166" s="30" t="n"/>
      <c r="BA166" s="30" t="n"/>
    </row>
    <row r="167" ht="15.75" customHeight="1" s="57">
      <c r="A167" s="29" t="n"/>
      <c r="B167" s="30" t="n"/>
      <c r="C167" s="39" t="n"/>
      <c r="D167" s="39" t="n"/>
      <c r="E167" s="39" t="n"/>
      <c r="F167" s="40" t="n"/>
      <c r="G167" s="30" t="n"/>
      <c r="H167" s="30" t="n"/>
      <c r="I167" s="30" t="n"/>
      <c r="J167" s="30" t="n"/>
      <c r="K167" s="30" t="n"/>
      <c r="L167" s="30" t="n"/>
      <c r="M167" s="30" t="n"/>
      <c r="N167" s="30" t="n"/>
      <c r="O167" s="30" t="n"/>
      <c r="P167" s="30" t="n"/>
      <c r="Q167" s="30" t="n"/>
      <c r="R167" s="30" t="n"/>
      <c r="S167" s="30" t="n"/>
      <c r="T167" s="30" t="n"/>
      <c r="U167" s="30" t="n"/>
      <c r="V167" s="30" t="n"/>
      <c r="W167" s="30" t="n"/>
      <c r="X167" s="30" t="n"/>
      <c r="Y167" s="30" t="n"/>
      <c r="Z167" s="30" t="n"/>
      <c r="AA167" s="30" t="n"/>
      <c r="AB167" s="30" t="n"/>
      <c r="AC167" s="30" t="n"/>
      <c r="AD167" s="41" t="n"/>
      <c r="AE167" s="30" t="n"/>
      <c r="AF167" s="42">
        <f>IF($AA180="","",IF(LEFT(UPPER(TRIM($AA180)),8)="FELICITA","N/A",IF($AE180="","",IFERROR(VLOOKUP(UPPER(TRIM($AE180)),Config!$A$6:$D$8,2,FALSE),IFERROR(VLOOKUP(IF(LEFT(UPPER(TRIM($AE180)),5)="SUPER","SUPER SALUD",IF(LEFT(UPPER(TRIM($AE180)),8)="SECRETAR","SECRETARIA DE SALUD",IF(LEFT(UPPER(TRIM($AE180)),4)="SEDE","SEDE",UPPER(TRIM($AE180))))),Config!$A$6:$D$8,2,FALSE),"⚠")))))</f>
        <v/>
      </c>
      <c r="AG167" s="30">
        <f>IF($AA180="","",IF(LEFT(UPPER(TRIM($AA180)),8)="FELICITA","N/A",IF($AE180="","",IFERROR(VLOOKUP(UPPER(TRIM($AE180)),Config!$A$6:$D$8,3,FALSE),IFERROR(VLOOKUP(IF(LEFT(UPPER(TRIM($AE180)),5)="SUPER","SUPER SALUD",IF(LEFT(UPPER(TRIM($AE180)),8)="SECRETAR","SECRETARIA DE SALUD",IF(LEFT(UPPER(TRIM($AE180)),4)="SEDE","SEDE",UPPER(TRIM($AE180))))),Config!$A$6:$D$8,3,FALSE),"")))))</f>
        <v/>
      </c>
      <c r="AH167" s="39">
        <f>IF(OR($E180="",NOT(ISNUMBER($E180)),$AF180="",$AF180="N/A",NOT(ISNUMBER($AF180))),"",IF($AG180="Hábiles",WORKDAY(INT($E180),$AF180,Config!$F$6:$F$39),INT($E180)+$AF180))</f>
        <v/>
      </c>
      <c r="AI167" s="30">
        <f>IF($E180="","",IF(LEFT(UPPER(TRIM($AA180)),8)="FELICITA","⭐ Felicitación",IF(NOT(ISNUMBER($E180)),"⚠ Revisar fecha",IF(UPPER(TRIM($AK180))="RESPONDIDA - CERRADA","✅ Cerrada",IF($AE180="","⚠ Falta entidad",IF($AH180="","⚠ Revisar término",IF(TODAY()&gt;$AH180,"🔴 Vencida",IF($AH180-TODAY()&lt;=Config!$B$12,"🟡 Próxima a vencer","🟢 En término"))))))))</f>
        <v/>
      </c>
      <c r="AJ167" s="42">
        <f>IF(OR($E180="",NOT(ISNUMBER($E180))),"",IF(ISNUMBER($AS180),MAX(0,INT($AS180)-INT($E180)),MAX(0,TODAY()-INT($E180))))</f>
        <v/>
      </c>
      <c r="AK167" s="30" t="n"/>
      <c r="AL167" s="30" t="n"/>
      <c r="AM167" s="30" t="n"/>
      <c r="AN167" s="39" t="n"/>
      <c r="AO167" s="30" t="n"/>
      <c r="AP167" s="30" t="n"/>
      <c r="AQ167" s="39" t="n"/>
      <c r="AR167" s="30" t="n"/>
      <c r="AS167" s="39" t="n"/>
      <c r="AT167" s="30">
        <f>IF(OR($AS180="",NOT(ISNUMBER($AS180)),$AH180=""),"",IF(INT($AS180)&lt;=$AH180,"A tiempo","Fuera de término"))</f>
        <v/>
      </c>
      <c r="AU167" s="40" t="n"/>
      <c r="AV167" s="40" t="n"/>
      <c r="AW167" s="40" t="n"/>
      <c r="AX167" s="40" t="n"/>
      <c r="AY167" s="30" t="n"/>
      <c r="AZ167" s="30" t="n"/>
      <c r="BA167" s="30" t="n"/>
    </row>
    <row r="168" ht="15.75" customHeight="1" s="57">
      <c r="A168" s="29" t="n"/>
      <c r="B168" s="30" t="n"/>
      <c r="C168" s="39" t="n"/>
      <c r="D168" s="39" t="n"/>
      <c r="E168" s="39" t="n"/>
      <c r="F168" s="40" t="n"/>
      <c r="G168" s="30" t="n"/>
      <c r="H168" s="30" t="n"/>
      <c r="I168" s="30" t="n"/>
      <c r="J168" s="30" t="n"/>
      <c r="K168" s="30" t="n"/>
      <c r="L168" s="30" t="n"/>
      <c r="M168" s="30" t="n"/>
      <c r="N168" s="30" t="n"/>
      <c r="O168" s="30" t="n"/>
      <c r="P168" s="30" t="n"/>
      <c r="Q168" s="30" t="n"/>
      <c r="R168" s="30" t="n"/>
      <c r="S168" s="30" t="n"/>
      <c r="T168" s="30" t="n"/>
      <c r="U168" s="30" t="n"/>
      <c r="V168" s="30" t="n"/>
      <c r="W168" s="30" t="n"/>
      <c r="X168" s="30" t="n"/>
      <c r="Y168" s="30" t="n"/>
      <c r="Z168" s="30" t="n"/>
      <c r="AA168" s="30" t="n"/>
      <c r="AB168" s="30" t="n"/>
      <c r="AC168" s="30" t="n"/>
      <c r="AD168" s="41" t="n"/>
      <c r="AE168" s="30" t="n"/>
      <c r="AF168" s="42">
        <f>IF($AA181="","",IF(LEFT(UPPER(TRIM($AA181)),8)="FELICITA","N/A",IF($AE181="","",IFERROR(VLOOKUP(UPPER(TRIM($AE181)),Config!$A$6:$D$8,2,FALSE),IFERROR(VLOOKUP(IF(LEFT(UPPER(TRIM($AE181)),5)="SUPER","SUPER SALUD",IF(LEFT(UPPER(TRIM($AE181)),8)="SECRETAR","SECRETARIA DE SALUD",IF(LEFT(UPPER(TRIM($AE181)),4)="SEDE","SEDE",UPPER(TRIM($AE181))))),Config!$A$6:$D$8,2,FALSE),"⚠")))))</f>
        <v/>
      </c>
      <c r="AG168" s="30">
        <f>IF($AA181="","",IF(LEFT(UPPER(TRIM($AA181)),8)="FELICITA","N/A",IF($AE181="","",IFERROR(VLOOKUP(UPPER(TRIM($AE181)),Config!$A$6:$D$8,3,FALSE),IFERROR(VLOOKUP(IF(LEFT(UPPER(TRIM($AE181)),5)="SUPER","SUPER SALUD",IF(LEFT(UPPER(TRIM($AE181)),8)="SECRETAR","SECRETARIA DE SALUD",IF(LEFT(UPPER(TRIM($AE181)),4)="SEDE","SEDE",UPPER(TRIM($AE181))))),Config!$A$6:$D$8,3,FALSE),"")))))</f>
        <v/>
      </c>
      <c r="AH168" s="39">
        <f>IF(OR($E181="",NOT(ISNUMBER($E181)),$AF181="",$AF181="N/A",NOT(ISNUMBER($AF181))),"",IF($AG181="Hábiles",WORKDAY(INT($E181),$AF181,Config!$F$6:$F$39),INT($E181)+$AF181))</f>
        <v/>
      </c>
      <c r="AI168" s="30">
        <f>IF($E181="","",IF(LEFT(UPPER(TRIM($AA181)),8)="FELICITA","⭐ Felicitación",IF(NOT(ISNUMBER($E181)),"⚠ Revisar fecha",IF(UPPER(TRIM($AK181))="RESPONDIDA - CERRADA","✅ Cerrada",IF($AE181="","⚠ Falta entidad",IF($AH181="","⚠ Revisar término",IF(TODAY()&gt;$AH181,"🔴 Vencida",IF($AH181-TODAY()&lt;=Config!$B$12,"🟡 Próxima a vencer","🟢 En término"))))))))</f>
        <v/>
      </c>
      <c r="AJ168" s="42">
        <f>IF(OR($E181="",NOT(ISNUMBER($E181))),"",IF(ISNUMBER($AS181),MAX(0,INT($AS181)-INT($E181)),MAX(0,TODAY()-INT($E181))))</f>
        <v/>
      </c>
      <c r="AK168" s="30" t="n"/>
      <c r="AL168" s="30" t="n"/>
      <c r="AM168" s="30" t="n"/>
      <c r="AN168" s="39" t="n"/>
      <c r="AO168" s="30" t="n"/>
      <c r="AP168" s="30" t="n"/>
      <c r="AQ168" s="39" t="n"/>
      <c r="AR168" s="30" t="n"/>
      <c r="AS168" s="39" t="n"/>
      <c r="AT168" s="30">
        <f>IF(OR($AS181="",NOT(ISNUMBER($AS181)),$AH181=""),"",IF(INT($AS181)&lt;=$AH181,"A tiempo","Fuera de término"))</f>
        <v/>
      </c>
      <c r="AU168" s="40" t="n"/>
      <c r="AV168" s="40" t="n"/>
      <c r="AW168" s="40" t="n"/>
      <c r="AX168" s="40" t="n"/>
      <c r="AY168" s="30" t="n"/>
      <c r="AZ168" s="30" t="n"/>
      <c r="BA168" s="30" t="n"/>
    </row>
    <row r="169" ht="15.75" customHeight="1" s="57">
      <c r="A169" s="29" t="n"/>
      <c r="B169" s="30" t="n"/>
      <c r="C169" s="39" t="n"/>
      <c r="D169" s="39" t="n"/>
      <c r="E169" s="39" t="n"/>
      <c r="F169" s="40" t="n"/>
      <c r="G169" s="30" t="n"/>
      <c r="H169" s="30" t="n"/>
      <c r="I169" s="30" t="n"/>
      <c r="J169" s="30" t="n"/>
      <c r="K169" s="30" t="n"/>
      <c r="L169" s="30" t="n"/>
      <c r="M169" s="30" t="n"/>
      <c r="N169" s="30" t="n"/>
      <c r="O169" s="30" t="n"/>
      <c r="P169" s="30" t="n"/>
      <c r="Q169" s="30" t="n"/>
      <c r="R169" s="30" t="n"/>
      <c r="S169" s="30" t="n"/>
      <c r="T169" s="30" t="n"/>
      <c r="U169" s="30" t="n"/>
      <c r="V169" s="30" t="n"/>
      <c r="W169" s="30" t="n"/>
      <c r="X169" s="30" t="n"/>
      <c r="Y169" s="30" t="n"/>
      <c r="Z169" s="30" t="n"/>
      <c r="AA169" s="30" t="n"/>
      <c r="AB169" s="30" t="n"/>
      <c r="AC169" s="30" t="n"/>
      <c r="AD169" s="41" t="n"/>
      <c r="AE169" s="30" t="n"/>
      <c r="AF169" s="42">
        <f>IF($AA182="","",IF(LEFT(UPPER(TRIM($AA182)),8)="FELICITA","N/A",IF($AE182="","",IFERROR(VLOOKUP(UPPER(TRIM($AE182)),Config!$A$6:$D$8,2,FALSE),IFERROR(VLOOKUP(IF(LEFT(UPPER(TRIM($AE182)),5)="SUPER","SUPER SALUD",IF(LEFT(UPPER(TRIM($AE182)),8)="SECRETAR","SECRETARIA DE SALUD",IF(LEFT(UPPER(TRIM($AE182)),4)="SEDE","SEDE",UPPER(TRIM($AE182))))),Config!$A$6:$D$8,2,FALSE),"⚠")))))</f>
        <v/>
      </c>
      <c r="AG169" s="30">
        <f>IF($AA182="","",IF(LEFT(UPPER(TRIM($AA182)),8)="FELICITA","N/A",IF($AE182="","",IFERROR(VLOOKUP(UPPER(TRIM($AE182)),Config!$A$6:$D$8,3,FALSE),IFERROR(VLOOKUP(IF(LEFT(UPPER(TRIM($AE182)),5)="SUPER","SUPER SALUD",IF(LEFT(UPPER(TRIM($AE182)),8)="SECRETAR","SECRETARIA DE SALUD",IF(LEFT(UPPER(TRIM($AE182)),4)="SEDE","SEDE",UPPER(TRIM($AE182))))),Config!$A$6:$D$8,3,FALSE),"")))))</f>
        <v/>
      </c>
      <c r="AH169" s="39">
        <f>IF(OR($E182="",NOT(ISNUMBER($E182)),$AF182="",$AF182="N/A",NOT(ISNUMBER($AF182))),"",IF($AG182="Hábiles",WORKDAY(INT($E182),$AF182,Config!$F$6:$F$39),INT($E182)+$AF182))</f>
        <v/>
      </c>
      <c r="AI169" s="30">
        <f>IF($E182="","",IF(LEFT(UPPER(TRIM($AA182)),8)="FELICITA","⭐ Felicitación",IF(NOT(ISNUMBER($E182)),"⚠ Revisar fecha",IF(UPPER(TRIM($AK182))="RESPONDIDA - CERRADA","✅ Cerrada",IF($AE182="","⚠ Falta entidad",IF($AH182="","⚠ Revisar término",IF(TODAY()&gt;$AH182,"🔴 Vencida",IF($AH182-TODAY()&lt;=Config!$B$12,"🟡 Próxima a vencer","🟢 En término"))))))))</f>
        <v/>
      </c>
      <c r="AJ169" s="42">
        <f>IF(OR($E182="",NOT(ISNUMBER($E182))),"",IF(ISNUMBER($AS182),MAX(0,INT($AS182)-INT($E182)),MAX(0,TODAY()-INT($E182))))</f>
        <v/>
      </c>
      <c r="AK169" s="30" t="n"/>
      <c r="AL169" s="30" t="n"/>
      <c r="AM169" s="30" t="n"/>
      <c r="AN169" s="39" t="n"/>
      <c r="AO169" s="30" t="n"/>
      <c r="AP169" s="30" t="n"/>
      <c r="AQ169" s="39" t="n"/>
      <c r="AR169" s="30" t="n"/>
      <c r="AS169" s="39" t="n"/>
      <c r="AT169" s="30">
        <f>IF(OR($AS182="",NOT(ISNUMBER($AS182)),$AH182=""),"",IF(INT($AS182)&lt;=$AH182,"A tiempo","Fuera de término"))</f>
        <v/>
      </c>
      <c r="AU169" s="40" t="n"/>
      <c r="AV169" s="40" t="n"/>
      <c r="AW169" s="40" t="n"/>
      <c r="AX169" s="40" t="n"/>
      <c r="AY169" s="30" t="n"/>
      <c r="AZ169" s="30" t="n"/>
      <c r="BA169" s="30" t="n"/>
    </row>
    <row r="170" ht="15.75" customHeight="1" s="57">
      <c r="A170" s="29" t="n"/>
      <c r="B170" s="30" t="n"/>
      <c r="C170" s="39" t="n"/>
      <c r="D170" s="39" t="n"/>
      <c r="E170" s="39" t="n"/>
      <c r="F170" s="40" t="n"/>
      <c r="G170" s="30" t="n"/>
      <c r="H170" s="30" t="n"/>
      <c r="I170" s="30" t="n"/>
      <c r="J170" s="30" t="n"/>
      <c r="K170" s="30" t="n"/>
      <c r="L170" s="30" t="n"/>
      <c r="M170" s="30" t="n"/>
      <c r="N170" s="30" t="n"/>
      <c r="O170" s="30" t="n"/>
      <c r="P170" s="30" t="n"/>
      <c r="Q170" s="30" t="n"/>
      <c r="R170" s="30" t="n"/>
      <c r="S170" s="30" t="n"/>
      <c r="T170" s="30" t="n"/>
      <c r="U170" s="30" t="n"/>
      <c r="V170" s="30" t="n"/>
      <c r="W170" s="30" t="n"/>
      <c r="X170" s="30" t="n"/>
      <c r="Y170" s="30" t="n"/>
      <c r="Z170" s="30" t="n"/>
      <c r="AA170" s="30" t="n"/>
      <c r="AB170" s="30" t="n"/>
      <c r="AC170" s="30" t="n"/>
      <c r="AD170" s="41" t="n"/>
      <c r="AE170" s="30" t="n"/>
      <c r="AF170" s="42">
        <f>IF($AA183="","",IF(LEFT(UPPER(TRIM($AA183)),8)="FELICITA","N/A",IF($AE183="","",IFERROR(VLOOKUP(UPPER(TRIM($AE183)),Config!$A$6:$D$8,2,FALSE),IFERROR(VLOOKUP(IF(LEFT(UPPER(TRIM($AE183)),5)="SUPER","SUPER SALUD",IF(LEFT(UPPER(TRIM($AE183)),8)="SECRETAR","SECRETARIA DE SALUD",IF(LEFT(UPPER(TRIM($AE183)),4)="SEDE","SEDE",UPPER(TRIM($AE183))))),Config!$A$6:$D$8,2,FALSE),"⚠")))))</f>
        <v/>
      </c>
      <c r="AG170" s="30">
        <f>IF($AA183="","",IF(LEFT(UPPER(TRIM($AA183)),8)="FELICITA","N/A",IF($AE183="","",IFERROR(VLOOKUP(UPPER(TRIM($AE183)),Config!$A$6:$D$8,3,FALSE),IFERROR(VLOOKUP(IF(LEFT(UPPER(TRIM($AE183)),5)="SUPER","SUPER SALUD",IF(LEFT(UPPER(TRIM($AE183)),8)="SECRETAR","SECRETARIA DE SALUD",IF(LEFT(UPPER(TRIM($AE183)),4)="SEDE","SEDE",UPPER(TRIM($AE183))))),Config!$A$6:$D$8,3,FALSE),"")))))</f>
        <v/>
      </c>
      <c r="AH170" s="39">
        <f>IF(OR($E183="",NOT(ISNUMBER($E183)),$AF183="",$AF183="N/A",NOT(ISNUMBER($AF183))),"",IF($AG183="Hábiles",WORKDAY(INT($E183),$AF183,Config!$F$6:$F$39),INT($E183)+$AF183))</f>
        <v/>
      </c>
      <c r="AI170" s="30">
        <f>IF($E183="","",IF(LEFT(UPPER(TRIM($AA183)),8)="FELICITA","⭐ Felicitación",IF(NOT(ISNUMBER($E183)),"⚠ Revisar fecha",IF(UPPER(TRIM($AK183))="RESPONDIDA - CERRADA","✅ Cerrada",IF($AE183="","⚠ Falta entidad",IF($AH183="","⚠ Revisar término",IF(TODAY()&gt;$AH183,"🔴 Vencida",IF($AH183-TODAY()&lt;=Config!$B$12,"🟡 Próxima a vencer","🟢 En término"))))))))</f>
        <v/>
      </c>
      <c r="AJ170" s="42">
        <f>IF(OR($E183="",NOT(ISNUMBER($E183))),"",IF(ISNUMBER($AS183),MAX(0,INT($AS183)-INT($E183)),MAX(0,TODAY()-INT($E183))))</f>
        <v/>
      </c>
      <c r="AK170" s="30" t="n"/>
      <c r="AL170" s="30" t="n"/>
      <c r="AM170" s="30" t="n"/>
      <c r="AN170" s="39" t="n"/>
      <c r="AO170" s="30" t="n"/>
      <c r="AP170" s="30" t="n"/>
      <c r="AQ170" s="39" t="n"/>
      <c r="AR170" s="30" t="n"/>
      <c r="AS170" s="39" t="n"/>
      <c r="AT170" s="30">
        <f>IF(OR($AS183="",NOT(ISNUMBER($AS183)),$AH183=""),"",IF(INT($AS183)&lt;=$AH183,"A tiempo","Fuera de término"))</f>
        <v/>
      </c>
      <c r="AU170" s="40" t="n"/>
      <c r="AV170" s="40" t="n"/>
      <c r="AW170" s="40" t="n"/>
      <c r="AX170" s="40" t="n"/>
      <c r="AY170" s="30" t="n"/>
      <c r="AZ170" s="30" t="n"/>
      <c r="BA170" s="30" t="n"/>
    </row>
    <row r="171" ht="15.75" customHeight="1" s="57">
      <c r="A171" s="29" t="n"/>
      <c r="B171" s="30" t="n"/>
      <c r="C171" s="39" t="n"/>
      <c r="D171" s="39" t="n"/>
      <c r="E171" s="39" t="n"/>
      <c r="F171" s="40" t="n"/>
      <c r="G171" s="30" t="n"/>
      <c r="H171" s="30" t="n"/>
      <c r="I171" s="30" t="n"/>
      <c r="J171" s="30" t="n"/>
      <c r="K171" s="30" t="n"/>
      <c r="L171" s="30" t="n"/>
      <c r="M171" s="30" t="n"/>
      <c r="N171" s="30" t="n"/>
      <c r="O171" s="30" t="n"/>
      <c r="P171" s="30" t="n"/>
      <c r="Q171" s="30" t="n"/>
      <c r="R171" s="30" t="n"/>
      <c r="S171" s="30" t="n"/>
      <c r="T171" s="30" t="n"/>
      <c r="U171" s="30" t="n"/>
      <c r="V171" s="30" t="n"/>
      <c r="W171" s="30" t="n"/>
      <c r="X171" s="30" t="n"/>
      <c r="Y171" s="30" t="n"/>
      <c r="Z171" s="30" t="n"/>
      <c r="AA171" s="30" t="n"/>
      <c r="AB171" s="30" t="n"/>
      <c r="AC171" s="30" t="n"/>
      <c r="AD171" s="41" t="n"/>
      <c r="AE171" s="30" t="n"/>
      <c r="AF171" s="42">
        <f>IF($AA184="","",IF(LEFT(UPPER(TRIM($AA184)),8)="FELICITA","N/A",IF($AE184="","",IFERROR(VLOOKUP(UPPER(TRIM($AE184)),Config!$A$6:$D$8,2,FALSE),IFERROR(VLOOKUP(IF(LEFT(UPPER(TRIM($AE184)),5)="SUPER","SUPER SALUD",IF(LEFT(UPPER(TRIM($AE184)),8)="SECRETAR","SECRETARIA DE SALUD",IF(LEFT(UPPER(TRIM($AE184)),4)="SEDE","SEDE",UPPER(TRIM($AE184))))),Config!$A$6:$D$8,2,FALSE),"⚠")))))</f>
        <v/>
      </c>
      <c r="AG171" s="30">
        <f>IF($AA184="","",IF(LEFT(UPPER(TRIM($AA184)),8)="FELICITA","N/A",IF($AE184="","",IFERROR(VLOOKUP(UPPER(TRIM($AE184)),Config!$A$6:$D$8,3,FALSE),IFERROR(VLOOKUP(IF(LEFT(UPPER(TRIM($AE184)),5)="SUPER","SUPER SALUD",IF(LEFT(UPPER(TRIM($AE184)),8)="SECRETAR","SECRETARIA DE SALUD",IF(LEFT(UPPER(TRIM($AE184)),4)="SEDE","SEDE",UPPER(TRIM($AE184))))),Config!$A$6:$D$8,3,FALSE),"")))))</f>
        <v/>
      </c>
      <c r="AH171" s="39">
        <f>IF(OR($E184="",NOT(ISNUMBER($E184)),$AF184="",$AF184="N/A",NOT(ISNUMBER($AF184))),"",IF($AG184="Hábiles",WORKDAY(INT($E184),$AF184,Config!$F$6:$F$39),INT($E184)+$AF184))</f>
        <v/>
      </c>
      <c r="AI171" s="30">
        <f>IF($E184="","",IF(LEFT(UPPER(TRIM($AA184)),8)="FELICITA","⭐ Felicitación",IF(NOT(ISNUMBER($E184)),"⚠ Revisar fecha",IF(UPPER(TRIM($AK184))="RESPONDIDA - CERRADA","✅ Cerrada",IF($AE184="","⚠ Falta entidad",IF($AH184="","⚠ Revisar término",IF(TODAY()&gt;$AH184,"🔴 Vencida",IF($AH184-TODAY()&lt;=Config!$B$12,"🟡 Próxima a vencer","🟢 En término"))))))))</f>
        <v/>
      </c>
      <c r="AJ171" s="42">
        <f>IF(OR($E184="",NOT(ISNUMBER($E184))),"",IF(ISNUMBER($AS184),MAX(0,INT($AS184)-INT($E184)),MAX(0,TODAY()-INT($E184))))</f>
        <v/>
      </c>
      <c r="AK171" s="30" t="n"/>
      <c r="AL171" s="30" t="n"/>
      <c r="AM171" s="30" t="n"/>
      <c r="AN171" s="39" t="n"/>
      <c r="AO171" s="30" t="n"/>
      <c r="AP171" s="30" t="n"/>
      <c r="AQ171" s="39" t="n"/>
      <c r="AR171" s="30" t="n"/>
      <c r="AS171" s="39" t="n"/>
      <c r="AT171" s="30">
        <f>IF(OR($AS184="",NOT(ISNUMBER($AS184)),$AH184=""),"",IF(INT($AS184)&lt;=$AH184,"A tiempo","Fuera de término"))</f>
        <v/>
      </c>
      <c r="AU171" s="40" t="n"/>
      <c r="AV171" s="40" t="n"/>
      <c r="AW171" s="40" t="n"/>
      <c r="AX171" s="40" t="n"/>
      <c r="AY171" s="30" t="n"/>
      <c r="AZ171" s="30" t="n"/>
      <c r="BA171" s="30" t="n"/>
    </row>
    <row r="172" ht="15.75" customHeight="1" s="57">
      <c r="A172" s="29" t="n"/>
      <c r="B172" s="30" t="n"/>
      <c r="C172" s="39" t="n"/>
      <c r="D172" s="39" t="n"/>
      <c r="E172" s="39" t="n"/>
      <c r="F172" s="40" t="n"/>
      <c r="G172" s="30" t="n"/>
      <c r="H172" s="30" t="n"/>
      <c r="I172" s="30" t="n"/>
      <c r="J172" s="30" t="n"/>
      <c r="K172" s="30" t="n"/>
      <c r="L172" s="30" t="n"/>
      <c r="M172" s="30" t="n"/>
      <c r="N172" s="30" t="n"/>
      <c r="O172" s="30" t="n"/>
      <c r="P172" s="30" t="n"/>
      <c r="Q172" s="30" t="n"/>
      <c r="R172" s="30" t="n"/>
      <c r="S172" s="30" t="n"/>
      <c r="T172" s="30" t="n"/>
      <c r="U172" s="30" t="n"/>
      <c r="V172" s="30" t="n"/>
      <c r="W172" s="30" t="n"/>
      <c r="X172" s="30" t="n"/>
      <c r="Y172" s="30" t="n"/>
      <c r="Z172" s="30" t="n"/>
      <c r="AA172" s="30" t="n"/>
      <c r="AB172" s="30" t="n"/>
      <c r="AC172" s="30" t="n"/>
      <c r="AD172" s="41" t="n"/>
      <c r="AE172" s="30" t="n"/>
      <c r="AF172" s="42">
        <f>IF($AA185="","",IF(LEFT(UPPER(TRIM($AA185)),8)="FELICITA","N/A",IF($AE185="","",IFERROR(VLOOKUP(UPPER(TRIM($AE185)),Config!$A$6:$D$8,2,FALSE),IFERROR(VLOOKUP(IF(LEFT(UPPER(TRIM($AE185)),5)="SUPER","SUPER SALUD",IF(LEFT(UPPER(TRIM($AE185)),8)="SECRETAR","SECRETARIA DE SALUD",IF(LEFT(UPPER(TRIM($AE185)),4)="SEDE","SEDE",UPPER(TRIM($AE185))))),Config!$A$6:$D$8,2,FALSE),"⚠")))))</f>
        <v/>
      </c>
      <c r="AG172" s="30">
        <f>IF($AA185="","",IF(LEFT(UPPER(TRIM($AA185)),8)="FELICITA","N/A",IF($AE185="","",IFERROR(VLOOKUP(UPPER(TRIM($AE185)),Config!$A$6:$D$8,3,FALSE),IFERROR(VLOOKUP(IF(LEFT(UPPER(TRIM($AE185)),5)="SUPER","SUPER SALUD",IF(LEFT(UPPER(TRIM($AE185)),8)="SECRETAR","SECRETARIA DE SALUD",IF(LEFT(UPPER(TRIM($AE185)),4)="SEDE","SEDE",UPPER(TRIM($AE185))))),Config!$A$6:$D$8,3,FALSE),"")))))</f>
        <v/>
      </c>
      <c r="AH172" s="39">
        <f>IF(OR($E185="",NOT(ISNUMBER($E185)),$AF185="",$AF185="N/A",NOT(ISNUMBER($AF185))),"",IF($AG185="Hábiles",WORKDAY(INT($E185),$AF185,Config!$F$6:$F$39),INT($E185)+$AF185))</f>
        <v/>
      </c>
      <c r="AI172" s="30">
        <f>IF($E185="","",IF(LEFT(UPPER(TRIM($AA185)),8)="FELICITA","⭐ Felicitación",IF(NOT(ISNUMBER($E185)),"⚠ Revisar fecha",IF(UPPER(TRIM($AK185))="RESPONDIDA - CERRADA","✅ Cerrada",IF($AE185="","⚠ Falta entidad",IF($AH185="","⚠ Revisar término",IF(TODAY()&gt;$AH185,"🔴 Vencida",IF($AH185-TODAY()&lt;=Config!$B$12,"🟡 Próxima a vencer","🟢 En término"))))))))</f>
        <v/>
      </c>
      <c r="AJ172" s="42">
        <f>IF(OR($E185="",NOT(ISNUMBER($E185))),"",IF(ISNUMBER($AS185),MAX(0,INT($AS185)-INT($E185)),MAX(0,TODAY()-INT($E185))))</f>
        <v/>
      </c>
      <c r="AK172" s="30" t="n"/>
      <c r="AL172" s="30" t="n"/>
      <c r="AM172" s="30" t="n"/>
      <c r="AN172" s="39" t="n"/>
      <c r="AO172" s="30" t="n"/>
      <c r="AP172" s="30" t="n"/>
      <c r="AQ172" s="39" t="n"/>
      <c r="AR172" s="30" t="n"/>
      <c r="AS172" s="39" t="n"/>
      <c r="AT172" s="30">
        <f>IF(OR($AS185="",NOT(ISNUMBER($AS185)),$AH185=""),"",IF(INT($AS185)&lt;=$AH185,"A tiempo","Fuera de término"))</f>
        <v/>
      </c>
      <c r="AU172" s="40" t="n"/>
      <c r="AV172" s="40" t="n"/>
      <c r="AW172" s="40" t="n"/>
      <c r="AX172" s="40" t="n"/>
      <c r="AY172" s="30" t="n"/>
      <c r="AZ172" s="30" t="n"/>
      <c r="BA172" s="30" t="n"/>
    </row>
    <row r="173" ht="15.75" customHeight="1" s="57">
      <c r="A173" s="29" t="n"/>
      <c r="B173" s="30" t="n"/>
      <c r="C173" s="39" t="n"/>
      <c r="D173" s="39" t="n"/>
      <c r="E173" s="39" t="n"/>
      <c r="F173" s="40" t="n"/>
      <c r="G173" s="30" t="n"/>
      <c r="H173" s="30" t="n"/>
      <c r="I173" s="30" t="n"/>
      <c r="J173" s="30" t="n"/>
      <c r="K173" s="30" t="n"/>
      <c r="L173" s="30" t="n"/>
      <c r="M173" s="30" t="n"/>
      <c r="N173" s="30" t="n"/>
      <c r="O173" s="30" t="n"/>
      <c r="P173" s="30" t="n"/>
      <c r="Q173" s="30" t="n"/>
      <c r="R173" s="30" t="n"/>
      <c r="S173" s="30" t="n"/>
      <c r="T173" s="30" t="n"/>
      <c r="U173" s="30" t="n"/>
      <c r="V173" s="30" t="n"/>
      <c r="W173" s="30" t="n"/>
      <c r="X173" s="30" t="n"/>
      <c r="Y173" s="30" t="n"/>
      <c r="Z173" s="30" t="n"/>
      <c r="AA173" s="30" t="n"/>
      <c r="AB173" s="30" t="n"/>
      <c r="AC173" s="30" t="n"/>
      <c r="AD173" s="41" t="n"/>
      <c r="AE173" s="30" t="n"/>
      <c r="AF173" s="42">
        <f>IF($AA186="","",IF(LEFT(UPPER(TRIM($AA186)),8)="FELICITA","N/A",IF($AE186="","",IFERROR(VLOOKUP(UPPER(TRIM($AE186)),Config!$A$6:$D$8,2,FALSE),IFERROR(VLOOKUP(IF(LEFT(UPPER(TRIM($AE186)),5)="SUPER","SUPER SALUD",IF(LEFT(UPPER(TRIM($AE186)),8)="SECRETAR","SECRETARIA DE SALUD",IF(LEFT(UPPER(TRIM($AE186)),4)="SEDE","SEDE",UPPER(TRIM($AE186))))),Config!$A$6:$D$8,2,FALSE),"⚠")))))</f>
        <v/>
      </c>
      <c r="AG173" s="30">
        <f>IF($AA186="","",IF(LEFT(UPPER(TRIM($AA186)),8)="FELICITA","N/A",IF($AE186="","",IFERROR(VLOOKUP(UPPER(TRIM($AE186)),Config!$A$6:$D$8,3,FALSE),IFERROR(VLOOKUP(IF(LEFT(UPPER(TRIM($AE186)),5)="SUPER","SUPER SALUD",IF(LEFT(UPPER(TRIM($AE186)),8)="SECRETAR","SECRETARIA DE SALUD",IF(LEFT(UPPER(TRIM($AE186)),4)="SEDE","SEDE",UPPER(TRIM($AE186))))),Config!$A$6:$D$8,3,FALSE),"")))))</f>
        <v/>
      </c>
      <c r="AH173" s="39">
        <f>IF(OR($E186="",NOT(ISNUMBER($E186)),$AF186="",$AF186="N/A",NOT(ISNUMBER($AF186))),"",IF($AG186="Hábiles",WORKDAY(INT($E186),$AF186,Config!$F$6:$F$39),INT($E186)+$AF186))</f>
        <v/>
      </c>
      <c r="AI173" s="30">
        <f>IF($E186="","",IF(LEFT(UPPER(TRIM($AA186)),8)="FELICITA","⭐ Felicitación",IF(NOT(ISNUMBER($E186)),"⚠ Revisar fecha",IF(UPPER(TRIM($AK186))="RESPONDIDA - CERRADA","✅ Cerrada",IF($AE186="","⚠ Falta entidad",IF($AH186="","⚠ Revisar término",IF(TODAY()&gt;$AH186,"🔴 Vencida",IF($AH186-TODAY()&lt;=Config!$B$12,"🟡 Próxima a vencer","🟢 En término"))))))))</f>
        <v/>
      </c>
      <c r="AJ173" s="42">
        <f>IF(OR($E186="",NOT(ISNUMBER($E186))),"",IF(ISNUMBER($AS186),MAX(0,INT($AS186)-INT($E186)),MAX(0,TODAY()-INT($E186))))</f>
        <v/>
      </c>
      <c r="AK173" s="30" t="n"/>
      <c r="AL173" s="30" t="n"/>
      <c r="AM173" s="30" t="n"/>
      <c r="AN173" s="39" t="n"/>
      <c r="AO173" s="30" t="n"/>
      <c r="AP173" s="30" t="n"/>
      <c r="AQ173" s="39" t="n"/>
      <c r="AR173" s="30" t="n"/>
      <c r="AS173" s="39" t="n"/>
      <c r="AT173" s="30">
        <f>IF(OR($AS186="",NOT(ISNUMBER($AS186)),$AH186=""),"",IF(INT($AS186)&lt;=$AH186,"A tiempo","Fuera de término"))</f>
        <v/>
      </c>
      <c r="AU173" s="40" t="n"/>
      <c r="AV173" s="40" t="n"/>
      <c r="AW173" s="40" t="n"/>
      <c r="AX173" s="40" t="n"/>
      <c r="AY173" s="30" t="n"/>
      <c r="AZ173" s="30" t="n"/>
      <c r="BA173" s="30" t="n"/>
    </row>
    <row r="174" ht="15.75" customHeight="1" s="57">
      <c r="A174" s="29" t="n"/>
      <c r="B174" s="30" t="n"/>
      <c r="C174" s="39" t="n"/>
      <c r="D174" s="39" t="n"/>
      <c r="E174" s="39" t="n"/>
      <c r="F174" s="40" t="n"/>
      <c r="G174" s="30" t="n"/>
      <c r="H174" s="30" t="n"/>
      <c r="I174" s="30" t="n"/>
      <c r="J174" s="30" t="n"/>
      <c r="K174" s="30" t="n"/>
      <c r="L174" s="30" t="n"/>
      <c r="M174" s="30" t="n"/>
      <c r="N174" s="30" t="n"/>
      <c r="O174" s="30" t="n"/>
      <c r="P174" s="30" t="n"/>
      <c r="Q174" s="30" t="n"/>
      <c r="R174" s="30" t="n"/>
      <c r="S174" s="30" t="n"/>
      <c r="T174" s="30" t="n"/>
      <c r="U174" s="30" t="n"/>
      <c r="V174" s="30" t="n"/>
      <c r="W174" s="30" t="n"/>
      <c r="X174" s="30" t="n"/>
      <c r="Y174" s="30" t="n"/>
      <c r="Z174" s="30" t="n"/>
      <c r="AA174" s="30" t="n"/>
      <c r="AB174" s="30" t="n"/>
      <c r="AC174" s="30" t="n"/>
      <c r="AD174" s="41" t="n"/>
      <c r="AE174" s="30" t="n"/>
      <c r="AF174" s="42">
        <f>IF($AA187="","",IF(LEFT(UPPER(TRIM($AA187)),8)="FELICITA","N/A",IF($AE187="","",IFERROR(VLOOKUP(UPPER(TRIM($AE187)),Config!$A$6:$D$8,2,FALSE),IFERROR(VLOOKUP(IF(LEFT(UPPER(TRIM($AE187)),5)="SUPER","SUPER SALUD",IF(LEFT(UPPER(TRIM($AE187)),8)="SECRETAR","SECRETARIA DE SALUD",IF(LEFT(UPPER(TRIM($AE187)),4)="SEDE","SEDE",UPPER(TRIM($AE187))))),Config!$A$6:$D$8,2,FALSE),"⚠")))))</f>
        <v/>
      </c>
      <c r="AG174" s="30">
        <f>IF($AA187="","",IF(LEFT(UPPER(TRIM($AA187)),8)="FELICITA","N/A",IF($AE187="","",IFERROR(VLOOKUP(UPPER(TRIM($AE187)),Config!$A$6:$D$8,3,FALSE),IFERROR(VLOOKUP(IF(LEFT(UPPER(TRIM($AE187)),5)="SUPER","SUPER SALUD",IF(LEFT(UPPER(TRIM($AE187)),8)="SECRETAR","SECRETARIA DE SALUD",IF(LEFT(UPPER(TRIM($AE187)),4)="SEDE","SEDE",UPPER(TRIM($AE187))))),Config!$A$6:$D$8,3,FALSE),"")))))</f>
        <v/>
      </c>
      <c r="AH174" s="39">
        <f>IF(OR($E187="",NOT(ISNUMBER($E187)),$AF187="",$AF187="N/A",NOT(ISNUMBER($AF187))),"",IF($AG187="Hábiles",WORKDAY(INT($E187),$AF187,Config!$F$6:$F$39),INT($E187)+$AF187))</f>
        <v/>
      </c>
      <c r="AI174" s="30">
        <f>IF($E187="","",IF(LEFT(UPPER(TRIM($AA187)),8)="FELICITA","⭐ Felicitación",IF(NOT(ISNUMBER($E187)),"⚠ Revisar fecha",IF(UPPER(TRIM($AK187))="RESPONDIDA - CERRADA","✅ Cerrada",IF($AE187="","⚠ Falta entidad",IF($AH187="","⚠ Revisar término",IF(TODAY()&gt;$AH187,"🔴 Vencida",IF($AH187-TODAY()&lt;=Config!$B$12,"🟡 Próxima a vencer","🟢 En término"))))))))</f>
        <v/>
      </c>
      <c r="AJ174" s="42">
        <f>IF(OR($E187="",NOT(ISNUMBER($E187))),"",IF(ISNUMBER($AS187),MAX(0,INT($AS187)-INT($E187)),MAX(0,TODAY()-INT($E187))))</f>
        <v/>
      </c>
      <c r="AK174" s="30" t="n"/>
      <c r="AL174" s="30" t="n"/>
      <c r="AM174" s="30" t="n"/>
      <c r="AN174" s="39" t="n"/>
      <c r="AO174" s="30" t="n"/>
      <c r="AP174" s="30" t="n"/>
      <c r="AQ174" s="39" t="n"/>
      <c r="AR174" s="30" t="n"/>
      <c r="AS174" s="39" t="n"/>
      <c r="AT174" s="30">
        <f>IF(OR($AS187="",NOT(ISNUMBER($AS187)),$AH187=""),"",IF(INT($AS187)&lt;=$AH187,"A tiempo","Fuera de término"))</f>
        <v/>
      </c>
      <c r="AU174" s="40" t="n"/>
      <c r="AV174" s="40" t="n"/>
      <c r="AW174" s="40" t="n"/>
      <c r="AX174" s="40" t="n"/>
      <c r="AY174" s="30" t="n"/>
      <c r="AZ174" s="30" t="n"/>
      <c r="BA174" s="30" t="n"/>
    </row>
    <row r="175" ht="15.75" customHeight="1" s="57">
      <c r="A175" s="29" t="n"/>
      <c r="B175" s="30" t="n"/>
      <c r="C175" s="39" t="n"/>
      <c r="D175" s="39" t="n"/>
      <c r="E175" s="39" t="n"/>
      <c r="F175" s="40" t="n"/>
      <c r="G175" s="30" t="n"/>
      <c r="H175" s="30" t="n"/>
      <c r="I175" s="30" t="n"/>
      <c r="J175" s="30" t="n"/>
      <c r="K175" s="30" t="n"/>
      <c r="L175" s="30" t="n"/>
      <c r="M175" s="30" t="n"/>
      <c r="N175" s="30" t="n"/>
      <c r="O175" s="30" t="n"/>
      <c r="P175" s="30" t="n"/>
      <c r="Q175" s="30" t="n"/>
      <c r="R175" s="30" t="n"/>
      <c r="S175" s="30" t="n"/>
      <c r="T175" s="30" t="n"/>
      <c r="U175" s="30" t="n"/>
      <c r="V175" s="30" t="n"/>
      <c r="W175" s="30" t="n"/>
      <c r="X175" s="30" t="n"/>
      <c r="Y175" s="30" t="n"/>
      <c r="Z175" s="30" t="n"/>
      <c r="AA175" s="30" t="n"/>
      <c r="AB175" s="30" t="n"/>
      <c r="AC175" s="30" t="n"/>
      <c r="AD175" s="41" t="n"/>
      <c r="AE175" s="30" t="n"/>
      <c r="AF175" s="42">
        <f>IF($AA188="","",IF(LEFT(UPPER(TRIM($AA188)),8)="FELICITA","N/A",IF($AE188="","",IFERROR(VLOOKUP(UPPER(TRIM($AE188)),Config!$A$6:$D$8,2,FALSE),IFERROR(VLOOKUP(IF(LEFT(UPPER(TRIM($AE188)),5)="SUPER","SUPER SALUD",IF(LEFT(UPPER(TRIM($AE188)),8)="SECRETAR","SECRETARIA DE SALUD",IF(LEFT(UPPER(TRIM($AE188)),4)="SEDE","SEDE",UPPER(TRIM($AE188))))),Config!$A$6:$D$8,2,FALSE),"⚠")))))</f>
        <v/>
      </c>
      <c r="AG175" s="30">
        <f>IF($AA188="","",IF(LEFT(UPPER(TRIM($AA188)),8)="FELICITA","N/A",IF($AE188="","",IFERROR(VLOOKUP(UPPER(TRIM($AE188)),Config!$A$6:$D$8,3,FALSE),IFERROR(VLOOKUP(IF(LEFT(UPPER(TRIM($AE188)),5)="SUPER","SUPER SALUD",IF(LEFT(UPPER(TRIM($AE188)),8)="SECRETAR","SECRETARIA DE SALUD",IF(LEFT(UPPER(TRIM($AE188)),4)="SEDE","SEDE",UPPER(TRIM($AE188))))),Config!$A$6:$D$8,3,FALSE),"")))))</f>
        <v/>
      </c>
      <c r="AH175" s="39">
        <f>IF(OR($E188="",NOT(ISNUMBER($E188)),$AF188="",$AF188="N/A",NOT(ISNUMBER($AF188))),"",IF($AG188="Hábiles",WORKDAY(INT($E188),$AF188,Config!$F$6:$F$39),INT($E188)+$AF188))</f>
        <v/>
      </c>
      <c r="AI175" s="30">
        <f>IF($E188="","",IF(LEFT(UPPER(TRIM($AA188)),8)="FELICITA","⭐ Felicitación",IF(NOT(ISNUMBER($E188)),"⚠ Revisar fecha",IF(UPPER(TRIM($AK188))="RESPONDIDA - CERRADA","✅ Cerrada",IF($AE188="","⚠ Falta entidad",IF($AH188="","⚠ Revisar término",IF(TODAY()&gt;$AH188,"🔴 Vencida",IF($AH188-TODAY()&lt;=Config!$B$12,"🟡 Próxima a vencer","🟢 En término"))))))))</f>
        <v/>
      </c>
      <c r="AJ175" s="42">
        <f>IF(OR($E188="",NOT(ISNUMBER($E188))),"",IF(ISNUMBER($AS188),MAX(0,INT($AS188)-INT($E188)),MAX(0,TODAY()-INT($E188))))</f>
        <v/>
      </c>
      <c r="AK175" s="30" t="n"/>
      <c r="AL175" s="30" t="n"/>
      <c r="AM175" s="30" t="n"/>
      <c r="AN175" s="39" t="n"/>
      <c r="AO175" s="30" t="n"/>
      <c r="AP175" s="30" t="n"/>
      <c r="AQ175" s="39" t="n"/>
      <c r="AR175" s="30" t="n"/>
      <c r="AS175" s="39" t="n"/>
      <c r="AT175" s="30">
        <f>IF(OR($AS188="",NOT(ISNUMBER($AS188)),$AH188=""),"",IF(INT($AS188)&lt;=$AH188,"A tiempo","Fuera de término"))</f>
        <v/>
      </c>
      <c r="AU175" s="40" t="n"/>
      <c r="AV175" s="40" t="n"/>
      <c r="AW175" s="40" t="n"/>
      <c r="AX175" s="40" t="n"/>
      <c r="AY175" s="30" t="n"/>
      <c r="AZ175" s="30" t="n"/>
      <c r="BA175" s="30" t="n"/>
    </row>
    <row r="176" ht="15.75" customHeight="1" s="57">
      <c r="A176" s="29" t="n"/>
      <c r="B176" s="30" t="n"/>
      <c r="C176" s="39" t="n"/>
      <c r="D176" s="39" t="n"/>
      <c r="E176" s="39" t="n"/>
      <c r="F176" s="40" t="n"/>
      <c r="G176" s="30" t="n"/>
      <c r="H176" s="30" t="n"/>
      <c r="I176" s="30" t="n"/>
      <c r="J176" s="30" t="n"/>
      <c r="K176" s="30" t="n"/>
      <c r="L176" s="30" t="n"/>
      <c r="M176" s="30" t="n"/>
      <c r="N176" s="30" t="n"/>
      <c r="O176" s="30" t="n"/>
      <c r="P176" s="30" t="n"/>
      <c r="Q176" s="30" t="n"/>
      <c r="R176" s="30" t="n"/>
      <c r="S176" s="30" t="n"/>
      <c r="T176" s="30" t="n"/>
      <c r="U176" s="30" t="n"/>
      <c r="V176" s="30" t="n"/>
      <c r="W176" s="30" t="n"/>
      <c r="X176" s="30" t="n"/>
      <c r="Y176" s="30" t="n"/>
      <c r="Z176" s="30" t="n"/>
      <c r="AA176" s="30" t="n"/>
      <c r="AB176" s="30" t="n"/>
      <c r="AC176" s="30" t="n"/>
      <c r="AD176" s="41" t="n"/>
      <c r="AE176" s="30" t="n"/>
      <c r="AF176" s="42">
        <f>IF($AA189="","",IF(LEFT(UPPER(TRIM($AA189)),8)="FELICITA","N/A",IF($AE189="","",IFERROR(VLOOKUP(UPPER(TRIM($AE189)),Config!$A$6:$D$8,2,FALSE),IFERROR(VLOOKUP(IF(LEFT(UPPER(TRIM($AE189)),5)="SUPER","SUPER SALUD",IF(LEFT(UPPER(TRIM($AE189)),8)="SECRETAR","SECRETARIA DE SALUD",IF(LEFT(UPPER(TRIM($AE189)),4)="SEDE","SEDE",UPPER(TRIM($AE189))))),Config!$A$6:$D$8,2,FALSE),"⚠")))))</f>
        <v/>
      </c>
      <c r="AG176" s="30">
        <f>IF($AA189="","",IF(LEFT(UPPER(TRIM($AA189)),8)="FELICITA","N/A",IF($AE189="","",IFERROR(VLOOKUP(UPPER(TRIM($AE189)),Config!$A$6:$D$8,3,FALSE),IFERROR(VLOOKUP(IF(LEFT(UPPER(TRIM($AE189)),5)="SUPER","SUPER SALUD",IF(LEFT(UPPER(TRIM($AE189)),8)="SECRETAR","SECRETARIA DE SALUD",IF(LEFT(UPPER(TRIM($AE189)),4)="SEDE","SEDE",UPPER(TRIM($AE189))))),Config!$A$6:$D$8,3,FALSE),"")))))</f>
        <v/>
      </c>
      <c r="AH176" s="39">
        <f>IF(OR($E189="",NOT(ISNUMBER($E189)),$AF189="",$AF189="N/A",NOT(ISNUMBER($AF189))),"",IF($AG189="Hábiles",WORKDAY(INT($E189),$AF189,Config!$F$6:$F$39),INT($E189)+$AF189))</f>
        <v/>
      </c>
      <c r="AI176" s="30">
        <f>IF($E189="","",IF(LEFT(UPPER(TRIM($AA189)),8)="FELICITA","⭐ Felicitación",IF(NOT(ISNUMBER($E189)),"⚠ Revisar fecha",IF(UPPER(TRIM($AK189))="RESPONDIDA - CERRADA","✅ Cerrada",IF($AE189="","⚠ Falta entidad",IF($AH189="","⚠ Revisar término",IF(TODAY()&gt;$AH189,"🔴 Vencida",IF($AH189-TODAY()&lt;=Config!$B$12,"🟡 Próxima a vencer","🟢 En término"))))))))</f>
        <v/>
      </c>
      <c r="AJ176" s="42">
        <f>IF(OR($E189="",NOT(ISNUMBER($E189))),"",IF(ISNUMBER($AS189),MAX(0,INT($AS189)-INT($E189)),MAX(0,TODAY()-INT($E189))))</f>
        <v/>
      </c>
      <c r="AK176" s="30" t="n"/>
      <c r="AL176" s="30" t="n"/>
      <c r="AM176" s="30" t="n"/>
      <c r="AN176" s="39" t="n"/>
      <c r="AO176" s="30" t="n"/>
      <c r="AP176" s="30" t="n"/>
      <c r="AQ176" s="39" t="n"/>
      <c r="AR176" s="30" t="n"/>
      <c r="AS176" s="39" t="n"/>
      <c r="AT176" s="30">
        <f>IF(OR($AS189="",NOT(ISNUMBER($AS189)),$AH189=""),"",IF(INT($AS189)&lt;=$AH189,"A tiempo","Fuera de término"))</f>
        <v/>
      </c>
      <c r="AU176" s="40" t="n"/>
      <c r="AV176" s="40" t="n"/>
      <c r="AW176" s="40" t="n"/>
      <c r="AX176" s="40" t="n"/>
      <c r="AY176" s="30" t="n"/>
      <c r="AZ176" s="30" t="n"/>
      <c r="BA176" s="30" t="n"/>
    </row>
    <row r="177" ht="15.75" customHeight="1" s="57">
      <c r="A177" s="29" t="n"/>
      <c r="B177" s="30" t="n"/>
      <c r="C177" s="39" t="n"/>
      <c r="D177" s="39" t="n"/>
      <c r="E177" s="39" t="n"/>
      <c r="F177" s="40" t="n"/>
      <c r="G177" s="30" t="n"/>
      <c r="H177" s="30" t="n"/>
      <c r="I177" s="30" t="n"/>
      <c r="J177" s="30" t="n"/>
      <c r="K177" s="30" t="n"/>
      <c r="L177" s="30" t="n"/>
      <c r="M177" s="30" t="n"/>
      <c r="N177" s="30" t="n"/>
      <c r="O177" s="30" t="n"/>
      <c r="P177" s="30" t="n"/>
      <c r="Q177" s="30" t="n"/>
      <c r="R177" s="30" t="n"/>
      <c r="S177" s="30" t="n"/>
      <c r="T177" s="30" t="n"/>
      <c r="U177" s="30" t="n"/>
      <c r="V177" s="30" t="n"/>
      <c r="W177" s="30" t="n"/>
      <c r="X177" s="30" t="n"/>
      <c r="Y177" s="30" t="n"/>
      <c r="Z177" s="30" t="n"/>
      <c r="AA177" s="30" t="n"/>
      <c r="AB177" s="30" t="n"/>
      <c r="AC177" s="30" t="n"/>
      <c r="AD177" s="41" t="n"/>
      <c r="AE177" s="30" t="n"/>
      <c r="AF177" s="42">
        <f>IF($AA190="","",IF(LEFT(UPPER(TRIM($AA190)),8)="FELICITA","N/A",IF($AE190="","",IFERROR(VLOOKUP(UPPER(TRIM($AE190)),Config!$A$6:$D$8,2,FALSE),IFERROR(VLOOKUP(IF(LEFT(UPPER(TRIM($AE190)),5)="SUPER","SUPER SALUD",IF(LEFT(UPPER(TRIM($AE190)),8)="SECRETAR","SECRETARIA DE SALUD",IF(LEFT(UPPER(TRIM($AE190)),4)="SEDE","SEDE",UPPER(TRIM($AE190))))),Config!$A$6:$D$8,2,FALSE),"⚠")))))</f>
        <v/>
      </c>
      <c r="AG177" s="30">
        <f>IF($AA190="","",IF(LEFT(UPPER(TRIM($AA190)),8)="FELICITA","N/A",IF($AE190="","",IFERROR(VLOOKUP(UPPER(TRIM($AE190)),Config!$A$6:$D$8,3,FALSE),IFERROR(VLOOKUP(IF(LEFT(UPPER(TRIM($AE190)),5)="SUPER","SUPER SALUD",IF(LEFT(UPPER(TRIM($AE190)),8)="SECRETAR","SECRETARIA DE SALUD",IF(LEFT(UPPER(TRIM($AE190)),4)="SEDE","SEDE",UPPER(TRIM($AE190))))),Config!$A$6:$D$8,3,FALSE),"")))))</f>
        <v/>
      </c>
      <c r="AH177" s="39">
        <f>IF(OR($E190="",NOT(ISNUMBER($E190)),$AF190="",$AF190="N/A",NOT(ISNUMBER($AF190))),"",IF($AG190="Hábiles",WORKDAY(INT($E190),$AF190,Config!$F$6:$F$39),INT($E190)+$AF190))</f>
        <v/>
      </c>
      <c r="AI177" s="30">
        <f>IF($E190="","",IF(LEFT(UPPER(TRIM($AA190)),8)="FELICITA","⭐ Felicitación",IF(NOT(ISNUMBER($E190)),"⚠ Revisar fecha",IF(UPPER(TRIM($AK190))="RESPONDIDA - CERRADA","✅ Cerrada",IF($AE190="","⚠ Falta entidad",IF($AH190="","⚠ Revisar término",IF(TODAY()&gt;$AH190,"🔴 Vencida",IF($AH190-TODAY()&lt;=Config!$B$12,"🟡 Próxima a vencer","🟢 En término"))))))))</f>
        <v/>
      </c>
      <c r="AJ177" s="42">
        <f>IF(OR($E190="",NOT(ISNUMBER($E190))),"",IF(ISNUMBER($AS190),MAX(0,INT($AS190)-INT($E190)),MAX(0,TODAY()-INT($E190))))</f>
        <v/>
      </c>
      <c r="AK177" s="30" t="n"/>
      <c r="AL177" s="30" t="n"/>
      <c r="AM177" s="30" t="n"/>
      <c r="AN177" s="39" t="n"/>
      <c r="AO177" s="30" t="n"/>
      <c r="AP177" s="30" t="n"/>
      <c r="AQ177" s="39" t="n"/>
      <c r="AR177" s="30" t="n"/>
      <c r="AS177" s="39" t="n"/>
      <c r="AT177" s="30">
        <f>IF(OR($AS190="",NOT(ISNUMBER($AS190)),$AH190=""),"",IF(INT($AS190)&lt;=$AH190,"A tiempo","Fuera de término"))</f>
        <v/>
      </c>
      <c r="AU177" s="40" t="n"/>
      <c r="AV177" s="40" t="n"/>
      <c r="AW177" s="40" t="n"/>
      <c r="AX177" s="40" t="n"/>
      <c r="AY177" s="30" t="n"/>
      <c r="AZ177" s="30" t="n"/>
      <c r="BA177" s="30" t="n"/>
    </row>
    <row r="178" ht="15.75" customHeight="1" s="57">
      <c r="A178" s="29" t="n"/>
      <c r="B178" s="30" t="n"/>
      <c r="C178" s="39" t="n"/>
      <c r="D178" s="39" t="n"/>
      <c r="E178" s="39" t="n"/>
      <c r="F178" s="40" t="n"/>
      <c r="G178" s="30" t="n"/>
      <c r="H178" s="30" t="n"/>
      <c r="I178" s="30" t="n"/>
      <c r="J178" s="30" t="n"/>
      <c r="K178" s="30" t="n"/>
      <c r="L178" s="30" t="n"/>
      <c r="M178" s="30" t="n"/>
      <c r="N178" s="30" t="n"/>
      <c r="O178" s="30" t="n"/>
      <c r="P178" s="30" t="n"/>
      <c r="Q178" s="30" t="n"/>
      <c r="R178" s="30" t="n"/>
      <c r="S178" s="30" t="n"/>
      <c r="T178" s="30" t="n"/>
      <c r="U178" s="30" t="n"/>
      <c r="V178" s="30" t="n"/>
      <c r="W178" s="30" t="n"/>
      <c r="X178" s="30" t="n"/>
      <c r="Y178" s="30" t="n"/>
      <c r="Z178" s="30" t="n"/>
      <c r="AA178" s="30" t="n"/>
      <c r="AB178" s="30" t="n"/>
      <c r="AC178" s="30" t="n"/>
      <c r="AD178" s="41" t="n"/>
      <c r="AE178" s="30" t="n"/>
      <c r="AF178" s="42">
        <f>IF($AA191="","",IF(LEFT(UPPER(TRIM($AA191)),8)="FELICITA","N/A",IF($AE191="","",IFERROR(VLOOKUP(UPPER(TRIM($AE191)),Config!$A$6:$D$8,2,FALSE),IFERROR(VLOOKUP(IF(LEFT(UPPER(TRIM($AE191)),5)="SUPER","SUPER SALUD",IF(LEFT(UPPER(TRIM($AE191)),8)="SECRETAR","SECRETARIA DE SALUD",IF(LEFT(UPPER(TRIM($AE191)),4)="SEDE","SEDE",UPPER(TRIM($AE191))))),Config!$A$6:$D$8,2,FALSE),"⚠")))))</f>
        <v/>
      </c>
      <c r="AG178" s="30">
        <f>IF($AA191="","",IF(LEFT(UPPER(TRIM($AA191)),8)="FELICITA","N/A",IF($AE191="","",IFERROR(VLOOKUP(UPPER(TRIM($AE191)),Config!$A$6:$D$8,3,FALSE),IFERROR(VLOOKUP(IF(LEFT(UPPER(TRIM($AE191)),5)="SUPER","SUPER SALUD",IF(LEFT(UPPER(TRIM($AE191)),8)="SECRETAR","SECRETARIA DE SALUD",IF(LEFT(UPPER(TRIM($AE191)),4)="SEDE","SEDE",UPPER(TRIM($AE191))))),Config!$A$6:$D$8,3,FALSE),"")))))</f>
        <v/>
      </c>
      <c r="AH178" s="39">
        <f>IF(OR($E191="",NOT(ISNUMBER($E191)),$AF191="",$AF191="N/A",NOT(ISNUMBER($AF191))),"",IF($AG191="Hábiles",WORKDAY(INT($E191),$AF191,Config!$F$6:$F$39),INT($E191)+$AF191))</f>
        <v/>
      </c>
      <c r="AI178" s="30">
        <f>IF($E191="","",IF(LEFT(UPPER(TRIM($AA191)),8)="FELICITA","⭐ Felicitación",IF(NOT(ISNUMBER($E191)),"⚠ Revisar fecha",IF(UPPER(TRIM($AK191))="RESPONDIDA - CERRADA","✅ Cerrada",IF($AE191="","⚠ Falta entidad",IF($AH191="","⚠ Revisar término",IF(TODAY()&gt;$AH191,"🔴 Vencida",IF($AH191-TODAY()&lt;=Config!$B$12,"🟡 Próxima a vencer","🟢 En término"))))))))</f>
        <v/>
      </c>
      <c r="AJ178" s="42">
        <f>IF(OR($E191="",NOT(ISNUMBER($E191))),"",IF(ISNUMBER($AS191),MAX(0,INT($AS191)-INT($E191)),MAX(0,TODAY()-INT($E191))))</f>
        <v/>
      </c>
      <c r="AK178" s="30" t="n"/>
      <c r="AL178" s="30" t="n"/>
      <c r="AM178" s="30" t="n"/>
      <c r="AN178" s="39" t="n"/>
      <c r="AO178" s="30" t="n"/>
      <c r="AP178" s="30" t="n"/>
      <c r="AQ178" s="39" t="n"/>
      <c r="AR178" s="30" t="n"/>
      <c r="AS178" s="39" t="n"/>
      <c r="AT178" s="30">
        <f>IF(OR($AS191="",NOT(ISNUMBER($AS191)),$AH191=""),"",IF(INT($AS191)&lt;=$AH191,"A tiempo","Fuera de término"))</f>
        <v/>
      </c>
      <c r="AU178" s="40" t="n"/>
      <c r="AV178" s="40" t="n"/>
      <c r="AW178" s="40" t="n"/>
      <c r="AX178" s="40" t="n"/>
      <c r="AY178" s="30" t="n"/>
      <c r="AZ178" s="30" t="n"/>
      <c r="BA178" s="30" t="n"/>
    </row>
    <row r="179" ht="15.75" customHeight="1" s="57">
      <c r="A179" s="29" t="n"/>
      <c r="B179" s="30" t="n"/>
      <c r="C179" s="39" t="n"/>
      <c r="D179" s="39" t="n"/>
      <c r="E179" s="39" t="n"/>
      <c r="F179" s="40" t="n"/>
      <c r="G179" s="30" t="n"/>
      <c r="H179" s="30" t="n"/>
      <c r="I179" s="30" t="n"/>
      <c r="J179" s="30" t="n"/>
      <c r="K179" s="30" t="n"/>
      <c r="L179" s="30" t="n"/>
      <c r="M179" s="30" t="n"/>
      <c r="N179" s="30" t="n"/>
      <c r="O179" s="30" t="n"/>
      <c r="P179" s="30" t="n"/>
      <c r="Q179" s="30" t="n"/>
      <c r="R179" s="30" t="n"/>
      <c r="S179" s="30" t="n"/>
      <c r="T179" s="30" t="n"/>
      <c r="U179" s="30" t="n"/>
      <c r="V179" s="30" t="n"/>
      <c r="W179" s="30" t="n"/>
      <c r="X179" s="30" t="n"/>
      <c r="Y179" s="30" t="n"/>
      <c r="Z179" s="30" t="n"/>
      <c r="AA179" s="30" t="n"/>
      <c r="AB179" s="30" t="n"/>
      <c r="AC179" s="30" t="n"/>
      <c r="AD179" s="41" t="n"/>
      <c r="AE179" s="30" t="n"/>
      <c r="AF179" s="42">
        <f>IF($AA192="","",IF(LEFT(UPPER(TRIM($AA192)),8)="FELICITA","N/A",IF($AE192="","",IFERROR(VLOOKUP(UPPER(TRIM($AE192)),Config!$A$6:$D$8,2,FALSE),IFERROR(VLOOKUP(IF(LEFT(UPPER(TRIM($AE192)),5)="SUPER","SUPER SALUD",IF(LEFT(UPPER(TRIM($AE192)),8)="SECRETAR","SECRETARIA DE SALUD",IF(LEFT(UPPER(TRIM($AE192)),4)="SEDE","SEDE",UPPER(TRIM($AE192))))),Config!$A$6:$D$8,2,FALSE),"⚠")))))</f>
        <v/>
      </c>
      <c r="AG179" s="30">
        <f>IF($AA192="","",IF(LEFT(UPPER(TRIM($AA192)),8)="FELICITA","N/A",IF($AE192="","",IFERROR(VLOOKUP(UPPER(TRIM($AE192)),Config!$A$6:$D$8,3,FALSE),IFERROR(VLOOKUP(IF(LEFT(UPPER(TRIM($AE192)),5)="SUPER","SUPER SALUD",IF(LEFT(UPPER(TRIM($AE192)),8)="SECRETAR","SECRETARIA DE SALUD",IF(LEFT(UPPER(TRIM($AE192)),4)="SEDE","SEDE",UPPER(TRIM($AE192))))),Config!$A$6:$D$8,3,FALSE),"")))))</f>
        <v/>
      </c>
      <c r="AH179" s="39">
        <f>IF(OR($E192="",NOT(ISNUMBER($E192)),$AF192="",$AF192="N/A",NOT(ISNUMBER($AF192))),"",IF($AG192="Hábiles",WORKDAY(INT($E192),$AF192,Config!$F$6:$F$39),INT($E192)+$AF192))</f>
        <v/>
      </c>
      <c r="AI179" s="30">
        <f>IF($E192="","",IF(LEFT(UPPER(TRIM($AA192)),8)="FELICITA","⭐ Felicitación",IF(NOT(ISNUMBER($E192)),"⚠ Revisar fecha",IF(UPPER(TRIM($AK192))="RESPONDIDA - CERRADA","✅ Cerrada",IF($AE192="","⚠ Falta entidad",IF($AH192="","⚠ Revisar término",IF(TODAY()&gt;$AH192,"🔴 Vencida",IF($AH192-TODAY()&lt;=Config!$B$12,"🟡 Próxima a vencer","🟢 En término"))))))))</f>
        <v/>
      </c>
      <c r="AJ179" s="42">
        <f>IF(OR($E192="",NOT(ISNUMBER($E192))),"",IF(ISNUMBER($AS192),MAX(0,INT($AS192)-INT($E192)),MAX(0,TODAY()-INT($E192))))</f>
        <v/>
      </c>
      <c r="AK179" s="30" t="n"/>
      <c r="AL179" s="30" t="n"/>
      <c r="AM179" s="30" t="n"/>
      <c r="AN179" s="39" t="n"/>
      <c r="AO179" s="30" t="n"/>
      <c r="AP179" s="30" t="n"/>
      <c r="AQ179" s="39" t="n"/>
      <c r="AR179" s="30" t="n"/>
      <c r="AS179" s="39" t="n"/>
      <c r="AT179" s="30">
        <f>IF(OR($AS192="",NOT(ISNUMBER($AS192)),$AH192=""),"",IF(INT($AS192)&lt;=$AH192,"A tiempo","Fuera de término"))</f>
        <v/>
      </c>
      <c r="AU179" s="40" t="n"/>
      <c r="AV179" s="40" t="n"/>
      <c r="AW179" s="40" t="n"/>
      <c r="AX179" s="40" t="n"/>
      <c r="AY179" s="30" t="n"/>
      <c r="AZ179" s="30" t="n"/>
      <c r="BA179" s="30" t="n"/>
    </row>
    <row r="180" ht="15.75" customHeight="1" s="57">
      <c r="A180" s="29" t="n"/>
      <c r="B180" s="30" t="n"/>
      <c r="C180" s="39" t="n"/>
      <c r="D180" s="39" t="n"/>
      <c r="E180" s="39" t="n"/>
      <c r="F180" s="40" t="n"/>
      <c r="G180" s="30" t="n"/>
      <c r="H180" s="30" t="n"/>
      <c r="I180" s="30" t="n"/>
      <c r="J180" s="30" t="n"/>
      <c r="K180" s="30" t="n"/>
      <c r="L180" s="30" t="n"/>
      <c r="M180" s="30" t="n"/>
      <c r="N180" s="30" t="n"/>
      <c r="O180" s="30" t="n"/>
      <c r="P180" s="30" t="n"/>
      <c r="Q180" s="30" t="n"/>
      <c r="R180" s="30" t="n"/>
      <c r="S180" s="30" t="n"/>
      <c r="T180" s="30" t="n"/>
      <c r="U180" s="30" t="n"/>
      <c r="V180" s="30" t="n"/>
      <c r="W180" s="30" t="n"/>
      <c r="X180" s="30" t="n"/>
      <c r="Y180" s="30" t="n"/>
      <c r="Z180" s="30" t="n"/>
      <c r="AA180" s="30" t="n"/>
      <c r="AB180" s="30" t="n"/>
      <c r="AC180" s="30" t="n"/>
      <c r="AD180" s="41" t="n"/>
      <c r="AE180" s="30" t="n"/>
      <c r="AF180" s="42">
        <f>IF($AA193="","",IF(LEFT(UPPER(TRIM($AA193)),8)="FELICITA","N/A",IF($AE193="","",IFERROR(VLOOKUP(UPPER(TRIM($AE193)),Config!$A$6:$D$8,2,FALSE),IFERROR(VLOOKUP(IF(LEFT(UPPER(TRIM($AE193)),5)="SUPER","SUPER SALUD",IF(LEFT(UPPER(TRIM($AE193)),8)="SECRETAR","SECRETARIA DE SALUD",IF(LEFT(UPPER(TRIM($AE193)),4)="SEDE","SEDE",UPPER(TRIM($AE193))))),Config!$A$6:$D$8,2,FALSE),"⚠")))))</f>
        <v/>
      </c>
      <c r="AG180" s="30">
        <f>IF($AA193="","",IF(LEFT(UPPER(TRIM($AA193)),8)="FELICITA","N/A",IF($AE193="","",IFERROR(VLOOKUP(UPPER(TRIM($AE193)),Config!$A$6:$D$8,3,FALSE),IFERROR(VLOOKUP(IF(LEFT(UPPER(TRIM($AE193)),5)="SUPER","SUPER SALUD",IF(LEFT(UPPER(TRIM($AE193)),8)="SECRETAR","SECRETARIA DE SALUD",IF(LEFT(UPPER(TRIM($AE193)),4)="SEDE","SEDE",UPPER(TRIM($AE193))))),Config!$A$6:$D$8,3,FALSE),"")))))</f>
        <v/>
      </c>
      <c r="AH180" s="39">
        <f>IF(OR($E193="",NOT(ISNUMBER($E193)),$AF193="",$AF193="N/A",NOT(ISNUMBER($AF193))),"",IF($AG193="Hábiles",WORKDAY(INT($E193),$AF193,Config!$F$6:$F$39),INT($E193)+$AF193))</f>
        <v/>
      </c>
      <c r="AI180" s="30">
        <f>IF($E193="","",IF(LEFT(UPPER(TRIM($AA193)),8)="FELICITA","⭐ Felicitación",IF(NOT(ISNUMBER($E193)),"⚠ Revisar fecha",IF(UPPER(TRIM($AK193))="RESPONDIDA - CERRADA","✅ Cerrada",IF($AE193="","⚠ Falta entidad",IF($AH193="","⚠ Revisar término",IF(TODAY()&gt;$AH193,"🔴 Vencida",IF($AH193-TODAY()&lt;=Config!$B$12,"🟡 Próxima a vencer","🟢 En término"))))))))</f>
        <v/>
      </c>
      <c r="AJ180" s="42">
        <f>IF(OR($E193="",NOT(ISNUMBER($E193))),"",IF(ISNUMBER($AS193),MAX(0,INT($AS193)-INT($E193)),MAX(0,TODAY()-INT($E193))))</f>
        <v/>
      </c>
      <c r="AK180" s="30" t="n"/>
      <c r="AL180" s="30" t="n"/>
      <c r="AM180" s="30" t="n"/>
      <c r="AN180" s="39" t="n"/>
      <c r="AO180" s="30" t="n"/>
      <c r="AP180" s="30" t="n"/>
      <c r="AQ180" s="39" t="n"/>
      <c r="AR180" s="30" t="n"/>
      <c r="AS180" s="39" t="n"/>
      <c r="AT180" s="30">
        <f>IF(OR($AS193="",NOT(ISNUMBER($AS193)),$AH193=""),"",IF(INT($AS193)&lt;=$AH193,"A tiempo","Fuera de término"))</f>
        <v/>
      </c>
      <c r="AU180" s="40" t="n"/>
      <c r="AV180" s="40" t="n"/>
      <c r="AW180" s="40" t="n"/>
      <c r="AX180" s="40" t="n"/>
      <c r="AY180" s="30" t="n"/>
      <c r="AZ180" s="30" t="n"/>
      <c r="BA180" s="30" t="n"/>
    </row>
    <row r="181" ht="15.75" customHeight="1" s="57">
      <c r="A181" s="29" t="n"/>
      <c r="B181" s="30" t="n"/>
      <c r="C181" s="39" t="n"/>
      <c r="D181" s="39" t="n"/>
      <c r="E181" s="39" t="n"/>
      <c r="F181" s="40" t="n"/>
      <c r="G181" s="30" t="n"/>
      <c r="H181" s="30" t="n"/>
      <c r="I181" s="30" t="n"/>
      <c r="J181" s="30" t="n"/>
      <c r="K181" s="30" t="n"/>
      <c r="L181" s="30" t="n"/>
      <c r="M181" s="30" t="n"/>
      <c r="N181" s="30" t="n"/>
      <c r="O181" s="30" t="n"/>
      <c r="P181" s="30" t="n"/>
      <c r="Q181" s="30" t="n"/>
      <c r="R181" s="30" t="n"/>
      <c r="S181" s="30" t="n"/>
      <c r="T181" s="30" t="n"/>
      <c r="U181" s="30" t="n"/>
      <c r="V181" s="30" t="n"/>
      <c r="W181" s="30" t="n"/>
      <c r="X181" s="30" t="n"/>
      <c r="Y181" s="30" t="n"/>
      <c r="Z181" s="30" t="n"/>
      <c r="AA181" s="30" t="n"/>
      <c r="AB181" s="30" t="n"/>
      <c r="AC181" s="30" t="n"/>
      <c r="AD181" s="41" t="n"/>
      <c r="AE181" s="30" t="n"/>
      <c r="AF181" s="42">
        <f>IF($AA194="","",IF(LEFT(UPPER(TRIM($AA194)),8)="FELICITA","N/A",IF($AE194="","",IFERROR(VLOOKUP(UPPER(TRIM($AE194)),Config!$A$6:$D$8,2,FALSE),IFERROR(VLOOKUP(IF(LEFT(UPPER(TRIM($AE194)),5)="SUPER","SUPER SALUD",IF(LEFT(UPPER(TRIM($AE194)),8)="SECRETAR","SECRETARIA DE SALUD",IF(LEFT(UPPER(TRIM($AE194)),4)="SEDE","SEDE",UPPER(TRIM($AE194))))),Config!$A$6:$D$8,2,FALSE),"⚠")))))</f>
        <v/>
      </c>
      <c r="AG181" s="30">
        <f>IF($AA194="","",IF(LEFT(UPPER(TRIM($AA194)),8)="FELICITA","N/A",IF($AE194="","",IFERROR(VLOOKUP(UPPER(TRIM($AE194)),Config!$A$6:$D$8,3,FALSE),IFERROR(VLOOKUP(IF(LEFT(UPPER(TRIM($AE194)),5)="SUPER","SUPER SALUD",IF(LEFT(UPPER(TRIM($AE194)),8)="SECRETAR","SECRETARIA DE SALUD",IF(LEFT(UPPER(TRIM($AE194)),4)="SEDE","SEDE",UPPER(TRIM($AE194))))),Config!$A$6:$D$8,3,FALSE),"")))))</f>
        <v/>
      </c>
      <c r="AH181" s="39">
        <f>IF(OR($E194="",NOT(ISNUMBER($E194)),$AF194="",$AF194="N/A",NOT(ISNUMBER($AF194))),"",IF($AG194="Hábiles",WORKDAY(INT($E194),$AF194,Config!$F$6:$F$39),INT($E194)+$AF194))</f>
        <v/>
      </c>
      <c r="AI181" s="30">
        <f>IF($E194="","",IF(LEFT(UPPER(TRIM($AA194)),8)="FELICITA","⭐ Felicitación",IF(NOT(ISNUMBER($E194)),"⚠ Revisar fecha",IF(UPPER(TRIM($AK194))="RESPONDIDA - CERRADA","✅ Cerrada",IF($AE194="","⚠ Falta entidad",IF($AH194="","⚠ Revisar término",IF(TODAY()&gt;$AH194,"🔴 Vencida",IF($AH194-TODAY()&lt;=Config!$B$12,"🟡 Próxima a vencer","🟢 En término"))))))))</f>
        <v/>
      </c>
      <c r="AJ181" s="42">
        <f>IF(OR($E194="",NOT(ISNUMBER($E194))),"",IF(ISNUMBER($AS194),MAX(0,INT($AS194)-INT($E194)),MAX(0,TODAY()-INT($E194))))</f>
        <v/>
      </c>
      <c r="AK181" s="30" t="n"/>
      <c r="AL181" s="30" t="n"/>
      <c r="AM181" s="30" t="n"/>
      <c r="AN181" s="39" t="n"/>
      <c r="AO181" s="30" t="n"/>
      <c r="AP181" s="30" t="n"/>
      <c r="AQ181" s="39" t="n"/>
      <c r="AR181" s="30" t="n"/>
      <c r="AS181" s="39" t="n"/>
      <c r="AT181" s="30">
        <f>IF(OR($AS194="",NOT(ISNUMBER($AS194)),$AH194=""),"",IF(INT($AS194)&lt;=$AH194,"A tiempo","Fuera de término"))</f>
        <v/>
      </c>
      <c r="AU181" s="40" t="n"/>
      <c r="AV181" s="40" t="n"/>
      <c r="AW181" s="40" t="n"/>
      <c r="AX181" s="40" t="n"/>
      <c r="AY181" s="30" t="n"/>
      <c r="AZ181" s="30" t="n"/>
      <c r="BA181" s="30" t="n"/>
    </row>
    <row r="182" ht="15.75" customHeight="1" s="57">
      <c r="A182" s="29" t="n"/>
      <c r="B182" s="30" t="n"/>
      <c r="C182" s="39" t="n"/>
      <c r="D182" s="39" t="n"/>
      <c r="E182" s="39" t="n"/>
      <c r="F182" s="40" t="n"/>
      <c r="G182" s="30" t="n"/>
      <c r="H182" s="30" t="n"/>
      <c r="I182" s="30" t="n"/>
      <c r="J182" s="30" t="n"/>
      <c r="K182" s="30" t="n"/>
      <c r="L182" s="30" t="n"/>
      <c r="M182" s="30" t="n"/>
      <c r="N182" s="30" t="n"/>
      <c r="O182" s="30" t="n"/>
      <c r="P182" s="30" t="n"/>
      <c r="Q182" s="30" t="n"/>
      <c r="R182" s="30" t="n"/>
      <c r="S182" s="30" t="n"/>
      <c r="T182" s="30" t="n"/>
      <c r="U182" s="30" t="n"/>
      <c r="V182" s="30" t="n"/>
      <c r="W182" s="30" t="n"/>
      <c r="X182" s="30" t="n"/>
      <c r="Y182" s="30" t="n"/>
      <c r="Z182" s="30" t="n"/>
      <c r="AA182" s="30" t="n"/>
      <c r="AB182" s="30" t="n"/>
      <c r="AC182" s="30" t="n"/>
      <c r="AD182" s="41" t="n"/>
      <c r="AE182" s="30" t="n"/>
      <c r="AF182" s="42">
        <f>IF($AA195="","",IF(LEFT(UPPER(TRIM($AA195)),8)="FELICITA","N/A",IF($AE195="","",IFERROR(VLOOKUP(UPPER(TRIM($AE195)),Config!$A$6:$D$8,2,FALSE),IFERROR(VLOOKUP(IF(LEFT(UPPER(TRIM($AE195)),5)="SUPER","SUPER SALUD",IF(LEFT(UPPER(TRIM($AE195)),8)="SECRETAR","SECRETARIA DE SALUD",IF(LEFT(UPPER(TRIM($AE195)),4)="SEDE","SEDE",UPPER(TRIM($AE195))))),Config!$A$6:$D$8,2,FALSE),"⚠")))))</f>
        <v/>
      </c>
      <c r="AG182" s="30">
        <f>IF($AA195="","",IF(LEFT(UPPER(TRIM($AA195)),8)="FELICITA","N/A",IF($AE195="","",IFERROR(VLOOKUP(UPPER(TRIM($AE195)),Config!$A$6:$D$8,3,FALSE),IFERROR(VLOOKUP(IF(LEFT(UPPER(TRIM($AE195)),5)="SUPER","SUPER SALUD",IF(LEFT(UPPER(TRIM($AE195)),8)="SECRETAR","SECRETARIA DE SALUD",IF(LEFT(UPPER(TRIM($AE195)),4)="SEDE","SEDE",UPPER(TRIM($AE195))))),Config!$A$6:$D$8,3,FALSE),"")))))</f>
        <v/>
      </c>
      <c r="AH182" s="39">
        <f>IF(OR($E195="",NOT(ISNUMBER($E195)),$AF195="",$AF195="N/A",NOT(ISNUMBER($AF195))),"",IF($AG195="Hábiles",WORKDAY(INT($E195),$AF195,Config!$F$6:$F$39),INT($E195)+$AF195))</f>
        <v/>
      </c>
      <c r="AI182" s="30">
        <f>IF($E195="","",IF(LEFT(UPPER(TRIM($AA195)),8)="FELICITA","⭐ Felicitación",IF(NOT(ISNUMBER($E195)),"⚠ Revisar fecha",IF(UPPER(TRIM($AK195))="RESPONDIDA - CERRADA","✅ Cerrada",IF($AE195="","⚠ Falta entidad",IF($AH195="","⚠ Revisar término",IF(TODAY()&gt;$AH195,"🔴 Vencida",IF($AH195-TODAY()&lt;=Config!$B$12,"🟡 Próxima a vencer","🟢 En término"))))))))</f>
        <v/>
      </c>
      <c r="AJ182" s="42">
        <f>IF(OR($E195="",NOT(ISNUMBER($E195))),"",IF(ISNUMBER($AS195),MAX(0,INT($AS195)-INT($E195)),MAX(0,TODAY()-INT($E195))))</f>
        <v/>
      </c>
      <c r="AK182" s="30" t="n"/>
      <c r="AL182" s="30" t="n"/>
      <c r="AM182" s="30" t="n"/>
      <c r="AN182" s="39" t="n"/>
      <c r="AO182" s="30" t="n"/>
      <c r="AP182" s="30" t="n"/>
      <c r="AQ182" s="39" t="n"/>
      <c r="AR182" s="30" t="n"/>
      <c r="AS182" s="39" t="n"/>
      <c r="AT182" s="30">
        <f>IF(OR($AS195="",NOT(ISNUMBER($AS195)),$AH195=""),"",IF(INT($AS195)&lt;=$AH195,"A tiempo","Fuera de término"))</f>
        <v/>
      </c>
      <c r="AU182" s="40" t="n"/>
      <c r="AV182" s="40" t="n"/>
      <c r="AW182" s="40" t="n"/>
      <c r="AX182" s="40" t="n"/>
      <c r="AY182" s="30" t="n"/>
      <c r="AZ182" s="30" t="n"/>
      <c r="BA182" s="30" t="n"/>
    </row>
    <row r="183" ht="15.75" customHeight="1" s="57">
      <c r="A183" s="29" t="n"/>
      <c r="B183" s="30" t="n"/>
      <c r="C183" s="39" t="n"/>
      <c r="D183" s="39" t="n"/>
      <c r="E183" s="39" t="n"/>
      <c r="F183" s="40" t="n"/>
      <c r="G183" s="30" t="n"/>
      <c r="H183" s="30" t="n"/>
      <c r="I183" s="30" t="n"/>
      <c r="J183" s="30" t="n"/>
      <c r="K183" s="30" t="n"/>
      <c r="L183" s="30" t="n"/>
      <c r="M183" s="30" t="n"/>
      <c r="N183" s="30" t="n"/>
      <c r="O183" s="30" t="n"/>
      <c r="P183" s="30" t="n"/>
      <c r="Q183" s="30" t="n"/>
      <c r="R183" s="30" t="n"/>
      <c r="S183" s="30" t="n"/>
      <c r="T183" s="30" t="n"/>
      <c r="U183" s="30" t="n"/>
      <c r="V183" s="30" t="n"/>
      <c r="W183" s="30" t="n"/>
      <c r="X183" s="30" t="n"/>
      <c r="Y183" s="30" t="n"/>
      <c r="Z183" s="30" t="n"/>
      <c r="AA183" s="30" t="n"/>
      <c r="AB183" s="30" t="n"/>
      <c r="AC183" s="30" t="n"/>
      <c r="AD183" s="41" t="n"/>
      <c r="AE183" s="30" t="n"/>
      <c r="AF183" s="42">
        <f>IF($AA196="","",IF(LEFT(UPPER(TRIM($AA196)),8)="FELICITA","N/A",IF($AE196="","",IFERROR(VLOOKUP(UPPER(TRIM($AE196)),Config!$A$6:$D$8,2,FALSE),IFERROR(VLOOKUP(IF(LEFT(UPPER(TRIM($AE196)),5)="SUPER","SUPER SALUD",IF(LEFT(UPPER(TRIM($AE196)),8)="SECRETAR","SECRETARIA DE SALUD",IF(LEFT(UPPER(TRIM($AE196)),4)="SEDE","SEDE",UPPER(TRIM($AE196))))),Config!$A$6:$D$8,2,FALSE),"⚠")))))</f>
        <v/>
      </c>
      <c r="AG183" s="30">
        <f>IF($AA196="","",IF(LEFT(UPPER(TRIM($AA196)),8)="FELICITA","N/A",IF($AE196="","",IFERROR(VLOOKUP(UPPER(TRIM($AE196)),Config!$A$6:$D$8,3,FALSE),IFERROR(VLOOKUP(IF(LEFT(UPPER(TRIM($AE196)),5)="SUPER","SUPER SALUD",IF(LEFT(UPPER(TRIM($AE196)),8)="SECRETAR","SECRETARIA DE SALUD",IF(LEFT(UPPER(TRIM($AE196)),4)="SEDE","SEDE",UPPER(TRIM($AE196))))),Config!$A$6:$D$8,3,FALSE),"")))))</f>
        <v/>
      </c>
      <c r="AH183" s="39">
        <f>IF(OR($E196="",NOT(ISNUMBER($E196)),$AF196="",$AF196="N/A",NOT(ISNUMBER($AF196))),"",IF($AG196="Hábiles",WORKDAY(INT($E196),$AF196,Config!$F$6:$F$39),INT($E196)+$AF196))</f>
        <v/>
      </c>
      <c r="AI183" s="30">
        <f>IF($E196="","",IF(LEFT(UPPER(TRIM($AA196)),8)="FELICITA","⭐ Felicitación",IF(NOT(ISNUMBER($E196)),"⚠ Revisar fecha",IF(UPPER(TRIM($AK196))="RESPONDIDA - CERRADA","✅ Cerrada",IF($AE196="","⚠ Falta entidad",IF($AH196="","⚠ Revisar término",IF(TODAY()&gt;$AH196,"🔴 Vencida",IF($AH196-TODAY()&lt;=Config!$B$12,"🟡 Próxima a vencer","🟢 En término"))))))))</f>
        <v/>
      </c>
      <c r="AJ183" s="42">
        <f>IF(OR($E196="",NOT(ISNUMBER($E196))),"",IF(ISNUMBER($AS196),MAX(0,INT($AS196)-INT($E196)),MAX(0,TODAY()-INT($E196))))</f>
        <v/>
      </c>
      <c r="AK183" s="30" t="n"/>
      <c r="AL183" s="30" t="n"/>
      <c r="AM183" s="30" t="n"/>
      <c r="AN183" s="39" t="n"/>
      <c r="AO183" s="30" t="n"/>
      <c r="AP183" s="30" t="n"/>
      <c r="AQ183" s="39" t="n"/>
      <c r="AR183" s="30" t="n"/>
      <c r="AS183" s="39" t="n"/>
      <c r="AT183" s="30">
        <f>IF(OR($AS196="",NOT(ISNUMBER($AS196)),$AH196=""),"",IF(INT($AS196)&lt;=$AH196,"A tiempo","Fuera de término"))</f>
        <v/>
      </c>
      <c r="AU183" s="40" t="n"/>
      <c r="AV183" s="40" t="n"/>
      <c r="AW183" s="40" t="n"/>
      <c r="AX183" s="40" t="n"/>
      <c r="AY183" s="30" t="n"/>
      <c r="AZ183" s="30" t="n"/>
      <c r="BA183" s="30" t="n"/>
    </row>
    <row r="184" ht="15.75" customHeight="1" s="57">
      <c r="A184" s="29" t="n"/>
      <c r="B184" s="30" t="n"/>
      <c r="C184" s="39" t="n"/>
      <c r="D184" s="39" t="n"/>
      <c r="E184" s="39" t="n"/>
      <c r="F184" s="40" t="n"/>
      <c r="G184" s="30" t="n"/>
      <c r="H184" s="30" t="n"/>
      <c r="I184" s="30" t="n"/>
      <c r="J184" s="30" t="n"/>
      <c r="K184" s="30" t="n"/>
      <c r="L184" s="30" t="n"/>
      <c r="M184" s="30" t="n"/>
      <c r="N184" s="30" t="n"/>
      <c r="O184" s="30" t="n"/>
      <c r="P184" s="30" t="n"/>
      <c r="Q184" s="30" t="n"/>
      <c r="R184" s="30" t="n"/>
      <c r="S184" s="30" t="n"/>
      <c r="T184" s="30" t="n"/>
      <c r="U184" s="30" t="n"/>
      <c r="V184" s="30" t="n"/>
      <c r="W184" s="30" t="n"/>
      <c r="X184" s="30" t="n"/>
      <c r="Y184" s="30" t="n"/>
      <c r="Z184" s="30" t="n"/>
      <c r="AA184" s="30" t="n"/>
      <c r="AB184" s="30" t="n"/>
      <c r="AC184" s="30" t="n"/>
      <c r="AD184" s="41" t="n"/>
      <c r="AE184" s="30" t="n"/>
      <c r="AF184" s="42">
        <f>IF($AA197="","",IF(LEFT(UPPER(TRIM($AA197)),8)="FELICITA","N/A",IF($AE197="","",IFERROR(VLOOKUP(UPPER(TRIM($AE197)),Config!$A$6:$D$8,2,FALSE),IFERROR(VLOOKUP(IF(LEFT(UPPER(TRIM($AE197)),5)="SUPER","SUPER SALUD",IF(LEFT(UPPER(TRIM($AE197)),8)="SECRETAR","SECRETARIA DE SALUD",IF(LEFT(UPPER(TRIM($AE197)),4)="SEDE","SEDE",UPPER(TRIM($AE197))))),Config!$A$6:$D$8,2,FALSE),"⚠")))))</f>
        <v/>
      </c>
      <c r="AG184" s="30">
        <f>IF($AA197="","",IF(LEFT(UPPER(TRIM($AA197)),8)="FELICITA","N/A",IF($AE197="","",IFERROR(VLOOKUP(UPPER(TRIM($AE197)),Config!$A$6:$D$8,3,FALSE),IFERROR(VLOOKUP(IF(LEFT(UPPER(TRIM($AE197)),5)="SUPER","SUPER SALUD",IF(LEFT(UPPER(TRIM($AE197)),8)="SECRETAR","SECRETARIA DE SALUD",IF(LEFT(UPPER(TRIM($AE197)),4)="SEDE","SEDE",UPPER(TRIM($AE197))))),Config!$A$6:$D$8,3,FALSE),"")))))</f>
        <v/>
      </c>
      <c r="AH184" s="39">
        <f>IF(OR($E197="",NOT(ISNUMBER($E197)),$AF197="",$AF197="N/A",NOT(ISNUMBER($AF197))),"",IF($AG197="Hábiles",WORKDAY(INT($E197),$AF197,Config!$F$6:$F$39),INT($E197)+$AF197))</f>
        <v/>
      </c>
      <c r="AI184" s="30">
        <f>IF($E197="","",IF(LEFT(UPPER(TRIM($AA197)),8)="FELICITA","⭐ Felicitación",IF(NOT(ISNUMBER($E197)),"⚠ Revisar fecha",IF(UPPER(TRIM($AK197))="RESPONDIDA - CERRADA","✅ Cerrada",IF($AE197="","⚠ Falta entidad",IF($AH197="","⚠ Revisar término",IF(TODAY()&gt;$AH197,"🔴 Vencida",IF($AH197-TODAY()&lt;=Config!$B$12,"🟡 Próxima a vencer","🟢 En término"))))))))</f>
        <v/>
      </c>
      <c r="AJ184" s="42">
        <f>IF(OR($E197="",NOT(ISNUMBER($E197))),"",IF(ISNUMBER($AS197),MAX(0,INT($AS197)-INT($E197)),MAX(0,TODAY()-INT($E197))))</f>
        <v/>
      </c>
      <c r="AK184" s="30" t="n"/>
      <c r="AL184" s="30" t="n"/>
      <c r="AM184" s="30" t="n"/>
      <c r="AN184" s="39" t="n"/>
      <c r="AO184" s="30" t="n"/>
      <c r="AP184" s="30" t="n"/>
      <c r="AQ184" s="39" t="n"/>
      <c r="AR184" s="30" t="n"/>
      <c r="AS184" s="39" t="n"/>
      <c r="AT184" s="30">
        <f>IF(OR($AS197="",NOT(ISNUMBER($AS197)),$AH197=""),"",IF(INT($AS197)&lt;=$AH197,"A tiempo","Fuera de término"))</f>
        <v/>
      </c>
      <c r="AU184" s="40" t="n"/>
      <c r="AV184" s="40" t="n"/>
      <c r="AW184" s="40" t="n"/>
      <c r="AX184" s="40" t="n"/>
      <c r="AY184" s="30" t="n"/>
      <c r="AZ184" s="30" t="n"/>
      <c r="BA184" s="30" t="n"/>
    </row>
    <row r="185" ht="15.75" customHeight="1" s="57">
      <c r="A185" s="29" t="n"/>
      <c r="B185" s="30" t="n"/>
      <c r="C185" s="39" t="n"/>
      <c r="D185" s="39" t="n"/>
      <c r="E185" s="39" t="n"/>
      <c r="F185" s="40" t="n"/>
      <c r="G185" s="30" t="n"/>
      <c r="H185" s="30" t="n"/>
      <c r="I185" s="30" t="n"/>
      <c r="J185" s="30" t="n"/>
      <c r="K185" s="30" t="n"/>
      <c r="L185" s="30" t="n"/>
      <c r="M185" s="30" t="n"/>
      <c r="N185" s="30" t="n"/>
      <c r="O185" s="30" t="n"/>
      <c r="P185" s="30" t="n"/>
      <c r="Q185" s="30" t="n"/>
      <c r="R185" s="30" t="n"/>
      <c r="S185" s="30" t="n"/>
      <c r="T185" s="30" t="n"/>
      <c r="U185" s="30" t="n"/>
      <c r="V185" s="30" t="n"/>
      <c r="W185" s="30" t="n"/>
      <c r="X185" s="30" t="n"/>
      <c r="Y185" s="30" t="n"/>
      <c r="Z185" s="30" t="n"/>
      <c r="AA185" s="30" t="n"/>
      <c r="AB185" s="30" t="n"/>
      <c r="AC185" s="30" t="n"/>
      <c r="AD185" s="41" t="n"/>
      <c r="AE185" s="30" t="n"/>
      <c r="AF185" s="42">
        <f>IF($AA198="","",IF(LEFT(UPPER(TRIM($AA198)),8)="FELICITA","N/A",IF($AE198="","",IFERROR(VLOOKUP(UPPER(TRIM($AE198)),Config!$A$6:$D$8,2,FALSE),IFERROR(VLOOKUP(IF(LEFT(UPPER(TRIM($AE198)),5)="SUPER","SUPER SALUD",IF(LEFT(UPPER(TRIM($AE198)),8)="SECRETAR","SECRETARIA DE SALUD",IF(LEFT(UPPER(TRIM($AE198)),4)="SEDE","SEDE",UPPER(TRIM($AE198))))),Config!$A$6:$D$8,2,FALSE),"⚠")))))</f>
        <v/>
      </c>
      <c r="AG185" s="30">
        <f>IF($AA198="","",IF(LEFT(UPPER(TRIM($AA198)),8)="FELICITA","N/A",IF($AE198="","",IFERROR(VLOOKUP(UPPER(TRIM($AE198)),Config!$A$6:$D$8,3,FALSE),IFERROR(VLOOKUP(IF(LEFT(UPPER(TRIM($AE198)),5)="SUPER","SUPER SALUD",IF(LEFT(UPPER(TRIM($AE198)),8)="SECRETAR","SECRETARIA DE SALUD",IF(LEFT(UPPER(TRIM($AE198)),4)="SEDE","SEDE",UPPER(TRIM($AE198))))),Config!$A$6:$D$8,3,FALSE),"")))))</f>
        <v/>
      </c>
      <c r="AH185" s="39">
        <f>IF(OR($E198="",NOT(ISNUMBER($E198)),$AF198="",$AF198="N/A",NOT(ISNUMBER($AF198))),"",IF($AG198="Hábiles",WORKDAY(INT($E198),$AF198,Config!$F$6:$F$39),INT($E198)+$AF198))</f>
        <v/>
      </c>
      <c r="AI185" s="30">
        <f>IF($E198="","",IF(LEFT(UPPER(TRIM($AA198)),8)="FELICITA","⭐ Felicitación",IF(NOT(ISNUMBER($E198)),"⚠ Revisar fecha",IF(UPPER(TRIM($AK198))="RESPONDIDA - CERRADA","✅ Cerrada",IF($AE198="","⚠ Falta entidad",IF($AH198="","⚠ Revisar término",IF(TODAY()&gt;$AH198,"🔴 Vencida",IF($AH198-TODAY()&lt;=Config!$B$12,"🟡 Próxima a vencer","🟢 En término"))))))))</f>
        <v/>
      </c>
      <c r="AJ185" s="42">
        <f>IF(OR($E198="",NOT(ISNUMBER($E198))),"",IF(ISNUMBER($AS198),MAX(0,INT($AS198)-INT($E198)),MAX(0,TODAY()-INT($E198))))</f>
        <v/>
      </c>
      <c r="AK185" s="30" t="n"/>
      <c r="AL185" s="30" t="n"/>
      <c r="AM185" s="30" t="n"/>
      <c r="AN185" s="39" t="n"/>
      <c r="AO185" s="30" t="n"/>
      <c r="AP185" s="30" t="n"/>
      <c r="AQ185" s="39" t="n"/>
      <c r="AR185" s="30" t="n"/>
      <c r="AS185" s="39" t="n"/>
      <c r="AT185" s="30">
        <f>IF(OR($AS198="",NOT(ISNUMBER($AS198)),$AH198=""),"",IF(INT($AS198)&lt;=$AH198,"A tiempo","Fuera de término"))</f>
        <v/>
      </c>
      <c r="AU185" s="40" t="n"/>
      <c r="AV185" s="40" t="n"/>
      <c r="AW185" s="40" t="n"/>
      <c r="AX185" s="40" t="n"/>
      <c r="AY185" s="30" t="n"/>
      <c r="AZ185" s="30" t="n"/>
      <c r="BA185" s="30" t="n"/>
    </row>
    <row r="186" ht="15.75" customHeight="1" s="57">
      <c r="A186" s="29" t="n"/>
      <c r="B186" s="30" t="n"/>
      <c r="C186" s="39" t="n"/>
      <c r="D186" s="39" t="n"/>
      <c r="E186" s="39" t="n"/>
      <c r="F186" s="40" t="n"/>
      <c r="G186" s="30" t="n"/>
      <c r="H186" s="30" t="n"/>
      <c r="I186" s="30" t="n"/>
      <c r="J186" s="30" t="n"/>
      <c r="K186" s="30" t="n"/>
      <c r="L186" s="30" t="n"/>
      <c r="M186" s="30" t="n"/>
      <c r="N186" s="30" t="n"/>
      <c r="O186" s="30" t="n"/>
      <c r="P186" s="30" t="n"/>
      <c r="Q186" s="30" t="n"/>
      <c r="R186" s="30" t="n"/>
      <c r="S186" s="30" t="n"/>
      <c r="T186" s="30" t="n"/>
      <c r="U186" s="30" t="n"/>
      <c r="V186" s="30" t="n"/>
      <c r="W186" s="30" t="n"/>
      <c r="X186" s="30" t="n"/>
      <c r="Y186" s="30" t="n"/>
      <c r="Z186" s="30" t="n"/>
      <c r="AA186" s="30" t="n"/>
      <c r="AB186" s="30" t="n"/>
      <c r="AC186" s="30" t="n"/>
      <c r="AD186" s="41" t="n"/>
      <c r="AE186" s="30" t="n"/>
      <c r="AF186" s="42">
        <f>IF($AA199="","",IF(LEFT(UPPER(TRIM($AA199)),8)="FELICITA","N/A",IF($AE199="","",IFERROR(VLOOKUP(UPPER(TRIM($AE199)),Config!$A$6:$D$8,2,FALSE),IFERROR(VLOOKUP(IF(LEFT(UPPER(TRIM($AE199)),5)="SUPER","SUPER SALUD",IF(LEFT(UPPER(TRIM($AE199)),8)="SECRETAR","SECRETARIA DE SALUD",IF(LEFT(UPPER(TRIM($AE199)),4)="SEDE","SEDE",UPPER(TRIM($AE199))))),Config!$A$6:$D$8,2,FALSE),"⚠")))))</f>
        <v/>
      </c>
      <c r="AG186" s="30">
        <f>IF($AA199="","",IF(LEFT(UPPER(TRIM($AA199)),8)="FELICITA","N/A",IF($AE199="","",IFERROR(VLOOKUP(UPPER(TRIM($AE199)),Config!$A$6:$D$8,3,FALSE),IFERROR(VLOOKUP(IF(LEFT(UPPER(TRIM($AE199)),5)="SUPER","SUPER SALUD",IF(LEFT(UPPER(TRIM($AE199)),8)="SECRETAR","SECRETARIA DE SALUD",IF(LEFT(UPPER(TRIM($AE199)),4)="SEDE","SEDE",UPPER(TRIM($AE199))))),Config!$A$6:$D$8,3,FALSE),"")))))</f>
        <v/>
      </c>
      <c r="AH186" s="39">
        <f>IF(OR($E199="",NOT(ISNUMBER($E199)),$AF199="",$AF199="N/A",NOT(ISNUMBER($AF199))),"",IF($AG199="Hábiles",WORKDAY(INT($E199),$AF199,Config!$F$6:$F$39),INT($E199)+$AF199))</f>
        <v/>
      </c>
      <c r="AI186" s="30">
        <f>IF($E199="","",IF(LEFT(UPPER(TRIM($AA199)),8)="FELICITA","⭐ Felicitación",IF(NOT(ISNUMBER($E199)),"⚠ Revisar fecha",IF(UPPER(TRIM($AK199))="RESPONDIDA - CERRADA","✅ Cerrada",IF($AE199="","⚠ Falta entidad",IF($AH199="","⚠ Revisar término",IF(TODAY()&gt;$AH199,"🔴 Vencida",IF($AH199-TODAY()&lt;=Config!$B$12,"🟡 Próxima a vencer","🟢 En término"))))))))</f>
        <v/>
      </c>
      <c r="AJ186" s="42">
        <f>IF(OR($E199="",NOT(ISNUMBER($E199))),"",IF(ISNUMBER($AS199),MAX(0,INT($AS199)-INT($E199)),MAX(0,TODAY()-INT($E199))))</f>
        <v/>
      </c>
      <c r="AK186" s="30" t="n"/>
      <c r="AL186" s="30" t="n"/>
      <c r="AM186" s="30" t="n"/>
      <c r="AN186" s="39" t="n"/>
      <c r="AO186" s="30" t="n"/>
      <c r="AP186" s="30" t="n"/>
      <c r="AQ186" s="39" t="n"/>
      <c r="AR186" s="30" t="n"/>
      <c r="AS186" s="39" t="n"/>
      <c r="AT186" s="30">
        <f>IF(OR($AS199="",NOT(ISNUMBER($AS199)),$AH199=""),"",IF(INT($AS199)&lt;=$AH199,"A tiempo","Fuera de término"))</f>
        <v/>
      </c>
      <c r="AU186" s="40" t="n"/>
      <c r="AV186" s="40" t="n"/>
      <c r="AW186" s="40" t="n"/>
      <c r="AX186" s="40" t="n"/>
      <c r="AY186" s="30" t="n"/>
      <c r="AZ186" s="30" t="n"/>
      <c r="BA186" s="30" t="n"/>
    </row>
    <row r="187" ht="15.75" customHeight="1" s="57">
      <c r="A187" s="29" t="n"/>
      <c r="B187" s="30" t="n"/>
      <c r="C187" s="39" t="n"/>
      <c r="D187" s="39" t="n"/>
      <c r="E187" s="39" t="n"/>
      <c r="F187" s="40" t="n"/>
      <c r="G187" s="30" t="n"/>
      <c r="H187" s="30" t="n"/>
      <c r="I187" s="30" t="n"/>
      <c r="J187" s="30" t="n"/>
      <c r="K187" s="30" t="n"/>
      <c r="L187" s="30" t="n"/>
      <c r="M187" s="30" t="n"/>
      <c r="N187" s="30" t="n"/>
      <c r="O187" s="30" t="n"/>
      <c r="P187" s="30" t="n"/>
      <c r="Q187" s="30" t="n"/>
      <c r="R187" s="30" t="n"/>
      <c r="S187" s="30" t="n"/>
      <c r="T187" s="30" t="n"/>
      <c r="U187" s="30" t="n"/>
      <c r="V187" s="30" t="n"/>
      <c r="W187" s="30" t="n"/>
      <c r="X187" s="30" t="n"/>
      <c r="Y187" s="30" t="n"/>
      <c r="Z187" s="30" t="n"/>
      <c r="AA187" s="30" t="n"/>
      <c r="AB187" s="30" t="n"/>
      <c r="AC187" s="30" t="n"/>
      <c r="AD187" s="41" t="n"/>
      <c r="AE187" s="30" t="n"/>
      <c r="AF187" s="42">
        <f>IF($AA200="","",IF(LEFT(UPPER(TRIM($AA200)),8)="FELICITA","N/A",IF($AE200="","",IFERROR(VLOOKUP(UPPER(TRIM($AE200)),Config!$A$6:$D$8,2,FALSE),IFERROR(VLOOKUP(IF(LEFT(UPPER(TRIM($AE200)),5)="SUPER","SUPER SALUD",IF(LEFT(UPPER(TRIM($AE200)),8)="SECRETAR","SECRETARIA DE SALUD",IF(LEFT(UPPER(TRIM($AE200)),4)="SEDE","SEDE",UPPER(TRIM($AE200))))),Config!$A$6:$D$8,2,FALSE),"⚠")))))</f>
        <v/>
      </c>
      <c r="AG187" s="30">
        <f>IF($AA200="","",IF(LEFT(UPPER(TRIM($AA200)),8)="FELICITA","N/A",IF($AE200="","",IFERROR(VLOOKUP(UPPER(TRIM($AE200)),Config!$A$6:$D$8,3,FALSE),IFERROR(VLOOKUP(IF(LEFT(UPPER(TRIM($AE200)),5)="SUPER","SUPER SALUD",IF(LEFT(UPPER(TRIM($AE200)),8)="SECRETAR","SECRETARIA DE SALUD",IF(LEFT(UPPER(TRIM($AE200)),4)="SEDE","SEDE",UPPER(TRIM($AE200))))),Config!$A$6:$D$8,3,FALSE),"")))))</f>
        <v/>
      </c>
      <c r="AH187" s="39">
        <f>IF(OR($E200="",NOT(ISNUMBER($E200)),$AF200="",$AF200="N/A",NOT(ISNUMBER($AF200))),"",IF($AG200="Hábiles",WORKDAY(INT($E200),$AF200,Config!$F$6:$F$39),INT($E200)+$AF200))</f>
        <v/>
      </c>
      <c r="AI187" s="30">
        <f>IF($E200="","",IF(LEFT(UPPER(TRIM($AA200)),8)="FELICITA","⭐ Felicitación",IF(NOT(ISNUMBER($E200)),"⚠ Revisar fecha",IF(UPPER(TRIM($AK200))="RESPONDIDA - CERRADA","✅ Cerrada",IF($AE200="","⚠ Falta entidad",IF($AH200="","⚠ Revisar término",IF(TODAY()&gt;$AH200,"🔴 Vencida",IF($AH200-TODAY()&lt;=Config!$B$12,"🟡 Próxima a vencer","🟢 En término"))))))))</f>
        <v/>
      </c>
      <c r="AJ187" s="42">
        <f>IF(OR($E200="",NOT(ISNUMBER($E200))),"",IF(ISNUMBER($AS200),MAX(0,INT($AS200)-INT($E200)),MAX(0,TODAY()-INT($E200))))</f>
        <v/>
      </c>
      <c r="AK187" s="30" t="n"/>
      <c r="AL187" s="30" t="n"/>
      <c r="AM187" s="30" t="n"/>
      <c r="AN187" s="39" t="n"/>
      <c r="AO187" s="30" t="n"/>
      <c r="AP187" s="30" t="n"/>
      <c r="AQ187" s="39" t="n"/>
      <c r="AR187" s="30" t="n"/>
      <c r="AS187" s="39" t="n"/>
      <c r="AT187" s="30">
        <f>IF(OR($AS200="",NOT(ISNUMBER($AS200)),$AH200=""),"",IF(INT($AS200)&lt;=$AH200,"A tiempo","Fuera de término"))</f>
        <v/>
      </c>
      <c r="AU187" s="40" t="n"/>
      <c r="AV187" s="40" t="n"/>
      <c r="AW187" s="40" t="n"/>
      <c r="AX187" s="40" t="n"/>
      <c r="AY187" s="30" t="n"/>
      <c r="AZ187" s="30" t="n"/>
      <c r="BA187" s="30" t="n"/>
    </row>
    <row r="188" ht="15.75" customHeight="1" s="57">
      <c r="A188" s="29" t="n"/>
      <c r="B188" s="30" t="n"/>
      <c r="C188" s="39" t="n"/>
      <c r="D188" s="39" t="n"/>
      <c r="E188" s="39" t="n"/>
      <c r="F188" s="40" t="n"/>
      <c r="G188" s="30" t="n"/>
      <c r="H188" s="30" t="n"/>
      <c r="I188" s="30" t="n"/>
      <c r="J188" s="30" t="n"/>
      <c r="K188" s="30" t="n"/>
      <c r="L188" s="30" t="n"/>
      <c r="M188" s="30" t="n"/>
      <c r="N188" s="30" t="n"/>
      <c r="O188" s="30" t="n"/>
      <c r="P188" s="30" t="n"/>
      <c r="Q188" s="30" t="n"/>
      <c r="R188" s="30" t="n"/>
      <c r="S188" s="30" t="n"/>
      <c r="T188" s="30" t="n"/>
      <c r="U188" s="30" t="n"/>
      <c r="V188" s="30" t="n"/>
      <c r="W188" s="30" t="n"/>
      <c r="X188" s="30" t="n"/>
      <c r="Y188" s="30" t="n"/>
      <c r="Z188" s="30" t="n"/>
      <c r="AA188" s="30" t="n"/>
      <c r="AB188" s="30" t="n"/>
      <c r="AC188" s="30" t="n"/>
      <c r="AD188" s="41" t="n"/>
      <c r="AE188" s="30" t="n"/>
      <c r="AF188" s="42">
        <f>IF($AA201="","",IF(LEFT(UPPER(TRIM($AA201)),8)="FELICITA","N/A",IF($AE201="","",IFERROR(VLOOKUP(UPPER(TRIM($AE201)),Config!$A$6:$D$8,2,FALSE),IFERROR(VLOOKUP(IF(LEFT(UPPER(TRIM($AE201)),5)="SUPER","SUPER SALUD",IF(LEFT(UPPER(TRIM($AE201)),8)="SECRETAR","SECRETARIA DE SALUD",IF(LEFT(UPPER(TRIM($AE201)),4)="SEDE","SEDE",UPPER(TRIM($AE201))))),Config!$A$6:$D$8,2,FALSE),"⚠")))))</f>
        <v/>
      </c>
      <c r="AG188" s="30">
        <f>IF($AA201="","",IF(LEFT(UPPER(TRIM($AA201)),8)="FELICITA","N/A",IF($AE201="","",IFERROR(VLOOKUP(UPPER(TRIM($AE201)),Config!$A$6:$D$8,3,FALSE),IFERROR(VLOOKUP(IF(LEFT(UPPER(TRIM($AE201)),5)="SUPER","SUPER SALUD",IF(LEFT(UPPER(TRIM($AE201)),8)="SECRETAR","SECRETARIA DE SALUD",IF(LEFT(UPPER(TRIM($AE201)),4)="SEDE","SEDE",UPPER(TRIM($AE201))))),Config!$A$6:$D$8,3,FALSE),"")))))</f>
        <v/>
      </c>
      <c r="AH188" s="39">
        <f>IF(OR($E201="",NOT(ISNUMBER($E201)),$AF201="",$AF201="N/A",NOT(ISNUMBER($AF201))),"",IF($AG201="Hábiles",WORKDAY(INT($E201),$AF201,Config!$F$6:$F$39),INT($E201)+$AF201))</f>
        <v/>
      </c>
      <c r="AI188" s="30">
        <f>IF($E201="","",IF(LEFT(UPPER(TRIM($AA201)),8)="FELICITA","⭐ Felicitación",IF(NOT(ISNUMBER($E201)),"⚠ Revisar fecha",IF(UPPER(TRIM($AK201))="RESPONDIDA - CERRADA","✅ Cerrada",IF($AE201="","⚠ Falta entidad",IF($AH201="","⚠ Revisar término",IF(TODAY()&gt;$AH201,"🔴 Vencida",IF($AH201-TODAY()&lt;=Config!$B$12,"🟡 Próxima a vencer","🟢 En término"))))))))</f>
        <v/>
      </c>
      <c r="AJ188" s="42">
        <f>IF(OR($E201="",NOT(ISNUMBER($E201))),"",IF(ISNUMBER($AS201),MAX(0,INT($AS201)-INT($E201)),MAX(0,TODAY()-INT($E201))))</f>
        <v/>
      </c>
      <c r="AK188" s="30" t="n"/>
      <c r="AL188" s="30" t="n"/>
      <c r="AM188" s="30" t="n"/>
      <c r="AN188" s="39" t="n"/>
      <c r="AO188" s="30" t="n"/>
      <c r="AP188" s="30" t="n"/>
      <c r="AQ188" s="39" t="n"/>
      <c r="AR188" s="30" t="n"/>
      <c r="AS188" s="39" t="n"/>
      <c r="AT188" s="30">
        <f>IF(OR($AS201="",NOT(ISNUMBER($AS201)),$AH201=""),"",IF(INT($AS201)&lt;=$AH201,"A tiempo","Fuera de término"))</f>
        <v/>
      </c>
      <c r="AU188" s="40" t="n"/>
      <c r="AV188" s="40" t="n"/>
      <c r="AW188" s="40" t="n"/>
      <c r="AX188" s="40" t="n"/>
      <c r="AY188" s="30" t="n"/>
      <c r="AZ188" s="30" t="n"/>
      <c r="BA188" s="30" t="n"/>
    </row>
    <row r="189" ht="15.75" customHeight="1" s="57">
      <c r="A189" s="29" t="n"/>
      <c r="B189" s="30" t="n"/>
      <c r="C189" s="39" t="n"/>
      <c r="D189" s="39" t="n"/>
      <c r="E189" s="39" t="n"/>
      <c r="F189" s="40" t="n"/>
      <c r="G189" s="30" t="n"/>
      <c r="H189" s="30" t="n"/>
      <c r="I189" s="30" t="n"/>
      <c r="J189" s="30" t="n"/>
      <c r="K189" s="30" t="n"/>
      <c r="L189" s="30" t="n"/>
      <c r="M189" s="30" t="n"/>
      <c r="N189" s="30" t="n"/>
      <c r="O189" s="30" t="n"/>
      <c r="P189" s="30" t="n"/>
      <c r="Q189" s="30" t="n"/>
      <c r="R189" s="30" t="n"/>
      <c r="S189" s="30" t="n"/>
      <c r="T189" s="30" t="n"/>
      <c r="U189" s="30" t="n"/>
      <c r="V189" s="30" t="n"/>
      <c r="W189" s="30" t="n"/>
      <c r="X189" s="30" t="n"/>
      <c r="Y189" s="30" t="n"/>
      <c r="Z189" s="30" t="n"/>
      <c r="AA189" s="30" t="n"/>
      <c r="AB189" s="30" t="n"/>
      <c r="AC189" s="30" t="n"/>
      <c r="AD189" s="41" t="n"/>
      <c r="AE189" s="30" t="n"/>
      <c r="AF189" s="42">
        <f>IF($AA202="","",IF(LEFT(UPPER(TRIM($AA202)),8)="FELICITA","N/A",IF($AE202="","",IFERROR(VLOOKUP(UPPER(TRIM($AE202)),Config!$A$6:$D$8,2,FALSE),IFERROR(VLOOKUP(IF(LEFT(UPPER(TRIM($AE202)),5)="SUPER","SUPER SALUD",IF(LEFT(UPPER(TRIM($AE202)),8)="SECRETAR","SECRETARIA DE SALUD",IF(LEFT(UPPER(TRIM($AE202)),4)="SEDE","SEDE",UPPER(TRIM($AE202))))),Config!$A$6:$D$8,2,FALSE),"⚠")))))</f>
        <v/>
      </c>
      <c r="AG189" s="30">
        <f>IF($AA202="","",IF(LEFT(UPPER(TRIM($AA202)),8)="FELICITA","N/A",IF($AE202="","",IFERROR(VLOOKUP(UPPER(TRIM($AE202)),Config!$A$6:$D$8,3,FALSE),IFERROR(VLOOKUP(IF(LEFT(UPPER(TRIM($AE202)),5)="SUPER","SUPER SALUD",IF(LEFT(UPPER(TRIM($AE202)),8)="SECRETAR","SECRETARIA DE SALUD",IF(LEFT(UPPER(TRIM($AE202)),4)="SEDE","SEDE",UPPER(TRIM($AE202))))),Config!$A$6:$D$8,3,FALSE),"")))))</f>
        <v/>
      </c>
      <c r="AH189" s="39">
        <f>IF(OR($E202="",NOT(ISNUMBER($E202)),$AF202="",$AF202="N/A",NOT(ISNUMBER($AF202))),"",IF($AG202="Hábiles",WORKDAY(INT($E202),$AF202,Config!$F$6:$F$39),INT($E202)+$AF202))</f>
        <v/>
      </c>
      <c r="AI189" s="30">
        <f>IF($E202="","",IF(LEFT(UPPER(TRIM($AA202)),8)="FELICITA","⭐ Felicitación",IF(NOT(ISNUMBER($E202)),"⚠ Revisar fecha",IF(UPPER(TRIM($AK202))="RESPONDIDA - CERRADA","✅ Cerrada",IF($AE202="","⚠ Falta entidad",IF($AH202="","⚠ Revisar término",IF(TODAY()&gt;$AH202,"🔴 Vencida",IF($AH202-TODAY()&lt;=Config!$B$12,"🟡 Próxima a vencer","🟢 En término"))))))))</f>
        <v/>
      </c>
      <c r="AJ189" s="42">
        <f>IF(OR($E202="",NOT(ISNUMBER($E202))),"",IF(ISNUMBER($AS202),MAX(0,INT($AS202)-INT($E202)),MAX(0,TODAY()-INT($E202))))</f>
        <v/>
      </c>
      <c r="AK189" s="30" t="n"/>
      <c r="AL189" s="30" t="n"/>
      <c r="AM189" s="30" t="n"/>
      <c r="AN189" s="39" t="n"/>
      <c r="AO189" s="30" t="n"/>
      <c r="AP189" s="30" t="n"/>
      <c r="AQ189" s="39" t="n"/>
      <c r="AR189" s="30" t="n"/>
      <c r="AS189" s="39" t="n"/>
      <c r="AT189" s="30">
        <f>IF(OR($AS202="",NOT(ISNUMBER($AS202)),$AH202=""),"",IF(INT($AS202)&lt;=$AH202,"A tiempo","Fuera de término"))</f>
        <v/>
      </c>
      <c r="AU189" s="40" t="n"/>
      <c r="AV189" s="40" t="n"/>
      <c r="AW189" s="40" t="n"/>
      <c r="AX189" s="40" t="n"/>
      <c r="AY189" s="30" t="n"/>
      <c r="AZ189" s="30" t="n"/>
      <c r="BA189" s="30" t="n"/>
    </row>
    <row r="190" ht="15.75" customHeight="1" s="57">
      <c r="A190" s="29" t="n"/>
      <c r="B190" s="30" t="n"/>
      <c r="C190" s="39" t="n"/>
      <c r="D190" s="39" t="n"/>
      <c r="E190" s="39" t="n"/>
      <c r="F190" s="40" t="n"/>
      <c r="G190" s="30" t="n"/>
      <c r="H190" s="30" t="n"/>
      <c r="I190" s="30" t="n"/>
      <c r="J190" s="30" t="n"/>
      <c r="K190" s="30" t="n"/>
      <c r="L190" s="30" t="n"/>
      <c r="M190" s="30" t="n"/>
      <c r="N190" s="30" t="n"/>
      <c r="O190" s="30" t="n"/>
      <c r="P190" s="30" t="n"/>
      <c r="Q190" s="30" t="n"/>
      <c r="R190" s="30" t="n"/>
      <c r="S190" s="30" t="n"/>
      <c r="T190" s="30" t="n"/>
      <c r="U190" s="30" t="n"/>
      <c r="V190" s="30" t="n"/>
      <c r="W190" s="30" t="n"/>
      <c r="X190" s="30" t="n"/>
      <c r="Y190" s="30" t="n"/>
      <c r="Z190" s="30" t="n"/>
      <c r="AA190" s="30" t="n"/>
      <c r="AB190" s="30" t="n"/>
      <c r="AC190" s="30" t="n"/>
      <c r="AD190" s="41" t="n"/>
      <c r="AE190" s="30" t="n"/>
      <c r="AF190" s="42">
        <f>IF($AA203="","",IF(LEFT(UPPER(TRIM($AA203)),8)="FELICITA","N/A",IF($AE203="","",IFERROR(VLOOKUP(UPPER(TRIM($AE203)),Config!$A$6:$D$8,2,FALSE),IFERROR(VLOOKUP(IF(LEFT(UPPER(TRIM($AE203)),5)="SUPER","SUPER SALUD",IF(LEFT(UPPER(TRIM($AE203)),8)="SECRETAR","SECRETARIA DE SALUD",IF(LEFT(UPPER(TRIM($AE203)),4)="SEDE","SEDE",UPPER(TRIM($AE203))))),Config!$A$6:$D$8,2,FALSE),"⚠")))))</f>
        <v/>
      </c>
      <c r="AG190" s="30">
        <f>IF($AA203="","",IF(LEFT(UPPER(TRIM($AA203)),8)="FELICITA","N/A",IF($AE203="","",IFERROR(VLOOKUP(UPPER(TRIM($AE203)),Config!$A$6:$D$8,3,FALSE),IFERROR(VLOOKUP(IF(LEFT(UPPER(TRIM($AE203)),5)="SUPER","SUPER SALUD",IF(LEFT(UPPER(TRIM($AE203)),8)="SECRETAR","SECRETARIA DE SALUD",IF(LEFT(UPPER(TRIM($AE203)),4)="SEDE","SEDE",UPPER(TRIM($AE203))))),Config!$A$6:$D$8,3,FALSE),"")))))</f>
        <v/>
      </c>
      <c r="AH190" s="39">
        <f>IF(OR($E203="",NOT(ISNUMBER($E203)),$AF203="",$AF203="N/A",NOT(ISNUMBER($AF203))),"",IF($AG203="Hábiles",WORKDAY(INT($E203),$AF203,Config!$F$6:$F$39),INT($E203)+$AF203))</f>
        <v/>
      </c>
      <c r="AI190" s="30">
        <f>IF($E203="","",IF(LEFT(UPPER(TRIM($AA203)),8)="FELICITA","⭐ Felicitación",IF(NOT(ISNUMBER($E203)),"⚠ Revisar fecha",IF(UPPER(TRIM($AK203))="RESPONDIDA - CERRADA","✅ Cerrada",IF($AE203="","⚠ Falta entidad",IF($AH203="","⚠ Revisar término",IF(TODAY()&gt;$AH203,"🔴 Vencida",IF($AH203-TODAY()&lt;=Config!$B$12,"🟡 Próxima a vencer","🟢 En término"))))))))</f>
        <v/>
      </c>
      <c r="AJ190" s="42">
        <f>IF(OR($E203="",NOT(ISNUMBER($E203))),"",IF(ISNUMBER($AS203),MAX(0,INT($AS203)-INT($E203)),MAX(0,TODAY()-INT($E203))))</f>
        <v/>
      </c>
      <c r="AK190" s="30" t="n"/>
      <c r="AL190" s="30" t="n"/>
      <c r="AM190" s="30" t="n"/>
      <c r="AN190" s="39" t="n"/>
      <c r="AO190" s="30" t="n"/>
      <c r="AP190" s="30" t="n"/>
      <c r="AQ190" s="39" t="n"/>
      <c r="AR190" s="30" t="n"/>
      <c r="AS190" s="39" t="n"/>
      <c r="AT190" s="30">
        <f>IF(OR($AS203="",NOT(ISNUMBER($AS203)),$AH203=""),"",IF(INT($AS203)&lt;=$AH203,"A tiempo","Fuera de término"))</f>
        <v/>
      </c>
      <c r="AU190" s="40" t="n"/>
      <c r="AV190" s="40" t="n"/>
      <c r="AW190" s="40" t="n"/>
      <c r="AX190" s="40" t="n"/>
      <c r="AY190" s="30" t="n"/>
      <c r="AZ190" s="30" t="n"/>
      <c r="BA190" s="30" t="n"/>
    </row>
    <row r="191" ht="15.75" customHeight="1" s="57">
      <c r="A191" s="29" t="n"/>
      <c r="B191" s="30" t="n"/>
      <c r="C191" s="39" t="n"/>
      <c r="D191" s="39" t="n"/>
      <c r="E191" s="39" t="n"/>
      <c r="F191" s="40" t="n"/>
      <c r="G191" s="30" t="n"/>
      <c r="H191" s="30" t="n"/>
      <c r="I191" s="30" t="n"/>
      <c r="J191" s="30" t="n"/>
      <c r="K191" s="30" t="n"/>
      <c r="L191" s="30" t="n"/>
      <c r="M191" s="30" t="n"/>
      <c r="N191" s="30" t="n"/>
      <c r="O191" s="30" t="n"/>
      <c r="P191" s="30" t="n"/>
      <c r="Q191" s="30" t="n"/>
      <c r="R191" s="30" t="n"/>
      <c r="S191" s="30" t="n"/>
      <c r="T191" s="30" t="n"/>
      <c r="U191" s="30" t="n"/>
      <c r="V191" s="30" t="n"/>
      <c r="W191" s="30" t="n"/>
      <c r="X191" s="30" t="n"/>
      <c r="Y191" s="30" t="n"/>
      <c r="Z191" s="30" t="n"/>
      <c r="AA191" s="30" t="n"/>
      <c r="AB191" s="30" t="n"/>
      <c r="AC191" s="30" t="n"/>
      <c r="AD191" s="41" t="n"/>
      <c r="AE191" s="30" t="n"/>
      <c r="AF191" s="42">
        <f>IF($AA204="","",IF(LEFT(UPPER(TRIM($AA204)),8)="FELICITA","N/A",IF($AE204="","",IFERROR(VLOOKUP(UPPER(TRIM($AE204)),Config!$A$6:$D$8,2,FALSE),IFERROR(VLOOKUP(IF(LEFT(UPPER(TRIM($AE204)),5)="SUPER","SUPER SALUD",IF(LEFT(UPPER(TRIM($AE204)),8)="SECRETAR","SECRETARIA DE SALUD",IF(LEFT(UPPER(TRIM($AE204)),4)="SEDE","SEDE",UPPER(TRIM($AE204))))),Config!$A$6:$D$8,2,FALSE),"⚠")))))</f>
        <v/>
      </c>
      <c r="AG191" s="30">
        <f>IF($AA204="","",IF(LEFT(UPPER(TRIM($AA204)),8)="FELICITA","N/A",IF($AE204="","",IFERROR(VLOOKUP(UPPER(TRIM($AE204)),Config!$A$6:$D$8,3,FALSE),IFERROR(VLOOKUP(IF(LEFT(UPPER(TRIM($AE204)),5)="SUPER","SUPER SALUD",IF(LEFT(UPPER(TRIM($AE204)),8)="SECRETAR","SECRETARIA DE SALUD",IF(LEFT(UPPER(TRIM($AE204)),4)="SEDE","SEDE",UPPER(TRIM($AE204))))),Config!$A$6:$D$8,3,FALSE),"")))))</f>
        <v/>
      </c>
      <c r="AH191" s="39">
        <f>IF(OR($E204="",NOT(ISNUMBER($E204)),$AF204="",$AF204="N/A",NOT(ISNUMBER($AF204))),"",IF($AG204="Hábiles",WORKDAY(INT($E204),$AF204,Config!$F$6:$F$39),INT($E204)+$AF204))</f>
        <v/>
      </c>
      <c r="AI191" s="30">
        <f>IF($E204="","",IF(LEFT(UPPER(TRIM($AA204)),8)="FELICITA","⭐ Felicitación",IF(NOT(ISNUMBER($E204)),"⚠ Revisar fecha",IF(UPPER(TRIM($AK204))="RESPONDIDA - CERRADA","✅ Cerrada",IF($AE204="","⚠ Falta entidad",IF($AH204="","⚠ Revisar término",IF(TODAY()&gt;$AH204,"🔴 Vencida",IF($AH204-TODAY()&lt;=Config!$B$12,"🟡 Próxima a vencer","🟢 En término"))))))))</f>
        <v/>
      </c>
      <c r="AJ191" s="42">
        <f>IF(OR($E204="",NOT(ISNUMBER($E204))),"",IF(ISNUMBER($AS204),MAX(0,INT($AS204)-INT($E204)),MAX(0,TODAY()-INT($E204))))</f>
        <v/>
      </c>
      <c r="AK191" s="30" t="n"/>
      <c r="AL191" s="30" t="n"/>
      <c r="AM191" s="30" t="n"/>
      <c r="AN191" s="39" t="n"/>
      <c r="AO191" s="30" t="n"/>
      <c r="AP191" s="30" t="n"/>
      <c r="AQ191" s="39" t="n"/>
      <c r="AR191" s="30" t="n"/>
      <c r="AS191" s="39" t="n"/>
      <c r="AT191" s="30">
        <f>IF(OR($AS204="",NOT(ISNUMBER($AS204)),$AH204=""),"",IF(INT($AS204)&lt;=$AH204,"A tiempo","Fuera de término"))</f>
        <v/>
      </c>
      <c r="AU191" s="40" t="n"/>
      <c r="AV191" s="40" t="n"/>
      <c r="AW191" s="40" t="n"/>
      <c r="AX191" s="40" t="n"/>
      <c r="AY191" s="30" t="n"/>
      <c r="AZ191" s="30" t="n"/>
      <c r="BA191" s="30" t="n"/>
    </row>
    <row r="192" ht="15.75" customHeight="1" s="57">
      <c r="A192" s="29" t="n"/>
      <c r="B192" s="30" t="n"/>
      <c r="C192" s="39" t="n"/>
      <c r="D192" s="39" t="n"/>
      <c r="E192" s="39" t="n"/>
      <c r="F192" s="40" t="n"/>
      <c r="G192" s="30" t="n"/>
      <c r="H192" s="30" t="n"/>
      <c r="I192" s="30" t="n"/>
      <c r="J192" s="30" t="n"/>
      <c r="K192" s="30" t="n"/>
      <c r="L192" s="30" t="n"/>
      <c r="M192" s="30" t="n"/>
      <c r="N192" s="30" t="n"/>
      <c r="O192" s="30" t="n"/>
      <c r="P192" s="30" t="n"/>
      <c r="Q192" s="30" t="n"/>
      <c r="R192" s="30" t="n"/>
      <c r="S192" s="30" t="n"/>
      <c r="T192" s="30" t="n"/>
      <c r="U192" s="30" t="n"/>
      <c r="V192" s="30" t="n"/>
      <c r="W192" s="30" t="n"/>
      <c r="X192" s="30" t="n"/>
      <c r="Y192" s="30" t="n"/>
      <c r="Z192" s="30" t="n"/>
      <c r="AA192" s="30" t="n"/>
      <c r="AB192" s="30" t="n"/>
      <c r="AC192" s="30" t="n"/>
      <c r="AD192" s="41" t="n"/>
      <c r="AE192" s="30" t="n"/>
      <c r="AF192" s="42">
        <f>IF($AA205="","",IF(LEFT(UPPER(TRIM($AA205)),8)="FELICITA","N/A",IF($AE205="","",IFERROR(VLOOKUP(UPPER(TRIM($AE205)),Config!$A$6:$D$8,2,FALSE),IFERROR(VLOOKUP(IF(LEFT(UPPER(TRIM($AE205)),5)="SUPER","SUPER SALUD",IF(LEFT(UPPER(TRIM($AE205)),8)="SECRETAR","SECRETARIA DE SALUD",IF(LEFT(UPPER(TRIM($AE205)),4)="SEDE","SEDE",UPPER(TRIM($AE205))))),Config!$A$6:$D$8,2,FALSE),"⚠")))))</f>
        <v/>
      </c>
      <c r="AG192" s="30">
        <f>IF($AA205="","",IF(LEFT(UPPER(TRIM($AA205)),8)="FELICITA","N/A",IF($AE205="","",IFERROR(VLOOKUP(UPPER(TRIM($AE205)),Config!$A$6:$D$8,3,FALSE),IFERROR(VLOOKUP(IF(LEFT(UPPER(TRIM($AE205)),5)="SUPER","SUPER SALUD",IF(LEFT(UPPER(TRIM($AE205)),8)="SECRETAR","SECRETARIA DE SALUD",IF(LEFT(UPPER(TRIM($AE205)),4)="SEDE","SEDE",UPPER(TRIM($AE205))))),Config!$A$6:$D$8,3,FALSE),"")))))</f>
        <v/>
      </c>
      <c r="AH192" s="39">
        <f>IF(OR($E205="",NOT(ISNUMBER($E205)),$AF205="",$AF205="N/A",NOT(ISNUMBER($AF205))),"",IF($AG205="Hábiles",WORKDAY(INT($E205),$AF205,Config!$F$6:$F$39),INT($E205)+$AF205))</f>
        <v/>
      </c>
      <c r="AI192" s="30">
        <f>IF($E205="","",IF(LEFT(UPPER(TRIM($AA205)),8)="FELICITA","⭐ Felicitación",IF(NOT(ISNUMBER($E205)),"⚠ Revisar fecha",IF(UPPER(TRIM($AK205))="RESPONDIDA - CERRADA","✅ Cerrada",IF($AE205="","⚠ Falta entidad",IF($AH205="","⚠ Revisar término",IF(TODAY()&gt;$AH205,"🔴 Vencida",IF($AH205-TODAY()&lt;=Config!$B$12,"🟡 Próxima a vencer","🟢 En término"))))))))</f>
        <v/>
      </c>
      <c r="AJ192" s="42">
        <f>IF(OR($E205="",NOT(ISNUMBER($E205))),"",IF(ISNUMBER($AS205),MAX(0,INT($AS205)-INT($E205)),MAX(0,TODAY()-INT($E205))))</f>
        <v/>
      </c>
      <c r="AK192" s="30" t="n"/>
      <c r="AL192" s="30" t="n"/>
      <c r="AM192" s="30" t="n"/>
      <c r="AN192" s="39" t="n"/>
      <c r="AO192" s="30" t="n"/>
      <c r="AP192" s="30" t="n"/>
      <c r="AQ192" s="39" t="n"/>
      <c r="AR192" s="30" t="n"/>
      <c r="AS192" s="39" t="n"/>
      <c r="AT192" s="30">
        <f>IF(OR($AS205="",NOT(ISNUMBER($AS205)),$AH205=""),"",IF(INT($AS205)&lt;=$AH205,"A tiempo","Fuera de término"))</f>
        <v/>
      </c>
      <c r="AU192" s="40" t="n"/>
      <c r="AV192" s="40" t="n"/>
      <c r="AW192" s="40" t="n"/>
      <c r="AX192" s="40" t="n"/>
      <c r="AY192" s="30" t="n"/>
      <c r="AZ192" s="30" t="n"/>
      <c r="BA192" s="30" t="n"/>
    </row>
    <row r="193" ht="15.75" customHeight="1" s="57">
      <c r="A193" s="29" t="n"/>
      <c r="B193" s="30" t="n"/>
      <c r="C193" s="39" t="n"/>
      <c r="D193" s="39" t="n"/>
      <c r="E193" s="39" t="n"/>
      <c r="F193" s="40" t="n"/>
      <c r="G193" s="30" t="n"/>
      <c r="H193" s="30" t="n"/>
      <c r="I193" s="30" t="n"/>
      <c r="J193" s="30" t="n"/>
      <c r="K193" s="30" t="n"/>
      <c r="L193" s="30" t="n"/>
      <c r="M193" s="30" t="n"/>
      <c r="N193" s="30" t="n"/>
      <c r="O193" s="30" t="n"/>
      <c r="P193" s="30" t="n"/>
      <c r="Q193" s="30" t="n"/>
      <c r="R193" s="30" t="n"/>
      <c r="S193" s="30" t="n"/>
      <c r="T193" s="30" t="n"/>
      <c r="U193" s="30" t="n"/>
      <c r="V193" s="30" t="n"/>
      <c r="W193" s="30" t="n"/>
      <c r="X193" s="30" t="n"/>
      <c r="Y193" s="30" t="n"/>
      <c r="Z193" s="30" t="n"/>
      <c r="AA193" s="30" t="n"/>
      <c r="AB193" s="30" t="n"/>
      <c r="AC193" s="30" t="n"/>
      <c r="AD193" s="41" t="n"/>
      <c r="AE193" s="30" t="n"/>
      <c r="AF193" s="42">
        <f>IF($AA206="","",IF(LEFT(UPPER(TRIM($AA206)),8)="FELICITA","N/A",IF($AE206="","",IFERROR(VLOOKUP(UPPER(TRIM($AE206)),Config!$A$6:$D$8,2,FALSE),IFERROR(VLOOKUP(IF(LEFT(UPPER(TRIM($AE206)),5)="SUPER","SUPER SALUD",IF(LEFT(UPPER(TRIM($AE206)),8)="SECRETAR","SECRETARIA DE SALUD",IF(LEFT(UPPER(TRIM($AE206)),4)="SEDE","SEDE",UPPER(TRIM($AE206))))),Config!$A$6:$D$8,2,FALSE),"⚠")))))</f>
        <v/>
      </c>
      <c r="AG193" s="30">
        <f>IF($AA206="","",IF(LEFT(UPPER(TRIM($AA206)),8)="FELICITA","N/A",IF($AE206="","",IFERROR(VLOOKUP(UPPER(TRIM($AE206)),Config!$A$6:$D$8,3,FALSE),IFERROR(VLOOKUP(IF(LEFT(UPPER(TRIM($AE206)),5)="SUPER","SUPER SALUD",IF(LEFT(UPPER(TRIM($AE206)),8)="SECRETAR","SECRETARIA DE SALUD",IF(LEFT(UPPER(TRIM($AE206)),4)="SEDE","SEDE",UPPER(TRIM($AE206))))),Config!$A$6:$D$8,3,FALSE),"")))))</f>
        <v/>
      </c>
      <c r="AH193" s="39">
        <f>IF(OR($E206="",NOT(ISNUMBER($E206)),$AF206="",$AF206="N/A",NOT(ISNUMBER($AF206))),"",IF($AG206="Hábiles",WORKDAY(INT($E206),$AF206,Config!$F$6:$F$39),INT($E206)+$AF206))</f>
        <v/>
      </c>
      <c r="AI193" s="30">
        <f>IF($E206="","",IF(LEFT(UPPER(TRIM($AA206)),8)="FELICITA","⭐ Felicitación",IF(NOT(ISNUMBER($E206)),"⚠ Revisar fecha",IF(UPPER(TRIM($AK206))="RESPONDIDA - CERRADA","✅ Cerrada",IF($AE206="","⚠ Falta entidad",IF($AH206="","⚠ Revisar término",IF(TODAY()&gt;$AH206,"🔴 Vencida",IF($AH206-TODAY()&lt;=Config!$B$12,"🟡 Próxima a vencer","🟢 En término"))))))))</f>
        <v/>
      </c>
      <c r="AJ193" s="42">
        <f>IF(OR($E206="",NOT(ISNUMBER($E206))),"",IF(ISNUMBER($AS206),MAX(0,INT($AS206)-INT($E206)),MAX(0,TODAY()-INT($E206))))</f>
        <v/>
      </c>
      <c r="AK193" s="30" t="n"/>
      <c r="AL193" s="30" t="n"/>
      <c r="AM193" s="30" t="n"/>
      <c r="AN193" s="39" t="n"/>
      <c r="AO193" s="30" t="n"/>
      <c r="AP193" s="30" t="n"/>
      <c r="AQ193" s="39" t="n"/>
      <c r="AR193" s="30" t="n"/>
      <c r="AS193" s="39" t="n"/>
      <c r="AT193" s="30">
        <f>IF(OR($AS206="",NOT(ISNUMBER($AS206)),$AH206=""),"",IF(INT($AS206)&lt;=$AH206,"A tiempo","Fuera de término"))</f>
        <v/>
      </c>
      <c r="AU193" s="40" t="n"/>
      <c r="AV193" s="40" t="n"/>
      <c r="AW193" s="40" t="n"/>
      <c r="AX193" s="40" t="n"/>
      <c r="AY193" s="30" t="n"/>
      <c r="AZ193" s="30" t="n"/>
      <c r="BA193" s="30" t="n"/>
    </row>
    <row r="194" ht="15.75" customHeight="1" s="57">
      <c r="A194" s="29" t="n"/>
      <c r="B194" s="30" t="n"/>
      <c r="C194" s="39" t="n"/>
      <c r="D194" s="39" t="n"/>
      <c r="E194" s="39" t="n"/>
      <c r="F194" s="40" t="n"/>
      <c r="G194" s="30" t="n"/>
      <c r="H194" s="30" t="n"/>
      <c r="I194" s="30" t="n"/>
      <c r="J194" s="30" t="n"/>
      <c r="K194" s="30" t="n"/>
      <c r="L194" s="30" t="n"/>
      <c r="M194" s="30" t="n"/>
      <c r="N194" s="30" t="n"/>
      <c r="O194" s="30" t="n"/>
      <c r="P194" s="30" t="n"/>
      <c r="Q194" s="30" t="n"/>
      <c r="R194" s="30" t="n"/>
      <c r="S194" s="30" t="n"/>
      <c r="T194" s="30" t="n"/>
      <c r="U194" s="30" t="n"/>
      <c r="V194" s="30" t="n"/>
      <c r="W194" s="30" t="n"/>
      <c r="X194" s="30" t="n"/>
      <c r="Y194" s="30" t="n"/>
      <c r="Z194" s="30" t="n"/>
      <c r="AA194" s="30" t="n"/>
      <c r="AB194" s="30" t="n"/>
      <c r="AC194" s="30" t="n"/>
      <c r="AD194" s="41" t="n"/>
      <c r="AE194" s="30" t="n"/>
      <c r="AF194" s="42">
        <f>IF($AA207="","",IF(LEFT(UPPER(TRIM($AA207)),8)="FELICITA","N/A",IF($AE207="","",IFERROR(VLOOKUP(UPPER(TRIM($AE207)),Config!$A$6:$D$8,2,FALSE),IFERROR(VLOOKUP(IF(LEFT(UPPER(TRIM($AE207)),5)="SUPER","SUPER SALUD",IF(LEFT(UPPER(TRIM($AE207)),8)="SECRETAR","SECRETARIA DE SALUD",IF(LEFT(UPPER(TRIM($AE207)),4)="SEDE","SEDE",UPPER(TRIM($AE207))))),Config!$A$6:$D$8,2,FALSE),"⚠")))))</f>
        <v/>
      </c>
      <c r="AG194" s="30">
        <f>IF($AA207="","",IF(LEFT(UPPER(TRIM($AA207)),8)="FELICITA","N/A",IF($AE207="","",IFERROR(VLOOKUP(UPPER(TRIM($AE207)),Config!$A$6:$D$8,3,FALSE),IFERROR(VLOOKUP(IF(LEFT(UPPER(TRIM($AE207)),5)="SUPER","SUPER SALUD",IF(LEFT(UPPER(TRIM($AE207)),8)="SECRETAR","SECRETARIA DE SALUD",IF(LEFT(UPPER(TRIM($AE207)),4)="SEDE","SEDE",UPPER(TRIM($AE207))))),Config!$A$6:$D$8,3,FALSE),"")))))</f>
        <v/>
      </c>
      <c r="AH194" s="39">
        <f>IF(OR($E207="",NOT(ISNUMBER($E207)),$AF207="",$AF207="N/A",NOT(ISNUMBER($AF207))),"",IF($AG207="Hábiles",WORKDAY(INT($E207),$AF207,Config!$F$6:$F$39),INT($E207)+$AF207))</f>
        <v/>
      </c>
      <c r="AI194" s="30">
        <f>IF($E207="","",IF(LEFT(UPPER(TRIM($AA207)),8)="FELICITA","⭐ Felicitación",IF(NOT(ISNUMBER($E207)),"⚠ Revisar fecha",IF(UPPER(TRIM($AK207))="RESPONDIDA - CERRADA","✅ Cerrada",IF($AE207="","⚠ Falta entidad",IF($AH207="","⚠ Revisar término",IF(TODAY()&gt;$AH207,"🔴 Vencida",IF($AH207-TODAY()&lt;=Config!$B$12,"🟡 Próxima a vencer","🟢 En término"))))))))</f>
        <v/>
      </c>
      <c r="AJ194" s="42">
        <f>IF(OR($E207="",NOT(ISNUMBER($E207))),"",IF(ISNUMBER($AS207),MAX(0,INT($AS207)-INT($E207)),MAX(0,TODAY()-INT($E207))))</f>
        <v/>
      </c>
      <c r="AK194" s="30" t="n"/>
      <c r="AL194" s="30" t="n"/>
      <c r="AM194" s="30" t="n"/>
      <c r="AN194" s="39" t="n"/>
      <c r="AO194" s="30" t="n"/>
      <c r="AP194" s="30" t="n"/>
      <c r="AQ194" s="39" t="n"/>
      <c r="AR194" s="30" t="n"/>
      <c r="AS194" s="39" t="n"/>
      <c r="AT194" s="30">
        <f>IF(OR($AS207="",NOT(ISNUMBER($AS207)),$AH207=""),"",IF(INT($AS207)&lt;=$AH207,"A tiempo","Fuera de término"))</f>
        <v/>
      </c>
      <c r="AU194" s="40" t="n"/>
      <c r="AV194" s="40" t="n"/>
      <c r="AW194" s="40" t="n"/>
      <c r="AX194" s="40" t="n"/>
      <c r="AY194" s="30" t="n"/>
      <c r="AZ194" s="30" t="n"/>
      <c r="BA194" s="30" t="n"/>
    </row>
    <row r="195" ht="15.75" customHeight="1" s="57">
      <c r="A195" s="29" t="n"/>
      <c r="B195" s="30" t="n"/>
      <c r="C195" s="39" t="n"/>
      <c r="D195" s="39" t="n"/>
      <c r="E195" s="39" t="n"/>
      <c r="F195" s="40" t="n"/>
      <c r="G195" s="30" t="n"/>
      <c r="H195" s="30" t="n"/>
      <c r="I195" s="30" t="n"/>
      <c r="J195" s="30" t="n"/>
      <c r="K195" s="30" t="n"/>
      <c r="L195" s="30" t="n"/>
      <c r="M195" s="30" t="n"/>
      <c r="N195" s="30" t="n"/>
      <c r="O195" s="30" t="n"/>
      <c r="P195" s="30" t="n"/>
      <c r="Q195" s="30" t="n"/>
      <c r="R195" s="30" t="n"/>
      <c r="S195" s="30" t="n"/>
      <c r="T195" s="30" t="n"/>
      <c r="U195" s="30" t="n"/>
      <c r="V195" s="30" t="n"/>
      <c r="W195" s="30" t="n"/>
      <c r="X195" s="30" t="n"/>
      <c r="Y195" s="30" t="n"/>
      <c r="Z195" s="30" t="n"/>
      <c r="AA195" s="30" t="n"/>
      <c r="AB195" s="30" t="n"/>
      <c r="AC195" s="30" t="n"/>
      <c r="AD195" s="41" t="n"/>
      <c r="AE195" s="30" t="n"/>
      <c r="AF195" s="42">
        <f>IF($AA208="","",IF(LEFT(UPPER(TRIM($AA208)),8)="FELICITA","N/A",IF($AE208="","",IFERROR(VLOOKUP(UPPER(TRIM($AE208)),Config!$A$6:$D$8,2,FALSE),IFERROR(VLOOKUP(IF(LEFT(UPPER(TRIM($AE208)),5)="SUPER","SUPER SALUD",IF(LEFT(UPPER(TRIM($AE208)),8)="SECRETAR","SECRETARIA DE SALUD",IF(LEFT(UPPER(TRIM($AE208)),4)="SEDE","SEDE",UPPER(TRIM($AE208))))),Config!$A$6:$D$8,2,FALSE),"⚠")))))</f>
        <v/>
      </c>
      <c r="AG195" s="30">
        <f>IF($AA208="","",IF(LEFT(UPPER(TRIM($AA208)),8)="FELICITA","N/A",IF($AE208="","",IFERROR(VLOOKUP(UPPER(TRIM($AE208)),Config!$A$6:$D$8,3,FALSE),IFERROR(VLOOKUP(IF(LEFT(UPPER(TRIM($AE208)),5)="SUPER","SUPER SALUD",IF(LEFT(UPPER(TRIM($AE208)),8)="SECRETAR","SECRETARIA DE SALUD",IF(LEFT(UPPER(TRIM($AE208)),4)="SEDE","SEDE",UPPER(TRIM($AE208))))),Config!$A$6:$D$8,3,FALSE),"")))))</f>
        <v/>
      </c>
      <c r="AH195" s="39">
        <f>IF(OR($E208="",NOT(ISNUMBER($E208)),$AF208="",$AF208="N/A",NOT(ISNUMBER($AF208))),"",IF($AG208="Hábiles",WORKDAY(INT($E208),$AF208,Config!$F$6:$F$39),INT($E208)+$AF208))</f>
        <v/>
      </c>
      <c r="AI195" s="30">
        <f>IF($E208="","",IF(LEFT(UPPER(TRIM($AA208)),8)="FELICITA","⭐ Felicitación",IF(NOT(ISNUMBER($E208)),"⚠ Revisar fecha",IF(UPPER(TRIM($AK208))="RESPONDIDA - CERRADA","✅ Cerrada",IF($AE208="","⚠ Falta entidad",IF($AH208="","⚠ Revisar término",IF(TODAY()&gt;$AH208,"🔴 Vencida",IF($AH208-TODAY()&lt;=Config!$B$12,"🟡 Próxima a vencer","🟢 En término"))))))))</f>
        <v/>
      </c>
      <c r="AJ195" s="42">
        <f>IF(OR($E208="",NOT(ISNUMBER($E208))),"",IF(ISNUMBER($AS208),MAX(0,INT($AS208)-INT($E208)),MAX(0,TODAY()-INT($E208))))</f>
        <v/>
      </c>
      <c r="AK195" s="30" t="n"/>
      <c r="AL195" s="30" t="n"/>
      <c r="AM195" s="30" t="n"/>
      <c r="AN195" s="39" t="n"/>
      <c r="AO195" s="30" t="n"/>
      <c r="AP195" s="30" t="n"/>
      <c r="AQ195" s="39" t="n"/>
      <c r="AR195" s="30" t="n"/>
      <c r="AS195" s="39" t="n"/>
      <c r="AT195" s="30">
        <f>IF(OR($AS208="",NOT(ISNUMBER($AS208)),$AH208=""),"",IF(INT($AS208)&lt;=$AH208,"A tiempo","Fuera de término"))</f>
        <v/>
      </c>
      <c r="AU195" s="40" t="n"/>
      <c r="AV195" s="40" t="n"/>
      <c r="AW195" s="40" t="n"/>
      <c r="AX195" s="40" t="n"/>
      <c r="AY195" s="30" t="n"/>
      <c r="AZ195" s="30" t="n"/>
      <c r="BA195" s="30" t="n"/>
    </row>
    <row r="196" ht="15.75" customHeight="1" s="57">
      <c r="A196" s="29" t="n"/>
      <c r="B196" s="30" t="n"/>
      <c r="C196" s="39" t="n"/>
      <c r="D196" s="39" t="n"/>
      <c r="E196" s="39" t="n"/>
      <c r="F196" s="40" t="n"/>
      <c r="G196" s="30" t="n"/>
      <c r="H196" s="30" t="n"/>
      <c r="I196" s="30" t="n"/>
      <c r="J196" s="30" t="n"/>
      <c r="K196" s="30" t="n"/>
      <c r="L196" s="30" t="n"/>
      <c r="M196" s="30" t="n"/>
      <c r="N196" s="30" t="n"/>
      <c r="O196" s="30" t="n"/>
      <c r="P196" s="30" t="n"/>
      <c r="Q196" s="30" t="n"/>
      <c r="R196" s="30" t="n"/>
      <c r="S196" s="30" t="n"/>
      <c r="T196" s="30" t="n"/>
      <c r="U196" s="30" t="n"/>
      <c r="V196" s="30" t="n"/>
      <c r="W196" s="30" t="n"/>
      <c r="X196" s="30" t="n"/>
      <c r="Y196" s="30" t="n"/>
      <c r="Z196" s="30" t="n"/>
      <c r="AA196" s="30" t="n"/>
      <c r="AB196" s="30" t="n"/>
      <c r="AC196" s="30" t="n"/>
      <c r="AD196" s="41" t="n"/>
      <c r="AE196" s="30" t="n"/>
      <c r="AF196" s="42">
        <f>IF($AA209="","",IF(LEFT(UPPER(TRIM($AA209)),8)="FELICITA","N/A",IF($AE209="","",IFERROR(VLOOKUP(UPPER(TRIM($AE209)),Config!$A$6:$D$8,2,FALSE),IFERROR(VLOOKUP(IF(LEFT(UPPER(TRIM($AE209)),5)="SUPER","SUPER SALUD",IF(LEFT(UPPER(TRIM($AE209)),8)="SECRETAR","SECRETARIA DE SALUD",IF(LEFT(UPPER(TRIM($AE209)),4)="SEDE","SEDE",UPPER(TRIM($AE209))))),Config!$A$6:$D$8,2,FALSE),"⚠")))))</f>
        <v/>
      </c>
      <c r="AG196" s="30">
        <f>IF($AA209="","",IF(LEFT(UPPER(TRIM($AA209)),8)="FELICITA","N/A",IF($AE209="","",IFERROR(VLOOKUP(UPPER(TRIM($AE209)),Config!$A$6:$D$8,3,FALSE),IFERROR(VLOOKUP(IF(LEFT(UPPER(TRIM($AE209)),5)="SUPER","SUPER SALUD",IF(LEFT(UPPER(TRIM($AE209)),8)="SECRETAR","SECRETARIA DE SALUD",IF(LEFT(UPPER(TRIM($AE209)),4)="SEDE","SEDE",UPPER(TRIM($AE209))))),Config!$A$6:$D$8,3,FALSE),"")))))</f>
        <v/>
      </c>
      <c r="AH196" s="39">
        <f>IF(OR($E209="",NOT(ISNUMBER($E209)),$AF209="",$AF209="N/A",NOT(ISNUMBER($AF209))),"",IF($AG209="Hábiles",WORKDAY(INT($E209),$AF209,Config!$F$6:$F$39),INT($E209)+$AF209))</f>
        <v/>
      </c>
      <c r="AI196" s="30">
        <f>IF($E209="","",IF(LEFT(UPPER(TRIM($AA209)),8)="FELICITA","⭐ Felicitación",IF(NOT(ISNUMBER($E209)),"⚠ Revisar fecha",IF(UPPER(TRIM($AK209))="RESPONDIDA - CERRADA","✅ Cerrada",IF($AE209="","⚠ Falta entidad",IF($AH209="","⚠ Revisar término",IF(TODAY()&gt;$AH209,"🔴 Vencida",IF($AH209-TODAY()&lt;=Config!$B$12,"🟡 Próxima a vencer","🟢 En término"))))))))</f>
        <v/>
      </c>
      <c r="AJ196" s="42">
        <f>IF(OR($E209="",NOT(ISNUMBER($E209))),"",IF(ISNUMBER($AS209),MAX(0,INT($AS209)-INT($E209)),MAX(0,TODAY()-INT($E209))))</f>
        <v/>
      </c>
      <c r="AK196" s="30" t="n"/>
      <c r="AL196" s="30" t="n"/>
      <c r="AM196" s="30" t="n"/>
      <c r="AN196" s="39" t="n"/>
      <c r="AO196" s="30" t="n"/>
      <c r="AP196" s="30" t="n"/>
      <c r="AQ196" s="39" t="n"/>
      <c r="AR196" s="30" t="n"/>
      <c r="AS196" s="39" t="n"/>
      <c r="AT196" s="30">
        <f>IF(OR($AS209="",NOT(ISNUMBER($AS209)),$AH209=""),"",IF(INT($AS209)&lt;=$AH209,"A tiempo","Fuera de término"))</f>
        <v/>
      </c>
      <c r="AU196" s="40" t="n"/>
      <c r="AV196" s="40" t="n"/>
      <c r="AW196" s="40" t="n"/>
      <c r="AX196" s="40" t="n"/>
      <c r="AY196" s="30" t="n"/>
      <c r="AZ196" s="30" t="n"/>
      <c r="BA196" s="30" t="n"/>
    </row>
    <row r="197" ht="15.75" customHeight="1" s="57">
      <c r="A197" s="29" t="n"/>
      <c r="B197" s="30" t="n"/>
      <c r="C197" s="39" t="n"/>
      <c r="D197" s="39" t="n"/>
      <c r="E197" s="39" t="n"/>
      <c r="F197" s="40" t="n"/>
      <c r="G197" s="30" t="n"/>
      <c r="H197" s="30" t="n"/>
      <c r="I197" s="30" t="n"/>
      <c r="J197" s="30" t="n"/>
      <c r="K197" s="30" t="n"/>
      <c r="L197" s="30" t="n"/>
      <c r="M197" s="30" t="n"/>
      <c r="N197" s="30" t="n"/>
      <c r="O197" s="30" t="n"/>
      <c r="P197" s="30" t="n"/>
      <c r="Q197" s="30" t="n"/>
      <c r="R197" s="30" t="n"/>
      <c r="S197" s="30" t="n"/>
      <c r="T197" s="30" t="n"/>
      <c r="U197" s="30" t="n"/>
      <c r="V197" s="30" t="n"/>
      <c r="W197" s="30" t="n"/>
      <c r="X197" s="30" t="n"/>
      <c r="Y197" s="30" t="n"/>
      <c r="Z197" s="30" t="n"/>
      <c r="AA197" s="30" t="n"/>
      <c r="AB197" s="30" t="n"/>
      <c r="AC197" s="30" t="n"/>
      <c r="AD197" s="41" t="n"/>
      <c r="AE197" s="30" t="n"/>
      <c r="AF197" s="42">
        <f>IF($AA210="","",IF(LEFT(UPPER(TRIM($AA210)),8)="FELICITA","N/A",IF($AE210="","",IFERROR(VLOOKUP(UPPER(TRIM($AE210)),Config!$A$6:$D$8,2,FALSE),IFERROR(VLOOKUP(IF(LEFT(UPPER(TRIM($AE210)),5)="SUPER","SUPER SALUD",IF(LEFT(UPPER(TRIM($AE210)),8)="SECRETAR","SECRETARIA DE SALUD",IF(LEFT(UPPER(TRIM($AE210)),4)="SEDE","SEDE",UPPER(TRIM($AE210))))),Config!$A$6:$D$8,2,FALSE),"⚠")))))</f>
        <v/>
      </c>
      <c r="AG197" s="30">
        <f>IF($AA210="","",IF(LEFT(UPPER(TRIM($AA210)),8)="FELICITA","N/A",IF($AE210="","",IFERROR(VLOOKUP(UPPER(TRIM($AE210)),Config!$A$6:$D$8,3,FALSE),IFERROR(VLOOKUP(IF(LEFT(UPPER(TRIM($AE210)),5)="SUPER","SUPER SALUD",IF(LEFT(UPPER(TRIM($AE210)),8)="SECRETAR","SECRETARIA DE SALUD",IF(LEFT(UPPER(TRIM($AE210)),4)="SEDE","SEDE",UPPER(TRIM($AE210))))),Config!$A$6:$D$8,3,FALSE),"")))))</f>
        <v/>
      </c>
      <c r="AH197" s="39">
        <f>IF(OR($E210="",NOT(ISNUMBER($E210)),$AF210="",$AF210="N/A",NOT(ISNUMBER($AF210))),"",IF($AG210="Hábiles",WORKDAY(INT($E210),$AF210,Config!$F$6:$F$39),INT($E210)+$AF210))</f>
        <v/>
      </c>
      <c r="AI197" s="30">
        <f>IF($E210="","",IF(LEFT(UPPER(TRIM($AA210)),8)="FELICITA","⭐ Felicitación",IF(NOT(ISNUMBER($E210)),"⚠ Revisar fecha",IF(UPPER(TRIM($AK210))="RESPONDIDA - CERRADA","✅ Cerrada",IF($AE210="","⚠ Falta entidad",IF($AH210="","⚠ Revisar término",IF(TODAY()&gt;$AH210,"🔴 Vencida",IF($AH210-TODAY()&lt;=Config!$B$12,"🟡 Próxima a vencer","🟢 En término"))))))))</f>
        <v/>
      </c>
      <c r="AJ197" s="42">
        <f>IF(OR($E210="",NOT(ISNUMBER($E210))),"",IF(ISNUMBER($AS210),MAX(0,INT($AS210)-INT($E210)),MAX(0,TODAY()-INT($E210))))</f>
        <v/>
      </c>
      <c r="AK197" s="30" t="n"/>
      <c r="AL197" s="30" t="n"/>
      <c r="AM197" s="30" t="n"/>
      <c r="AN197" s="39" t="n"/>
      <c r="AO197" s="30" t="n"/>
      <c r="AP197" s="30" t="n"/>
      <c r="AQ197" s="39" t="n"/>
      <c r="AR197" s="30" t="n"/>
      <c r="AS197" s="39" t="n"/>
      <c r="AT197" s="30">
        <f>IF(OR($AS210="",NOT(ISNUMBER($AS210)),$AH210=""),"",IF(INT($AS210)&lt;=$AH210,"A tiempo","Fuera de término"))</f>
        <v/>
      </c>
      <c r="AU197" s="40" t="n"/>
      <c r="AV197" s="40" t="n"/>
      <c r="AW197" s="40" t="n"/>
      <c r="AX197" s="40" t="n"/>
      <c r="AY197" s="30" t="n"/>
      <c r="AZ197" s="30" t="n"/>
      <c r="BA197" s="30" t="n"/>
    </row>
    <row r="198" ht="15.75" customHeight="1" s="57">
      <c r="A198" s="29" t="n"/>
      <c r="B198" s="30" t="n"/>
      <c r="C198" s="39" t="n"/>
      <c r="D198" s="39" t="n"/>
      <c r="E198" s="39" t="n"/>
      <c r="F198" s="40" t="n"/>
      <c r="G198" s="30" t="n"/>
      <c r="H198" s="30" t="n"/>
      <c r="I198" s="30" t="n"/>
      <c r="J198" s="30" t="n"/>
      <c r="K198" s="30" t="n"/>
      <c r="L198" s="30" t="n"/>
      <c r="M198" s="30" t="n"/>
      <c r="N198" s="30" t="n"/>
      <c r="O198" s="30" t="n"/>
      <c r="P198" s="30" t="n"/>
      <c r="Q198" s="30" t="n"/>
      <c r="R198" s="30" t="n"/>
      <c r="S198" s="30" t="n"/>
      <c r="T198" s="30" t="n"/>
      <c r="U198" s="30" t="n"/>
      <c r="V198" s="30" t="n"/>
      <c r="W198" s="30" t="n"/>
      <c r="X198" s="30" t="n"/>
      <c r="Y198" s="30" t="n"/>
      <c r="Z198" s="30" t="n"/>
      <c r="AA198" s="30" t="n"/>
      <c r="AB198" s="30" t="n"/>
      <c r="AC198" s="30" t="n"/>
      <c r="AD198" s="41" t="n"/>
      <c r="AE198" s="30" t="n"/>
      <c r="AF198" s="42">
        <f>IF($AA211="","",IF(LEFT(UPPER(TRIM($AA211)),8)="FELICITA","N/A",IF($AE211="","",IFERROR(VLOOKUP(UPPER(TRIM($AE211)),Config!$A$6:$D$8,2,FALSE),IFERROR(VLOOKUP(IF(LEFT(UPPER(TRIM($AE211)),5)="SUPER","SUPER SALUD",IF(LEFT(UPPER(TRIM($AE211)),8)="SECRETAR","SECRETARIA DE SALUD",IF(LEFT(UPPER(TRIM($AE211)),4)="SEDE","SEDE",UPPER(TRIM($AE211))))),Config!$A$6:$D$8,2,FALSE),"⚠")))))</f>
        <v/>
      </c>
      <c r="AG198" s="30">
        <f>IF($AA211="","",IF(LEFT(UPPER(TRIM($AA211)),8)="FELICITA","N/A",IF($AE211="","",IFERROR(VLOOKUP(UPPER(TRIM($AE211)),Config!$A$6:$D$8,3,FALSE),IFERROR(VLOOKUP(IF(LEFT(UPPER(TRIM($AE211)),5)="SUPER","SUPER SALUD",IF(LEFT(UPPER(TRIM($AE211)),8)="SECRETAR","SECRETARIA DE SALUD",IF(LEFT(UPPER(TRIM($AE211)),4)="SEDE","SEDE",UPPER(TRIM($AE211))))),Config!$A$6:$D$8,3,FALSE),"")))))</f>
        <v/>
      </c>
      <c r="AH198" s="39">
        <f>IF(OR($E211="",NOT(ISNUMBER($E211)),$AF211="",$AF211="N/A",NOT(ISNUMBER($AF211))),"",IF($AG211="Hábiles",WORKDAY(INT($E211),$AF211,Config!$F$6:$F$39),INT($E211)+$AF211))</f>
        <v/>
      </c>
      <c r="AI198" s="30">
        <f>IF($E211="","",IF(LEFT(UPPER(TRIM($AA211)),8)="FELICITA","⭐ Felicitación",IF(NOT(ISNUMBER($E211)),"⚠ Revisar fecha",IF(UPPER(TRIM($AK211))="RESPONDIDA - CERRADA","✅ Cerrada",IF($AE211="","⚠ Falta entidad",IF($AH211="","⚠ Revisar término",IF(TODAY()&gt;$AH211,"🔴 Vencida",IF($AH211-TODAY()&lt;=Config!$B$12,"🟡 Próxima a vencer","🟢 En término"))))))))</f>
        <v/>
      </c>
      <c r="AJ198" s="42">
        <f>IF(OR($E211="",NOT(ISNUMBER($E211))),"",IF(ISNUMBER($AS211),MAX(0,INT($AS211)-INT($E211)),MAX(0,TODAY()-INT($E211))))</f>
        <v/>
      </c>
      <c r="AK198" s="30" t="n"/>
      <c r="AL198" s="30" t="n"/>
      <c r="AM198" s="30" t="n"/>
      <c r="AN198" s="39" t="n"/>
      <c r="AO198" s="30" t="n"/>
      <c r="AP198" s="30" t="n"/>
      <c r="AQ198" s="39" t="n"/>
      <c r="AR198" s="30" t="n"/>
      <c r="AS198" s="39" t="n"/>
      <c r="AT198" s="30">
        <f>IF(OR($AS211="",NOT(ISNUMBER($AS211)),$AH211=""),"",IF(INT($AS211)&lt;=$AH211,"A tiempo","Fuera de término"))</f>
        <v/>
      </c>
      <c r="AU198" s="40" t="n"/>
      <c r="AV198" s="40" t="n"/>
      <c r="AW198" s="40" t="n"/>
      <c r="AX198" s="40" t="n"/>
      <c r="AY198" s="30" t="n"/>
      <c r="AZ198" s="30" t="n"/>
      <c r="BA198" s="30" t="n"/>
    </row>
    <row r="199" ht="15.75" customHeight="1" s="57">
      <c r="A199" s="29" t="n"/>
      <c r="B199" s="30" t="n"/>
      <c r="C199" s="39" t="n"/>
      <c r="D199" s="39" t="n"/>
      <c r="E199" s="39" t="n"/>
      <c r="F199" s="40" t="n"/>
      <c r="G199" s="30" t="n"/>
      <c r="H199" s="30" t="n"/>
      <c r="I199" s="30" t="n"/>
      <c r="J199" s="30" t="n"/>
      <c r="K199" s="30" t="n"/>
      <c r="L199" s="30" t="n"/>
      <c r="M199" s="30" t="n"/>
      <c r="N199" s="30" t="n"/>
      <c r="O199" s="30" t="n"/>
      <c r="P199" s="30" t="n"/>
      <c r="Q199" s="30" t="n"/>
      <c r="R199" s="30" t="n"/>
      <c r="S199" s="30" t="n"/>
      <c r="T199" s="30" t="n"/>
      <c r="U199" s="30" t="n"/>
      <c r="V199" s="30" t="n"/>
      <c r="W199" s="30" t="n"/>
      <c r="X199" s="30" t="n"/>
      <c r="Y199" s="30" t="n"/>
      <c r="Z199" s="30" t="n"/>
      <c r="AA199" s="30" t="n"/>
      <c r="AB199" s="30" t="n"/>
      <c r="AC199" s="30" t="n"/>
      <c r="AD199" s="41" t="n"/>
      <c r="AE199" s="30" t="n"/>
      <c r="AF199" s="42">
        <f>IF($AA212="","",IF(LEFT(UPPER(TRIM($AA212)),8)="FELICITA","N/A",IF($AE212="","",IFERROR(VLOOKUP(UPPER(TRIM($AE212)),Config!$A$6:$D$8,2,FALSE),IFERROR(VLOOKUP(IF(LEFT(UPPER(TRIM($AE212)),5)="SUPER","SUPER SALUD",IF(LEFT(UPPER(TRIM($AE212)),8)="SECRETAR","SECRETARIA DE SALUD",IF(LEFT(UPPER(TRIM($AE212)),4)="SEDE","SEDE",UPPER(TRIM($AE212))))),Config!$A$6:$D$8,2,FALSE),"⚠")))))</f>
        <v/>
      </c>
      <c r="AG199" s="30">
        <f>IF($AA212="","",IF(LEFT(UPPER(TRIM($AA212)),8)="FELICITA","N/A",IF($AE212="","",IFERROR(VLOOKUP(UPPER(TRIM($AE212)),Config!$A$6:$D$8,3,FALSE),IFERROR(VLOOKUP(IF(LEFT(UPPER(TRIM($AE212)),5)="SUPER","SUPER SALUD",IF(LEFT(UPPER(TRIM($AE212)),8)="SECRETAR","SECRETARIA DE SALUD",IF(LEFT(UPPER(TRIM($AE212)),4)="SEDE","SEDE",UPPER(TRIM($AE212))))),Config!$A$6:$D$8,3,FALSE),"")))))</f>
        <v/>
      </c>
      <c r="AH199" s="39">
        <f>IF(OR($E212="",NOT(ISNUMBER($E212)),$AF212="",$AF212="N/A",NOT(ISNUMBER($AF212))),"",IF($AG212="Hábiles",WORKDAY(INT($E212),$AF212,Config!$F$6:$F$39),INT($E212)+$AF212))</f>
        <v/>
      </c>
      <c r="AI199" s="30">
        <f>IF($E212="","",IF(LEFT(UPPER(TRIM($AA212)),8)="FELICITA","⭐ Felicitación",IF(NOT(ISNUMBER($E212)),"⚠ Revisar fecha",IF(UPPER(TRIM($AK212))="RESPONDIDA - CERRADA","✅ Cerrada",IF($AE212="","⚠ Falta entidad",IF($AH212="","⚠ Revisar término",IF(TODAY()&gt;$AH212,"🔴 Vencida",IF($AH212-TODAY()&lt;=Config!$B$12,"🟡 Próxima a vencer","🟢 En término"))))))))</f>
        <v/>
      </c>
      <c r="AJ199" s="42">
        <f>IF(OR($E212="",NOT(ISNUMBER($E212))),"",IF(ISNUMBER($AS212),MAX(0,INT($AS212)-INT($E212)),MAX(0,TODAY()-INT($E212))))</f>
        <v/>
      </c>
      <c r="AK199" s="30" t="n"/>
      <c r="AL199" s="30" t="n"/>
      <c r="AM199" s="30" t="n"/>
      <c r="AN199" s="39" t="n"/>
      <c r="AO199" s="30" t="n"/>
      <c r="AP199" s="30" t="n"/>
      <c r="AQ199" s="39" t="n"/>
      <c r="AR199" s="30" t="n"/>
      <c r="AS199" s="39" t="n"/>
      <c r="AT199" s="30">
        <f>IF(OR($AS212="",NOT(ISNUMBER($AS212)),$AH212=""),"",IF(INT($AS212)&lt;=$AH212,"A tiempo","Fuera de término"))</f>
        <v/>
      </c>
      <c r="AU199" s="40" t="n"/>
      <c r="AV199" s="40" t="n"/>
      <c r="AW199" s="40" t="n"/>
      <c r="AX199" s="40" t="n"/>
      <c r="AY199" s="30" t="n"/>
      <c r="AZ199" s="30" t="n"/>
      <c r="BA199" s="30" t="n"/>
    </row>
    <row r="200" ht="15.75" customHeight="1" s="57">
      <c r="A200" s="29" t="n"/>
      <c r="B200" s="30" t="n"/>
      <c r="C200" s="39" t="n"/>
      <c r="D200" s="39" t="n"/>
      <c r="E200" s="39" t="n"/>
      <c r="F200" s="40" t="n"/>
      <c r="G200" s="30" t="n"/>
      <c r="H200" s="30" t="n"/>
      <c r="I200" s="30" t="n"/>
      <c r="J200" s="30" t="n"/>
      <c r="K200" s="30" t="n"/>
      <c r="L200" s="30" t="n"/>
      <c r="M200" s="30" t="n"/>
      <c r="N200" s="30" t="n"/>
      <c r="O200" s="30" t="n"/>
      <c r="P200" s="30" t="n"/>
      <c r="Q200" s="30" t="n"/>
      <c r="R200" s="30" t="n"/>
      <c r="S200" s="30" t="n"/>
      <c r="T200" s="30" t="n"/>
      <c r="U200" s="30" t="n"/>
      <c r="V200" s="30" t="n"/>
      <c r="W200" s="30" t="n"/>
      <c r="X200" s="30" t="n"/>
      <c r="Y200" s="30" t="n"/>
      <c r="Z200" s="30" t="n"/>
      <c r="AA200" s="30" t="n"/>
      <c r="AB200" s="30" t="n"/>
      <c r="AC200" s="30" t="n"/>
      <c r="AD200" s="41" t="n"/>
      <c r="AE200" s="30" t="n"/>
      <c r="AF200" s="42">
        <f>IF($AA213="","",IF(LEFT(UPPER(TRIM($AA213)),8)="FELICITA","N/A",IF($AE213="","",IFERROR(VLOOKUP(UPPER(TRIM($AE213)),Config!$A$6:$D$8,2,FALSE),IFERROR(VLOOKUP(IF(LEFT(UPPER(TRIM($AE213)),5)="SUPER","SUPER SALUD",IF(LEFT(UPPER(TRIM($AE213)),8)="SECRETAR","SECRETARIA DE SALUD",IF(LEFT(UPPER(TRIM($AE213)),4)="SEDE","SEDE",UPPER(TRIM($AE213))))),Config!$A$6:$D$8,2,FALSE),"⚠")))))</f>
        <v/>
      </c>
      <c r="AG200" s="30">
        <f>IF($AA213="","",IF(LEFT(UPPER(TRIM($AA213)),8)="FELICITA","N/A",IF($AE213="","",IFERROR(VLOOKUP(UPPER(TRIM($AE213)),Config!$A$6:$D$8,3,FALSE),IFERROR(VLOOKUP(IF(LEFT(UPPER(TRIM($AE213)),5)="SUPER","SUPER SALUD",IF(LEFT(UPPER(TRIM($AE213)),8)="SECRETAR","SECRETARIA DE SALUD",IF(LEFT(UPPER(TRIM($AE213)),4)="SEDE","SEDE",UPPER(TRIM($AE213))))),Config!$A$6:$D$8,3,FALSE),"")))))</f>
        <v/>
      </c>
      <c r="AH200" s="39">
        <f>IF(OR($E213="",NOT(ISNUMBER($E213)),$AF213="",$AF213="N/A",NOT(ISNUMBER($AF213))),"",IF($AG213="Hábiles",WORKDAY(INT($E213),$AF213,Config!$F$6:$F$39),INT($E213)+$AF213))</f>
        <v/>
      </c>
      <c r="AI200" s="30">
        <f>IF($E213="","",IF(LEFT(UPPER(TRIM($AA213)),8)="FELICITA","⭐ Felicitación",IF(NOT(ISNUMBER($E213)),"⚠ Revisar fecha",IF(UPPER(TRIM($AK213))="RESPONDIDA - CERRADA","✅ Cerrada",IF($AE213="","⚠ Falta entidad",IF($AH213="","⚠ Revisar término",IF(TODAY()&gt;$AH213,"🔴 Vencida",IF($AH213-TODAY()&lt;=Config!$B$12,"🟡 Próxima a vencer","🟢 En término"))))))))</f>
        <v/>
      </c>
      <c r="AJ200" s="42">
        <f>IF(OR($E213="",NOT(ISNUMBER($E213))),"",IF(ISNUMBER($AS213),MAX(0,INT($AS213)-INT($E213)),MAX(0,TODAY()-INT($E213))))</f>
        <v/>
      </c>
      <c r="AK200" s="30" t="n"/>
      <c r="AL200" s="30" t="n"/>
      <c r="AM200" s="30" t="n"/>
      <c r="AN200" s="39" t="n"/>
      <c r="AO200" s="30" t="n"/>
      <c r="AP200" s="30" t="n"/>
      <c r="AQ200" s="39" t="n"/>
      <c r="AR200" s="30" t="n"/>
      <c r="AS200" s="39" t="n"/>
      <c r="AT200" s="30">
        <f>IF(OR($AS213="",NOT(ISNUMBER($AS213)),$AH213=""),"",IF(INT($AS213)&lt;=$AH213,"A tiempo","Fuera de término"))</f>
        <v/>
      </c>
      <c r="AU200" s="40" t="n"/>
      <c r="AV200" s="40" t="n"/>
      <c r="AW200" s="40" t="n"/>
      <c r="AX200" s="40" t="n"/>
      <c r="AY200" s="30" t="n"/>
      <c r="AZ200" s="30" t="n"/>
      <c r="BA200" s="30" t="n"/>
    </row>
    <row r="201" ht="15.75" customHeight="1" s="57">
      <c r="A201" s="29" t="n"/>
      <c r="B201" s="30" t="n"/>
      <c r="C201" s="39" t="n"/>
      <c r="D201" s="39" t="n"/>
      <c r="E201" s="39" t="n"/>
      <c r="F201" s="40" t="n"/>
      <c r="G201" s="30" t="n"/>
      <c r="H201" s="30" t="n"/>
      <c r="I201" s="30" t="n"/>
      <c r="J201" s="30" t="n"/>
      <c r="K201" s="30" t="n"/>
      <c r="L201" s="30" t="n"/>
      <c r="M201" s="30" t="n"/>
      <c r="N201" s="30" t="n"/>
      <c r="O201" s="30" t="n"/>
      <c r="P201" s="30" t="n"/>
      <c r="Q201" s="30" t="n"/>
      <c r="R201" s="30" t="n"/>
      <c r="S201" s="30" t="n"/>
      <c r="T201" s="30" t="n"/>
      <c r="U201" s="30" t="n"/>
      <c r="V201" s="30" t="n"/>
      <c r="W201" s="30" t="n"/>
      <c r="X201" s="30" t="n"/>
      <c r="Y201" s="30" t="n"/>
      <c r="Z201" s="30" t="n"/>
      <c r="AA201" s="30" t="n"/>
      <c r="AB201" s="30" t="n"/>
      <c r="AC201" s="30" t="n"/>
      <c r="AD201" s="41" t="n"/>
      <c r="AE201" s="30" t="n"/>
      <c r="AF201" s="42">
        <f>IF($AA214="","",IF(LEFT(UPPER(TRIM($AA214)),8)="FELICITA","N/A",IF($AE214="","",IFERROR(VLOOKUP(UPPER(TRIM($AE214)),Config!$A$6:$D$8,2,FALSE),IFERROR(VLOOKUP(IF(LEFT(UPPER(TRIM($AE214)),5)="SUPER","SUPER SALUD",IF(LEFT(UPPER(TRIM($AE214)),8)="SECRETAR","SECRETARIA DE SALUD",IF(LEFT(UPPER(TRIM($AE214)),4)="SEDE","SEDE",UPPER(TRIM($AE214))))),Config!$A$6:$D$8,2,FALSE),"⚠")))))</f>
        <v/>
      </c>
      <c r="AG201" s="30">
        <f>IF($AA214="","",IF(LEFT(UPPER(TRIM($AA214)),8)="FELICITA","N/A",IF($AE214="","",IFERROR(VLOOKUP(UPPER(TRIM($AE214)),Config!$A$6:$D$8,3,FALSE),IFERROR(VLOOKUP(IF(LEFT(UPPER(TRIM($AE214)),5)="SUPER","SUPER SALUD",IF(LEFT(UPPER(TRIM($AE214)),8)="SECRETAR","SECRETARIA DE SALUD",IF(LEFT(UPPER(TRIM($AE214)),4)="SEDE","SEDE",UPPER(TRIM($AE214))))),Config!$A$6:$D$8,3,FALSE),"")))))</f>
        <v/>
      </c>
      <c r="AH201" s="39">
        <f>IF(OR($E214="",NOT(ISNUMBER($E214)),$AF214="",$AF214="N/A",NOT(ISNUMBER($AF214))),"",IF($AG214="Hábiles",WORKDAY(INT($E214),$AF214,Config!$F$6:$F$39),INT($E214)+$AF214))</f>
        <v/>
      </c>
      <c r="AI201" s="30">
        <f>IF($E214="","",IF(LEFT(UPPER(TRIM($AA214)),8)="FELICITA","⭐ Felicitación",IF(NOT(ISNUMBER($E214)),"⚠ Revisar fecha",IF(UPPER(TRIM($AK214))="RESPONDIDA - CERRADA","✅ Cerrada",IF($AE214="","⚠ Falta entidad",IF($AH214="","⚠ Revisar término",IF(TODAY()&gt;$AH214,"🔴 Vencida",IF($AH214-TODAY()&lt;=Config!$B$12,"🟡 Próxima a vencer","🟢 En término"))))))))</f>
        <v/>
      </c>
      <c r="AJ201" s="42">
        <f>IF(OR($E214="",NOT(ISNUMBER($E214))),"",IF(ISNUMBER($AS214),MAX(0,INT($AS214)-INT($E214)),MAX(0,TODAY()-INT($E214))))</f>
        <v/>
      </c>
      <c r="AK201" s="30" t="n"/>
      <c r="AL201" s="30" t="n"/>
      <c r="AM201" s="30" t="n"/>
      <c r="AN201" s="39" t="n"/>
      <c r="AO201" s="30" t="n"/>
      <c r="AP201" s="30" t="n"/>
      <c r="AQ201" s="39" t="n"/>
      <c r="AR201" s="30" t="n"/>
      <c r="AS201" s="39" t="n"/>
      <c r="AT201" s="30">
        <f>IF(OR($AS214="",NOT(ISNUMBER($AS214)),$AH214=""),"",IF(INT($AS214)&lt;=$AH214,"A tiempo","Fuera de término"))</f>
        <v/>
      </c>
      <c r="AU201" s="40" t="n"/>
      <c r="AV201" s="40" t="n"/>
      <c r="AW201" s="40" t="n"/>
      <c r="AX201" s="40" t="n"/>
      <c r="AY201" s="30" t="n"/>
      <c r="AZ201" s="30" t="n"/>
      <c r="BA201" s="30" t="n"/>
    </row>
    <row r="202" ht="15.75" customHeight="1" s="57">
      <c r="A202" s="29" t="n"/>
      <c r="B202" s="30" t="n"/>
      <c r="C202" s="39" t="n"/>
      <c r="D202" s="39" t="n"/>
      <c r="E202" s="39" t="n"/>
      <c r="F202" s="40" t="n"/>
      <c r="G202" s="30" t="n"/>
      <c r="H202" s="30" t="n"/>
      <c r="I202" s="30" t="n"/>
      <c r="J202" s="30" t="n"/>
      <c r="K202" s="30" t="n"/>
      <c r="L202" s="30" t="n"/>
      <c r="M202" s="30" t="n"/>
      <c r="N202" s="30" t="n"/>
      <c r="O202" s="30" t="n"/>
      <c r="P202" s="30" t="n"/>
      <c r="Q202" s="30" t="n"/>
      <c r="R202" s="30" t="n"/>
      <c r="S202" s="30" t="n"/>
      <c r="T202" s="30" t="n"/>
      <c r="U202" s="30" t="n"/>
      <c r="V202" s="30" t="n"/>
      <c r="W202" s="30" t="n"/>
      <c r="X202" s="30" t="n"/>
      <c r="Y202" s="30" t="n"/>
      <c r="Z202" s="30" t="n"/>
      <c r="AA202" s="30" t="n"/>
      <c r="AB202" s="30" t="n"/>
      <c r="AC202" s="30" t="n"/>
      <c r="AD202" s="41" t="n"/>
      <c r="AE202" s="30" t="n"/>
      <c r="AF202" s="42">
        <f>IF($AA215="","",IF(LEFT(UPPER(TRIM($AA215)),8)="FELICITA","N/A",IF($AE215="","",IFERROR(VLOOKUP(UPPER(TRIM($AE215)),Config!$A$6:$D$8,2,FALSE),IFERROR(VLOOKUP(IF(LEFT(UPPER(TRIM($AE215)),5)="SUPER","SUPER SALUD",IF(LEFT(UPPER(TRIM($AE215)),8)="SECRETAR","SECRETARIA DE SALUD",IF(LEFT(UPPER(TRIM($AE215)),4)="SEDE","SEDE",UPPER(TRIM($AE215))))),Config!$A$6:$D$8,2,FALSE),"⚠")))))</f>
        <v/>
      </c>
      <c r="AG202" s="30">
        <f>IF($AA215="","",IF(LEFT(UPPER(TRIM($AA215)),8)="FELICITA","N/A",IF($AE215="","",IFERROR(VLOOKUP(UPPER(TRIM($AE215)),Config!$A$6:$D$8,3,FALSE),IFERROR(VLOOKUP(IF(LEFT(UPPER(TRIM($AE215)),5)="SUPER","SUPER SALUD",IF(LEFT(UPPER(TRIM($AE215)),8)="SECRETAR","SECRETARIA DE SALUD",IF(LEFT(UPPER(TRIM($AE215)),4)="SEDE","SEDE",UPPER(TRIM($AE215))))),Config!$A$6:$D$8,3,FALSE),"")))))</f>
        <v/>
      </c>
      <c r="AH202" s="39">
        <f>IF(OR($E215="",NOT(ISNUMBER($E215)),$AF215="",$AF215="N/A",NOT(ISNUMBER($AF215))),"",IF($AG215="Hábiles",WORKDAY(INT($E215),$AF215,Config!$F$6:$F$39),INT($E215)+$AF215))</f>
        <v/>
      </c>
      <c r="AI202" s="30">
        <f>IF($E215="","",IF(LEFT(UPPER(TRIM($AA215)),8)="FELICITA","⭐ Felicitación",IF(NOT(ISNUMBER($E215)),"⚠ Revisar fecha",IF(UPPER(TRIM($AK215))="RESPONDIDA - CERRADA","✅ Cerrada",IF($AE215="","⚠ Falta entidad",IF($AH215="","⚠ Revisar término",IF(TODAY()&gt;$AH215,"🔴 Vencida",IF($AH215-TODAY()&lt;=Config!$B$12,"🟡 Próxima a vencer","🟢 En término"))))))))</f>
        <v/>
      </c>
      <c r="AJ202" s="42">
        <f>IF(OR($E215="",NOT(ISNUMBER($E215))),"",IF(ISNUMBER($AS215),MAX(0,INT($AS215)-INT($E215)),MAX(0,TODAY()-INT($E215))))</f>
        <v/>
      </c>
      <c r="AK202" s="30" t="n"/>
      <c r="AL202" s="30" t="n"/>
      <c r="AM202" s="30" t="n"/>
      <c r="AN202" s="39" t="n"/>
      <c r="AO202" s="30" t="n"/>
      <c r="AP202" s="30" t="n"/>
      <c r="AQ202" s="39" t="n"/>
      <c r="AR202" s="30" t="n"/>
      <c r="AS202" s="39" t="n"/>
      <c r="AT202" s="30">
        <f>IF(OR($AS215="",NOT(ISNUMBER($AS215)),$AH215=""),"",IF(INT($AS215)&lt;=$AH215,"A tiempo","Fuera de término"))</f>
        <v/>
      </c>
      <c r="AU202" s="40" t="n"/>
      <c r="AV202" s="40" t="n"/>
      <c r="AW202" s="40" t="n"/>
      <c r="AX202" s="40" t="n"/>
      <c r="AY202" s="30" t="n"/>
      <c r="AZ202" s="30" t="n"/>
      <c r="BA202" s="30" t="n"/>
    </row>
    <row r="203" ht="15.75" customHeight="1" s="57">
      <c r="A203" s="29" t="n"/>
      <c r="B203" s="30" t="n"/>
      <c r="C203" s="39" t="n"/>
      <c r="D203" s="39" t="n"/>
      <c r="E203" s="39" t="n"/>
      <c r="F203" s="40" t="n"/>
      <c r="G203" s="30" t="n"/>
      <c r="H203" s="30" t="n"/>
      <c r="I203" s="30" t="n"/>
      <c r="J203" s="30" t="n"/>
      <c r="K203" s="30" t="n"/>
      <c r="L203" s="30" t="n"/>
      <c r="M203" s="30" t="n"/>
      <c r="N203" s="30" t="n"/>
      <c r="O203" s="30" t="n"/>
      <c r="P203" s="30" t="n"/>
      <c r="Q203" s="30" t="n"/>
      <c r="R203" s="30" t="n"/>
      <c r="S203" s="30" t="n"/>
      <c r="T203" s="30" t="n"/>
      <c r="U203" s="30" t="n"/>
      <c r="V203" s="30" t="n"/>
      <c r="W203" s="30" t="n"/>
      <c r="X203" s="30" t="n"/>
      <c r="Y203" s="30" t="n"/>
      <c r="Z203" s="30" t="n"/>
      <c r="AA203" s="30" t="n"/>
      <c r="AB203" s="30" t="n"/>
      <c r="AC203" s="30" t="n"/>
      <c r="AD203" s="41" t="n"/>
      <c r="AE203" s="30" t="n"/>
      <c r="AF203" s="42">
        <f>IF($AA216="","",IF(LEFT(UPPER(TRIM($AA216)),8)="FELICITA","N/A",IF($AE216="","",IFERROR(VLOOKUP(UPPER(TRIM($AE216)),Config!$A$6:$D$8,2,FALSE),IFERROR(VLOOKUP(IF(LEFT(UPPER(TRIM($AE216)),5)="SUPER","SUPER SALUD",IF(LEFT(UPPER(TRIM($AE216)),8)="SECRETAR","SECRETARIA DE SALUD",IF(LEFT(UPPER(TRIM($AE216)),4)="SEDE","SEDE",UPPER(TRIM($AE216))))),Config!$A$6:$D$8,2,FALSE),"⚠")))))</f>
        <v/>
      </c>
      <c r="AG203" s="30">
        <f>IF($AA216="","",IF(LEFT(UPPER(TRIM($AA216)),8)="FELICITA","N/A",IF($AE216="","",IFERROR(VLOOKUP(UPPER(TRIM($AE216)),Config!$A$6:$D$8,3,FALSE),IFERROR(VLOOKUP(IF(LEFT(UPPER(TRIM($AE216)),5)="SUPER","SUPER SALUD",IF(LEFT(UPPER(TRIM($AE216)),8)="SECRETAR","SECRETARIA DE SALUD",IF(LEFT(UPPER(TRIM($AE216)),4)="SEDE","SEDE",UPPER(TRIM($AE216))))),Config!$A$6:$D$8,3,FALSE),"")))))</f>
        <v/>
      </c>
      <c r="AH203" s="39">
        <f>IF(OR($E216="",NOT(ISNUMBER($E216)),$AF216="",$AF216="N/A",NOT(ISNUMBER($AF216))),"",IF($AG216="Hábiles",WORKDAY(INT($E216),$AF216,Config!$F$6:$F$39),INT($E216)+$AF216))</f>
        <v/>
      </c>
      <c r="AI203" s="30">
        <f>IF($E216="","",IF(LEFT(UPPER(TRIM($AA216)),8)="FELICITA","⭐ Felicitación",IF(NOT(ISNUMBER($E216)),"⚠ Revisar fecha",IF(UPPER(TRIM($AK216))="RESPONDIDA - CERRADA","✅ Cerrada",IF($AE216="","⚠ Falta entidad",IF($AH216="","⚠ Revisar término",IF(TODAY()&gt;$AH216,"🔴 Vencida",IF($AH216-TODAY()&lt;=Config!$B$12,"🟡 Próxima a vencer","🟢 En término"))))))))</f>
        <v/>
      </c>
      <c r="AJ203" s="42">
        <f>IF(OR($E216="",NOT(ISNUMBER($E216))),"",IF(ISNUMBER($AS216),MAX(0,INT($AS216)-INT($E216)),MAX(0,TODAY()-INT($E216))))</f>
        <v/>
      </c>
      <c r="AK203" s="30" t="n"/>
      <c r="AL203" s="30" t="n"/>
      <c r="AM203" s="30" t="n"/>
      <c r="AN203" s="39" t="n"/>
      <c r="AO203" s="30" t="n"/>
      <c r="AP203" s="30" t="n"/>
      <c r="AQ203" s="39" t="n"/>
      <c r="AR203" s="30" t="n"/>
      <c r="AS203" s="39" t="n"/>
      <c r="AT203" s="30">
        <f>IF(OR($AS216="",NOT(ISNUMBER($AS216)),$AH216=""),"",IF(INT($AS216)&lt;=$AH216,"A tiempo","Fuera de término"))</f>
        <v/>
      </c>
      <c r="AU203" s="40" t="n"/>
      <c r="AV203" s="40" t="n"/>
      <c r="AW203" s="40" t="n"/>
      <c r="AX203" s="40" t="n"/>
      <c r="AY203" s="30" t="n"/>
      <c r="AZ203" s="30" t="n"/>
      <c r="BA203" s="30" t="n"/>
    </row>
    <row r="204" ht="15.75" customHeight="1" s="57">
      <c r="A204" s="29" t="n"/>
      <c r="B204" s="30" t="n"/>
      <c r="C204" s="39" t="n"/>
      <c r="D204" s="39" t="n"/>
      <c r="E204" s="39" t="n"/>
      <c r="F204" s="40" t="n"/>
      <c r="G204" s="30"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30" t="n"/>
      <c r="AA204" s="30" t="n"/>
      <c r="AB204" s="30" t="n"/>
      <c r="AC204" s="30" t="n"/>
      <c r="AD204" s="41" t="n"/>
      <c r="AE204" s="30" t="n"/>
      <c r="AF204" s="42">
        <f>IF($AA217="","",IF(LEFT(UPPER(TRIM($AA217)),8)="FELICITA","N/A",IF($AE217="","",IFERROR(VLOOKUP(UPPER(TRIM($AE217)),Config!$A$6:$D$8,2,FALSE),IFERROR(VLOOKUP(IF(LEFT(UPPER(TRIM($AE217)),5)="SUPER","SUPER SALUD",IF(LEFT(UPPER(TRIM($AE217)),8)="SECRETAR","SECRETARIA DE SALUD",IF(LEFT(UPPER(TRIM($AE217)),4)="SEDE","SEDE",UPPER(TRIM($AE217))))),Config!$A$6:$D$8,2,FALSE),"⚠")))))</f>
        <v/>
      </c>
      <c r="AG204" s="30">
        <f>IF($AA217="","",IF(LEFT(UPPER(TRIM($AA217)),8)="FELICITA","N/A",IF($AE217="","",IFERROR(VLOOKUP(UPPER(TRIM($AE217)),Config!$A$6:$D$8,3,FALSE),IFERROR(VLOOKUP(IF(LEFT(UPPER(TRIM($AE217)),5)="SUPER","SUPER SALUD",IF(LEFT(UPPER(TRIM($AE217)),8)="SECRETAR","SECRETARIA DE SALUD",IF(LEFT(UPPER(TRIM($AE217)),4)="SEDE","SEDE",UPPER(TRIM($AE217))))),Config!$A$6:$D$8,3,FALSE),"")))))</f>
        <v/>
      </c>
      <c r="AH204" s="39">
        <f>IF(OR($E217="",NOT(ISNUMBER($E217)),$AF217="",$AF217="N/A",NOT(ISNUMBER($AF217))),"",IF($AG217="Hábiles",WORKDAY(INT($E217),$AF217,Config!$F$6:$F$39),INT($E217)+$AF217))</f>
        <v/>
      </c>
      <c r="AI204" s="30">
        <f>IF($E217="","",IF(LEFT(UPPER(TRIM($AA217)),8)="FELICITA","⭐ Felicitación",IF(NOT(ISNUMBER($E217)),"⚠ Revisar fecha",IF(UPPER(TRIM($AK217))="RESPONDIDA - CERRADA","✅ Cerrada",IF($AE217="","⚠ Falta entidad",IF($AH217="","⚠ Revisar término",IF(TODAY()&gt;$AH217,"🔴 Vencida",IF($AH217-TODAY()&lt;=Config!$B$12,"🟡 Próxima a vencer","🟢 En término"))))))))</f>
        <v/>
      </c>
      <c r="AJ204" s="42">
        <f>IF(OR($E217="",NOT(ISNUMBER($E217))),"",IF(ISNUMBER($AS217),MAX(0,INT($AS217)-INT($E217)),MAX(0,TODAY()-INT($E217))))</f>
        <v/>
      </c>
      <c r="AK204" s="30" t="n"/>
      <c r="AL204" s="30" t="n"/>
      <c r="AM204" s="30" t="n"/>
      <c r="AN204" s="39" t="n"/>
      <c r="AO204" s="30" t="n"/>
      <c r="AP204" s="30" t="n"/>
      <c r="AQ204" s="39" t="n"/>
      <c r="AR204" s="30" t="n"/>
      <c r="AS204" s="39" t="n"/>
      <c r="AT204" s="30">
        <f>IF(OR($AS217="",NOT(ISNUMBER($AS217)),$AH217=""),"",IF(INT($AS217)&lt;=$AH217,"A tiempo","Fuera de término"))</f>
        <v/>
      </c>
      <c r="AU204" s="40" t="n"/>
      <c r="AV204" s="40" t="n"/>
      <c r="AW204" s="40" t="n"/>
      <c r="AX204" s="40" t="n"/>
      <c r="AY204" s="30" t="n"/>
      <c r="AZ204" s="30" t="n"/>
      <c r="BA204" s="30" t="n"/>
    </row>
    <row r="205" ht="15.75" customHeight="1" s="57">
      <c r="A205" s="29" t="n"/>
      <c r="B205" s="30" t="n"/>
      <c r="C205" s="39" t="n"/>
      <c r="D205" s="39" t="n"/>
      <c r="E205" s="39" t="n"/>
      <c r="F205" s="40" t="n"/>
      <c r="G205" s="30"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30" t="n"/>
      <c r="AA205" s="30" t="n"/>
      <c r="AB205" s="30" t="n"/>
      <c r="AC205" s="30" t="n"/>
      <c r="AD205" s="41" t="n"/>
      <c r="AE205" s="30" t="n"/>
      <c r="AF205" s="42">
        <f>IF($AA218="","",IF(LEFT(UPPER(TRIM($AA218)),8)="FELICITA","N/A",IF($AE218="","",IFERROR(VLOOKUP(UPPER(TRIM($AE218)),Config!$A$6:$D$8,2,FALSE),IFERROR(VLOOKUP(IF(LEFT(UPPER(TRIM($AE218)),5)="SUPER","SUPER SALUD",IF(LEFT(UPPER(TRIM($AE218)),8)="SECRETAR","SECRETARIA DE SALUD",IF(LEFT(UPPER(TRIM($AE218)),4)="SEDE","SEDE",UPPER(TRIM($AE218))))),Config!$A$6:$D$8,2,FALSE),"⚠")))))</f>
        <v/>
      </c>
      <c r="AG205" s="30">
        <f>IF($AA218="","",IF(LEFT(UPPER(TRIM($AA218)),8)="FELICITA","N/A",IF($AE218="","",IFERROR(VLOOKUP(UPPER(TRIM($AE218)),Config!$A$6:$D$8,3,FALSE),IFERROR(VLOOKUP(IF(LEFT(UPPER(TRIM($AE218)),5)="SUPER","SUPER SALUD",IF(LEFT(UPPER(TRIM($AE218)),8)="SECRETAR","SECRETARIA DE SALUD",IF(LEFT(UPPER(TRIM($AE218)),4)="SEDE","SEDE",UPPER(TRIM($AE218))))),Config!$A$6:$D$8,3,FALSE),"")))))</f>
        <v/>
      </c>
      <c r="AH205" s="39">
        <f>IF(OR($E218="",NOT(ISNUMBER($E218)),$AF218="",$AF218="N/A",NOT(ISNUMBER($AF218))),"",IF($AG218="Hábiles",WORKDAY(INT($E218),$AF218,Config!$F$6:$F$39),INT($E218)+$AF218))</f>
        <v/>
      </c>
      <c r="AI205" s="30">
        <f>IF($E218="","",IF(LEFT(UPPER(TRIM($AA218)),8)="FELICITA","⭐ Felicitación",IF(NOT(ISNUMBER($E218)),"⚠ Revisar fecha",IF(UPPER(TRIM($AK218))="RESPONDIDA - CERRADA","✅ Cerrada",IF($AE218="","⚠ Falta entidad",IF($AH218="","⚠ Revisar término",IF(TODAY()&gt;$AH218,"🔴 Vencida",IF($AH218-TODAY()&lt;=Config!$B$12,"🟡 Próxima a vencer","🟢 En término"))))))))</f>
        <v/>
      </c>
      <c r="AJ205" s="42">
        <f>IF(OR($E218="",NOT(ISNUMBER($E218))),"",IF(ISNUMBER($AS218),MAX(0,INT($AS218)-INT($E218)),MAX(0,TODAY()-INT($E218))))</f>
        <v/>
      </c>
      <c r="AK205" s="30" t="n"/>
      <c r="AL205" s="30" t="n"/>
      <c r="AM205" s="30" t="n"/>
      <c r="AN205" s="39" t="n"/>
      <c r="AO205" s="30" t="n"/>
      <c r="AP205" s="30" t="n"/>
      <c r="AQ205" s="39" t="n"/>
      <c r="AR205" s="30" t="n"/>
      <c r="AS205" s="39" t="n"/>
      <c r="AT205" s="30">
        <f>IF(OR($AS218="",NOT(ISNUMBER($AS218)),$AH218=""),"",IF(INT($AS218)&lt;=$AH218,"A tiempo","Fuera de término"))</f>
        <v/>
      </c>
      <c r="AU205" s="40" t="n"/>
      <c r="AV205" s="40" t="n"/>
      <c r="AW205" s="40" t="n"/>
      <c r="AX205" s="40" t="n"/>
      <c r="AY205" s="30" t="n"/>
      <c r="AZ205" s="30" t="n"/>
      <c r="BA205" s="30" t="n"/>
    </row>
    <row r="206" ht="15.75" customHeight="1" s="57">
      <c r="A206" s="29" t="n"/>
      <c r="B206" s="30" t="n"/>
      <c r="C206" s="39" t="n"/>
      <c r="D206" s="39" t="n"/>
      <c r="E206" s="39" t="n"/>
      <c r="F206" s="40" t="n"/>
      <c r="G206" s="30" t="n"/>
      <c r="H206" s="30" t="n"/>
      <c r="I206" s="30" t="n"/>
      <c r="J206" s="30" t="n"/>
      <c r="K206" s="30" t="n"/>
      <c r="L206" s="30" t="n"/>
      <c r="M206" s="30" t="n"/>
      <c r="N206" s="30" t="n"/>
      <c r="O206" s="30" t="n"/>
      <c r="P206" s="30" t="n"/>
      <c r="Q206" s="30" t="n"/>
      <c r="R206" s="30" t="n"/>
      <c r="S206" s="30" t="n"/>
      <c r="T206" s="30" t="n"/>
      <c r="U206" s="30" t="n"/>
      <c r="V206" s="30" t="n"/>
      <c r="W206" s="30" t="n"/>
      <c r="X206" s="30" t="n"/>
      <c r="Y206" s="30" t="n"/>
      <c r="Z206" s="30" t="n"/>
      <c r="AA206" s="30" t="n"/>
      <c r="AB206" s="30" t="n"/>
      <c r="AC206" s="30" t="n"/>
      <c r="AD206" s="41" t="n"/>
      <c r="AE206" s="30" t="n"/>
      <c r="AF206" s="42">
        <f>IF($AA219="","",IF(LEFT(UPPER(TRIM($AA219)),8)="FELICITA","N/A",IF($AE219="","",IFERROR(VLOOKUP(UPPER(TRIM($AE219)),Config!$A$6:$D$8,2,FALSE),IFERROR(VLOOKUP(IF(LEFT(UPPER(TRIM($AE219)),5)="SUPER","SUPER SALUD",IF(LEFT(UPPER(TRIM($AE219)),8)="SECRETAR","SECRETARIA DE SALUD",IF(LEFT(UPPER(TRIM($AE219)),4)="SEDE","SEDE",UPPER(TRIM($AE219))))),Config!$A$6:$D$8,2,FALSE),"⚠")))))</f>
        <v/>
      </c>
      <c r="AG206" s="30">
        <f>IF($AA219="","",IF(LEFT(UPPER(TRIM($AA219)),8)="FELICITA","N/A",IF($AE219="","",IFERROR(VLOOKUP(UPPER(TRIM($AE219)),Config!$A$6:$D$8,3,FALSE),IFERROR(VLOOKUP(IF(LEFT(UPPER(TRIM($AE219)),5)="SUPER","SUPER SALUD",IF(LEFT(UPPER(TRIM($AE219)),8)="SECRETAR","SECRETARIA DE SALUD",IF(LEFT(UPPER(TRIM($AE219)),4)="SEDE","SEDE",UPPER(TRIM($AE219))))),Config!$A$6:$D$8,3,FALSE),"")))))</f>
        <v/>
      </c>
      <c r="AH206" s="39">
        <f>IF(OR($E219="",NOT(ISNUMBER($E219)),$AF219="",$AF219="N/A",NOT(ISNUMBER($AF219))),"",IF($AG219="Hábiles",WORKDAY(INT($E219),$AF219,Config!$F$6:$F$39),INT($E219)+$AF219))</f>
        <v/>
      </c>
      <c r="AI206" s="30">
        <f>IF($E219="","",IF(LEFT(UPPER(TRIM($AA219)),8)="FELICITA","⭐ Felicitación",IF(NOT(ISNUMBER($E219)),"⚠ Revisar fecha",IF(UPPER(TRIM($AK219))="RESPONDIDA - CERRADA","✅ Cerrada",IF($AE219="","⚠ Falta entidad",IF($AH219="","⚠ Revisar término",IF(TODAY()&gt;$AH219,"🔴 Vencida",IF($AH219-TODAY()&lt;=Config!$B$12,"🟡 Próxima a vencer","🟢 En término"))))))))</f>
        <v/>
      </c>
      <c r="AJ206" s="42">
        <f>IF(OR($E219="",NOT(ISNUMBER($E219))),"",IF(ISNUMBER($AS219),MAX(0,INT($AS219)-INT($E219)),MAX(0,TODAY()-INT($E219))))</f>
        <v/>
      </c>
      <c r="AK206" s="30" t="n"/>
      <c r="AL206" s="30" t="n"/>
      <c r="AM206" s="30" t="n"/>
      <c r="AN206" s="39" t="n"/>
      <c r="AO206" s="30" t="n"/>
      <c r="AP206" s="30" t="n"/>
      <c r="AQ206" s="39" t="n"/>
      <c r="AR206" s="30" t="n"/>
      <c r="AS206" s="39" t="n"/>
      <c r="AT206" s="30">
        <f>IF(OR($AS219="",NOT(ISNUMBER($AS219)),$AH219=""),"",IF(INT($AS219)&lt;=$AH219,"A tiempo","Fuera de término"))</f>
        <v/>
      </c>
      <c r="AU206" s="40" t="n"/>
      <c r="AV206" s="40" t="n"/>
      <c r="AW206" s="40" t="n"/>
      <c r="AX206" s="40" t="n"/>
      <c r="AY206" s="30" t="n"/>
      <c r="AZ206" s="30" t="n"/>
      <c r="BA206" s="30" t="n"/>
    </row>
    <row r="207" ht="15.75" customHeight="1" s="57">
      <c r="A207" s="29" t="n"/>
      <c r="B207" s="30" t="n"/>
      <c r="C207" s="39" t="n"/>
      <c r="D207" s="39" t="n"/>
      <c r="E207" s="39" t="n"/>
      <c r="F207" s="40" t="n"/>
      <c r="G207" s="30" t="n"/>
      <c r="H207" s="30" t="n"/>
      <c r="I207" s="30" t="n"/>
      <c r="J207" s="30" t="n"/>
      <c r="K207" s="30" t="n"/>
      <c r="L207" s="30" t="n"/>
      <c r="M207" s="30" t="n"/>
      <c r="N207" s="30" t="n"/>
      <c r="O207" s="30" t="n"/>
      <c r="P207" s="30" t="n"/>
      <c r="Q207" s="30" t="n"/>
      <c r="R207" s="30" t="n"/>
      <c r="S207" s="30" t="n"/>
      <c r="T207" s="30" t="n"/>
      <c r="U207" s="30" t="n"/>
      <c r="V207" s="30" t="n"/>
      <c r="W207" s="30" t="n"/>
      <c r="X207" s="30" t="n"/>
      <c r="Y207" s="30" t="n"/>
      <c r="Z207" s="30" t="n"/>
      <c r="AA207" s="30" t="n"/>
      <c r="AB207" s="30" t="n"/>
      <c r="AC207" s="30" t="n"/>
      <c r="AD207" s="41" t="n"/>
      <c r="AE207" s="30" t="n"/>
      <c r="AF207" s="42">
        <f>IF($AA220="","",IF(LEFT(UPPER(TRIM($AA220)),8)="FELICITA","N/A",IF($AE220="","",IFERROR(VLOOKUP(UPPER(TRIM($AE220)),Config!$A$6:$D$8,2,FALSE),IFERROR(VLOOKUP(IF(LEFT(UPPER(TRIM($AE220)),5)="SUPER","SUPER SALUD",IF(LEFT(UPPER(TRIM($AE220)),8)="SECRETAR","SECRETARIA DE SALUD",IF(LEFT(UPPER(TRIM($AE220)),4)="SEDE","SEDE",UPPER(TRIM($AE220))))),Config!$A$6:$D$8,2,FALSE),"⚠")))))</f>
        <v/>
      </c>
      <c r="AG207" s="30">
        <f>IF($AA220="","",IF(LEFT(UPPER(TRIM($AA220)),8)="FELICITA","N/A",IF($AE220="","",IFERROR(VLOOKUP(UPPER(TRIM($AE220)),Config!$A$6:$D$8,3,FALSE),IFERROR(VLOOKUP(IF(LEFT(UPPER(TRIM($AE220)),5)="SUPER","SUPER SALUD",IF(LEFT(UPPER(TRIM($AE220)),8)="SECRETAR","SECRETARIA DE SALUD",IF(LEFT(UPPER(TRIM($AE220)),4)="SEDE","SEDE",UPPER(TRIM($AE220))))),Config!$A$6:$D$8,3,FALSE),"")))))</f>
        <v/>
      </c>
      <c r="AH207" s="39">
        <f>IF(OR($E220="",NOT(ISNUMBER($E220)),$AF220="",$AF220="N/A",NOT(ISNUMBER($AF220))),"",IF($AG220="Hábiles",WORKDAY(INT($E220),$AF220,Config!$F$6:$F$39),INT($E220)+$AF220))</f>
        <v/>
      </c>
      <c r="AI207" s="30">
        <f>IF($E220="","",IF(LEFT(UPPER(TRIM($AA220)),8)="FELICITA","⭐ Felicitación",IF(NOT(ISNUMBER($E220)),"⚠ Revisar fecha",IF(UPPER(TRIM($AK220))="RESPONDIDA - CERRADA","✅ Cerrada",IF($AE220="","⚠ Falta entidad",IF($AH220="","⚠ Revisar término",IF(TODAY()&gt;$AH220,"🔴 Vencida",IF($AH220-TODAY()&lt;=Config!$B$12,"🟡 Próxima a vencer","🟢 En término"))))))))</f>
        <v/>
      </c>
      <c r="AJ207" s="42">
        <f>IF(OR($E220="",NOT(ISNUMBER($E220))),"",IF(ISNUMBER($AS220),MAX(0,INT($AS220)-INT($E220)),MAX(0,TODAY()-INT($E220))))</f>
        <v/>
      </c>
      <c r="AK207" s="30" t="n"/>
      <c r="AL207" s="30" t="n"/>
      <c r="AM207" s="30" t="n"/>
      <c r="AN207" s="39" t="n"/>
      <c r="AO207" s="30" t="n"/>
      <c r="AP207" s="30" t="n"/>
      <c r="AQ207" s="39" t="n"/>
      <c r="AR207" s="30" t="n"/>
      <c r="AS207" s="39" t="n"/>
      <c r="AT207" s="30">
        <f>IF(OR($AS220="",NOT(ISNUMBER($AS220)),$AH220=""),"",IF(INT($AS220)&lt;=$AH220,"A tiempo","Fuera de término"))</f>
        <v/>
      </c>
      <c r="AU207" s="40" t="n"/>
      <c r="AV207" s="40" t="n"/>
      <c r="AW207" s="40" t="n"/>
      <c r="AX207" s="40" t="n"/>
      <c r="AY207" s="30" t="n"/>
      <c r="AZ207" s="30" t="n"/>
      <c r="BA207" s="30" t="n"/>
    </row>
    <row r="208" ht="15.75" customHeight="1" s="57">
      <c r="A208" s="29" t="n"/>
      <c r="B208" s="30" t="n"/>
      <c r="C208" s="39" t="n"/>
      <c r="D208" s="39" t="n"/>
      <c r="E208" s="39" t="n"/>
      <c r="F208" s="40" t="n"/>
      <c r="G208" s="30" t="n"/>
      <c r="H208" s="30" t="n"/>
      <c r="I208" s="30" t="n"/>
      <c r="J208" s="30" t="n"/>
      <c r="K208" s="30" t="n"/>
      <c r="L208" s="30" t="n"/>
      <c r="M208" s="30" t="n"/>
      <c r="N208" s="30" t="n"/>
      <c r="O208" s="30" t="n"/>
      <c r="P208" s="30" t="n"/>
      <c r="Q208" s="30" t="n"/>
      <c r="R208" s="30" t="n"/>
      <c r="S208" s="30" t="n"/>
      <c r="T208" s="30" t="n"/>
      <c r="U208" s="30" t="n"/>
      <c r="V208" s="30" t="n"/>
      <c r="W208" s="30" t="n"/>
      <c r="X208" s="30" t="n"/>
      <c r="Y208" s="30" t="n"/>
      <c r="Z208" s="30" t="n"/>
      <c r="AA208" s="30" t="n"/>
      <c r="AB208" s="30" t="n"/>
      <c r="AC208" s="30" t="n"/>
      <c r="AD208" s="41" t="n"/>
      <c r="AE208" s="30" t="n"/>
      <c r="AF208" s="42">
        <f>IF($AA221="","",IF(LEFT(UPPER(TRIM($AA221)),8)="FELICITA","N/A",IF($AE221="","",IFERROR(VLOOKUP(UPPER(TRIM($AE221)),Config!$A$6:$D$8,2,FALSE),IFERROR(VLOOKUP(IF(LEFT(UPPER(TRIM($AE221)),5)="SUPER","SUPER SALUD",IF(LEFT(UPPER(TRIM($AE221)),8)="SECRETAR","SECRETARIA DE SALUD",IF(LEFT(UPPER(TRIM($AE221)),4)="SEDE","SEDE",UPPER(TRIM($AE221))))),Config!$A$6:$D$8,2,FALSE),"⚠")))))</f>
        <v/>
      </c>
      <c r="AG208" s="30">
        <f>IF($AA221="","",IF(LEFT(UPPER(TRIM($AA221)),8)="FELICITA","N/A",IF($AE221="","",IFERROR(VLOOKUP(UPPER(TRIM($AE221)),Config!$A$6:$D$8,3,FALSE),IFERROR(VLOOKUP(IF(LEFT(UPPER(TRIM($AE221)),5)="SUPER","SUPER SALUD",IF(LEFT(UPPER(TRIM($AE221)),8)="SECRETAR","SECRETARIA DE SALUD",IF(LEFT(UPPER(TRIM($AE221)),4)="SEDE","SEDE",UPPER(TRIM($AE221))))),Config!$A$6:$D$8,3,FALSE),"")))))</f>
        <v/>
      </c>
      <c r="AH208" s="39">
        <f>IF(OR($E221="",NOT(ISNUMBER($E221)),$AF221="",$AF221="N/A",NOT(ISNUMBER($AF221))),"",IF($AG221="Hábiles",WORKDAY(INT($E221),$AF221,Config!$F$6:$F$39),INT($E221)+$AF221))</f>
        <v/>
      </c>
      <c r="AI208" s="30">
        <f>IF($E221="","",IF(LEFT(UPPER(TRIM($AA221)),8)="FELICITA","⭐ Felicitación",IF(NOT(ISNUMBER($E221)),"⚠ Revisar fecha",IF(UPPER(TRIM($AK221))="RESPONDIDA - CERRADA","✅ Cerrada",IF($AE221="","⚠ Falta entidad",IF($AH221="","⚠ Revisar término",IF(TODAY()&gt;$AH221,"🔴 Vencida",IF($AH221-TODAY()&lt;=Config!$B$12,"🟡 Próxima a vencer","🟢 En término"))))))))</f>
        <v/>
      </c>
      <c r="AJ208" s="42">
        <f>IF(OR($E221="",NOT(ISNUMBER($E221))),"",IF(ISNUMBER($AS221),MAX(0,INT($AS221)-INT($E221)),MAX(0,TODAY()-INT($E221))))</f>
        <v/>
      </c>
      <c r="AK208" s="30" t="n"/>
      <c r="AL208" s="30" t="n"/>
      <c r="AM208" s="30" t="n"/>
      <c r="AN208" s="39" t="n"/>
      <c r="AO208" s="30" t="n"/>
      <c r="AP208" s="30" t="n"/>
      <c r="AQ208" s="39" t="n"/>
      <c r="AR208" s="30" t="n"/>
      <c r="AS208" s="39" t="n"/>
      <c r="AT208" s="30">
        <f>IF(OR($AS221="",NOT(ISNUMBER($AS221)),$AH221=""),"",IF(INT($AS221)&lt;=$AH221,"A tiempo","Fuera de término"))</f>
        <v/>
      </c>
      <c r="AU208" s="40" t="n"/>
      <c r="AV208" s="40" t="n"/>
      <c r="AW208" s="40" t="n"/>
      <c r="AX208" s="40" t="n"/>
      <c r="AY208" s="30" t="n"/>
      <c r="AZ208" s="30" t="n"/>
      <c r="BA208" s="30" t="n"/>
    </row>
    <row r="209" ht="15.75" customHeight="1" s="57">
      <c r="A209" s="29" t="n"/>
      <c r="B209" s="30" t="n"/>
      <c r="C209" s="39" t="n"/>
      <c r="D209" s="39" t="n"/>
      <c r="E209" s="39" t="n"/>
      <c r="F209" s="40" t="n"/>
      <c r="G209" s="30" t="n"/>
      <c r="H209" s="30" t="n"/>
      <c r="I209" s="30" t="n"/>
      <c r="J209" s="30" t="n"/>
      <c r="K209" s="30" t="n"/>
      <c r="L209" s="30" t="n"/>
      <c r="M209" s="30" t="n"/>
      <c r="N209" s="30" t="n"/>
      <c r="O209" s="30" t="n"/>
      <c r="P209" s="30" t="n"/>
      <c r="Q209" s="30" t="n"/>
      <c r="R209" s="30" t="n"/>
      <c r="S209" s="30" t="n"/>
      <c r="T209" s="30" t="n"/>
      <c r="U209" s="30" t="n"/>
      <c r="V209" s="30" t="n"/>
      <c r="W209" s="30" t="n"/>
      <c r="X209" s="30" t="n"/>
      <c r="Y209" s="30" t="n"/>
      <c r="Z209" s="30" t="n"/>
      <c r="AA209" s="30" t="n"/>
      <c r="AB209" s="30" t="n"/>
      <c r="AC209" s="30" t="n"/>
      <c r="AD209" s="41" t="n"/>
      <c r="AE209" s="30" t="n"/>
      <c r="AF209" s="42">
        <f>IF($AA222="","",IF(LEFT(UPPER(TRIM($AA222)),8)="FELICITA","N/A",IF($AE222="","",IFERROR(VLOOKUP(UPPER(TRIM($AE222)),Config!$A$6:$D$8,2,FALSE),IFERROR(VLOOKUP(IF(LEFT(UPPER(TRIM($AE222)),5)="SUPER","SUPER SALUD",IF(LEFT(UPPER(TRIM($AE222)),8)="SECRETAR","SECRETARIA DE SALUD",IF(LEFT(UPPER(TRIM($AE222)),4)="SEDE","SEDE",UPPER(TRIM($AE222))))),Config!$A$6:$D$8,2,FALSE),"⚠")))))</f>
        <v/>
      </c>
      <c r="AG209" s="30">
        <f>IF($AA222="","",IF(LEFT(UPPER(TRIM($AA222)),8)="FELICITA","N/A",IF($AE222="","",IFERROR(VLOOKUP(UPPER(TRIM($AE222)),Config!$A$6:$D$8,3,FALSE),IFERROR(VLOOKUP(IF(LEFT(UPPER(TRIM($AE222)),5)="SUPER","SUPER SALUD",IF(LEFT(UPPER(TRIM($AE222)),8)="SECRETAR","SECRETARIA DE SALUD",IF(LEFT(UPPER(TRIM($AE222)),4)="SEDE","SEDE",UPPER(TRIM($AE222))))),Config!$A$6:$D$8,3,FALSE),"")))))</f>
        <v/>
      </c>
      <c r="AH209" s="39">
        <f>IF(OR($E222="",NOT(ISNUMBER($E222)),$AF222="",$AF222="N/A",NOT(ISNUMBER($AF222))),"",IF($AG222="Hábiles",WORKDAY(INT($E222),$AF222,Config!$F$6:$F$39),INT($E222)+$AF222))</f>
        <v/>
      </c>
      <c r="AI209" s="30">
        <f>IF($E222="","",IF(LEFT(UPPER(TRIM($AA222)),8)="FELICITA","⭐ Felicitación",IF(NOT(ISNUMBER($E222)),"⚠ Revisar fecha",IF(UPPER(TRIM($AK222))="RESPONDIDA - CERRADA","✅ Cerrada",IF($AE222="","⚠ Falta entidad",IF($AH222="","⚠ Revisar término",IF(TODAY()&gt;$AH222,"🔴 Vencida",IF($AH222-TODAY()&lt;=Config!$B$12,"🟡 Próxima a vencer","🟢 En término"))))))))</f>
        <v/>
      </c>
      <c r="AJ209" s="42">
        <f>IF(OR($E222="",NOT(ISNUMBER($E222))),"",IF(ISNUMBER($AS222),MAX(0,INT($AS222)-INT($E222)),MAX(0,TODAY()-INT($E222))))</f>
        <v/>
      </c>
      <c r="AK209" s="30" t="n"/>
      <c r="AL209" s="30" t="n"/>
      <c r="AM209" s="30" t="n"/>
      <c r="AN209" s="39" t="n"/>
      <c r="AO209" s="30" t="n"/>
      <c r="AP209" s="30" t="n"/>
      <c r="AQ209" s="39" t="n"/>
      <c r="AR209" s="30" t="n"/>
      <c r="AS209" s="39" t="n"/>
      <c r="AT209" s="30">
        <f>IF(OR($AS222="",NOT(ISNUMBER($AS222)),$AH222=""),"",IF(INT($AS222)&lt;=$AH222,"A tiempo","Fuera de término"))</f>
        <v/>
      </c>
      <c r="AU209" s="40" t="n"/>
      <c r="AV209" s="40" t="n"/>
      <c r="AW209" s="40" t="n"/>
      <c r="AX209" s="40" t="n"/>
      <c r="AY209" s="30" t="n"/>
      <c r="AZ209" s="30" t="n"/>
      <c r="BA209" s="30" t="n"/>
    </row>
    <row r="210" ht="15.75" customHeight="1" s="57">
      <c r="A210" s="29" t="n"/>
      <c r="B210" s="30" t="n"/>
      <c r="C210" s="39" t="n"/>
      <c r="D210" s="39" t="n"/>
      <c r="E210" s="39" t="n"/>
      <c r="F210" s="40" t="n"/>
      <c r="G210" s="30" t="n"/>
      <c r="H210" s="30" t="n"/>
      <c r="I210" s="30" t="n"/>
      <c r="J210" s="30" t="n"/>
      <c r="K210" s="30" t="n"/>
      <c r="L210" s="30" t="n"/>
      <c r="M210" s="30" t="n"/>
      <c r="N210" s="30" t="n"/>
      <c r="O210" s="30" t="n"/>
      <c r="P210" s="30" t="n"/>
      <c r="Q210" s="30" t="n"/>
      <c r="R210" s="30" t="n"/>
      <c r="S210" s="30" t="n"/>
      <c r="T210" s="30" t="n"/>
      <c r="U210" s="30" t="n"/>
      <c r="V210" s="30" t="n"/>
      <c r="W210" s="30" t="n"/>
      <c r="X210" s="30" t="n"/>
      <c r="Y210" s="30" t="n"/>
      <c r="Z210" s="30" t="n"/>
      <c r="AA210" s="30" t="n"/>
      <c r="AB210" s="30" t="n"/>
      <c r="AC210" s="30" t="n"/>
      <c r="AD210" s="41" t="n"/>
      <c r="AE210" s="30" t="n"/>
      <c r="AF210" s="42">
        <f>IF($AA223="","",IF(LEFT(UPPER(TRIM($AA223)),8)="FELICITA","N/A",IF($AE223="","",IFERROR(VLOOKUP(UPPER(TRIM($AE223)),Config!$A$6:$D$8,2,FALSE),IFERROR(VLOOKUP(IF(LEFT(UPPER(TRIM($AE223)),5)="SUPER","SUPER SALUD",IF(LEFT(UPPER(TRIM($AE223)),8)="SECRETAR","SECRETARIA DE SALUD",IF(LEFT(UPPER(TRIM($AE223)),4)="SEDE","SEDE",UPPER(TRIM($AE223))))),Config!$A$6:$D$8,2,FALSE),"⚠")))))</f>
        <v/>
      </c>
      <c r="AG210" s="30">
        <f>IF($AA223="","",IF(LEFT(UPPER(TRIM($AA223)),8)="FELICITA","N/A",IF($AE223="","",IFERROR(VLOOKUP(UPPER(TRIM($AE223)),Config!$A$6:$D$8,3,FALSE),IFERROR(VLOOKUP(IF(LEFT(UPPER(TRIM($AE223)),5)="SUPER","SUPER SALUD",IF(LEFT(UPPER(TRIM($AE223)),8)="SECRETAR","SECRETARIA DE SALUD",IF(LEFT(UPPER(TRIM($AE223)),4)="SEDE","SEDE",UPPER(TRIM($AE223))))),Config!$A$6:$D$8,3,FALSE),"")))))</f>
        <v/>
      </c>
      <c r="AH210" s="39">
        <f>IF(OR($E223="",NOT(ISNUMBER($E223)),$AF223="",$AF223="N/A",NOT(ISNUMBER($AF223))),"",IF($AG223="Hábiles",WORKDAY(INT($E223),$AF223,Config!$F$6:$F$39),INT($E223)+$AF223))</f>
        <v/>
      </c>
      <c r="AI210" s="30">
        <f>IF($E223="","",IF(LEFT(UPPER(TRIM($AA223)),8)="FELICITA","⭐ Felicitación",IF(NOT(ISNUMBER($E223)),"⚠ Revisar fecha",IF(UPPER(TRIM($AK223))="RESPONDIDA - CERRADA","✅ Cerrada",IF($AE223="","⚠ Falta entidad",IF($AH223="","⚠ Revisar término",IF(TODAY()&gt;$AH223,"🔴 Vencida",IF($AH223-TODAY()&lt;=Config!$B$12,"🟡 Próxima a vencer","🟢 En término"))))))))</f>
        <v/>
      </c>
      <c r="AJ210" s="42">
        <f>IF(OR($E223="",NOT(ISNUMBER($E223))),"",IF(ISNUMBER($AS223),MAX(0,INT($AS223)-INT($E223)),MAX(0,TODAY()-INT($E223))))</f>
        <v/>
      </c>
      <c r="AK210" s="30" t="n"/>
      <c r="AL210" s="30" t="n"/>
      <c r="AM210" s="30" t="n"/>
      <c r="AN210" s="39" t="n"/>
      <c r="AO210" s="30" t="n"/>
      <c r="AP210" s="30" t="n"/>
      <c r="AQ210" s="39" t="n"/>
      <c r="AR210" s="30" t="n"/>
      <c r="AS210" s="39" t="n"/>
      <c r="AT210" s="30">
        <f>IF(OR($AS223="",NOT(ISNUMBER($AS223)),$AH223=""),"",IF(INT($AS223)&lt;=$AH223,"A tiempo","Fuera de término"))</f>
        <v/>
      </c>
      <c r="AU210" s="40" t="n"/>
      <c r="AV210" s="40" t="n"/>
      <c r="AW210" s="40" t="n"/>
      <c r="AX210" s="40" t="n"/>
      <c r="AY210" s="30" t="n"/>
      <c r="AZ210" s="30" t="n"/>
      <c r="BA210" s="30" t="n"/>
    </row>
    <row r="211" ht="15.75" customHeight="1" s="57">
      <c r="A211" s="29" t="n"/>
      <c r="B211" s="30" t="n"/>
      <c r="C211" s="39" t="n"/>
      <c r="D211" s="39" t="n"/>
      <c r="E211" s="39" t="n"/>
      <c r="F211" s="40" t="n"/>
      <c r="G211" s="30" t="n"/>
      <c r="H211" s="30" t="n"/>
      <c r="I211" s="30" t="n"/>
      <c r="J211" s="30" t="n"/>
      <c r="K211" s="30" t="n"/>
      <c r="L211" s="30" t="n"/>
      <c r="M211" s="30" t="n"/>
      <c r="N211" s="30" t="n"/>
      <c r="O211" s="30" t="n"/>
      <c r="P211" s="30" t="n"/>
      <c r="Q211" s="30" t="n"/>
      <c r="R211" s="30" t="n"/>
      <c r="S211" s="30" t="n"/>
      <c r="T211" s="30" t="n"/>
      <c r="U211" s="30" t="n"/>
      <c r="V211" s="30" t="n"/>
      <c r="W211" s="30" t="n"/>
      <c r="X211" s="30" t="n"/>
      <c r="Y211" s="30" t="n"/>
      <c r="Z211" s="30" t="n"/>
      <c r="AA211" s="30" t="n"/>
      <c r="AB211" s="30" t="n"/>
      <c r="AC211" s="30" t="n"/>
      <c r="AD211" s="41" t="n"/>
      <c r="AE211" s="30" t="n"/>
      <c r="AF211" s="42">
        <f>IF($AA224="","",IF(LEFT(UPPER(TRIM($AA224)),8)="FELICITA","N/A",IF($AE224="","",IFERROR(VLOOKUP(UPPER(TRIM($AE224)),Config!$A$6:$D$8,2,FALSE),IFERROR(VLOOKUP(IF(LEFT(UPPER(TRIM($AE224)),5)="SUPER","SUPER SALUD",IF(LEFT(UPPER(TRIM($AE224)),8)="SECRETAR","SECRETARIA DE SALUD",IF(LEFT(UPPER(TRIM($AE224)),4)="SEDE","SEDE",UPPER(TRIM($AE224))))),Config!$A$6:$D$8,2,FALSE),"⚠")))))</f>
        <v/>
      </c>
      <c r="AG211" s="30">
        <f>IF($AA224="","",IF(LEFT(UPPER(TRIM($AA224)),8)="FELICITA","N/A",IF($AE224="","",IFERROR(VLOOKUP(UPPER(TRIM($AE224)),Config!$A$6:$D$8,3,FALSE),IFERROR(VLOOKUP(IF(LEFT(UPPER(TRIM($AE224)),5)="SUPER","SUPER SALUD",IF(LEFT(UPPER(TRIM($AE224)),8)="SECRETAR","SECRETARIA DE SALUD",IF(LEFT(UPPER(TRIM($AE224)),4)="SEDE","SEDE",UPPER(TRIM($AE224))))),Config!$A$6:$D$8,3,FALSE),"")))))</f>
        <v/>
      </c>
      <c r="AH211" s="39">
        <f>IF(OR($E224="",NOT(ISNUMBER($E224)),$AF224="",$AF224="N/A",NOT(ISNUMBER($AF224))),"",IF($AG224="Hábiles",WORKDAY(INT($E224),$AF224,Config!$F$6:$F$39),INT($E224)+$AF224))</f>
        <v/>
      </c>
      <c r="AI211" s="30">
        <f>IF($E224="","",IF(LEFT(UPPER(TRIM($AA224)),8)="FELICITA","⭐ Felicitación",IF(NOT(ISNUMBER($E224)),"⚠ Revisar fecha",IF(UPPER(TRIM($AK224))="RESPONDIDA - CERRADA","✅ Cerrada",IF($AE224="","⚠ Falta entidad",IF($AH224="","⚠ Revisar término",IF(TODAY()&gt;$AH224,"🔴 Vencida",IF($AH224-TODAY()&lt;=Config!$B$12,"🟡 Próxima a vencer","🟢 En término"))))))))</f>
        <v/>
      </c>
      <c r="AJ211" s="42">
        <f>IF(OR($E224="",NOT(ISNUMBER($E224))),"",IF(ISNUMBER($AS224),MAX(0,INT($AS224)-INT($E224)),MAX(0,TODAY()-INT($E224))))</f>
        <v/>
      </c>
      <c r="AK211" s="30" t="n"/>
      <c r="AL211" s="30" t="n"/>
      <c r="AM211" s="30" t="n"/>
      <c r="AN211" s="39" t="n"/>
      <c r="AO211" s="30" t="n"/>
      <c r="AP211" s="30" t="n"/>
      <c r="AQ211" s="39" t="n"/>
      <c r="AR211" s="30" t="n"/>
      <c r="AS211" s="39" t="n"/>
      <c r="AT211" s="30">
        <f>IF(OR($AS224="",NOT(ISNUMBER($AS224)),$AH224=""),"",IF(INT($AS224)&lt;=$AH224,"A tiempo","Fuera de término"))</f>
        <v/>
      </c>
      <c r="AU211" s="40" t="n"/>
      <c r="AV211" s="40" t="n"/>
      <c r="AW211" s="40" t="n"/>
      <c r="AX211" s="40" t="n"/>
      <c r="AY211" s="30" t="n"/>
      <c r="AZ211" s="30" t="n"/>
      <c r="BA211" s="30" t="n"/>
    </row>
    <row r="212" ht="15.75" customHeight="1" s="57">
      <c r="A212" s="29" t="n"/>
      <c r="B212" s="30" t="n"/>
      <c r="C212" s="39" t="n"/>
      <c r="D212" s="39" t="n"/>
      <c r="E212" s="39" t="n"/>
      <c r="F212" s="40" t="n"/>
      <c r="G212" s="30" t="n"/>
      <c r="H212" s="30" t="n"/>
      <c r="I212" s="30" t="n"/>
      <c r="J212" s="30" t="n"/>
      <c r="K212" s="30" t="n"/>
      <c r="L212" s="30" t="n"/>
      <c r="M212" s="30" t="n"/>
      <c r="N212" s="30" t="n"/>
      <c r="O212" s="30" t="n"/>
      <c r="P212" s="30" t="n"/>
      <c r="Q212" s="30" t="n"/>
      <c r="R212" s="30" t="n"/>
      <c r="S212" s="30" t="n"/>
      <c r="T212" s="30" t="n"/>
      <c r="U212" s="30" t="n"/>
      <c r="V212" s="30" t="n"/>
      <c r="W212" s="30" t="n"/>
      <c r="X212" s="30" t="n"/>
      <c r="Y212" s="30" t="n"/>
      <c r="Z212" s="30" t="n"/>
      <c r="AA212" s="30" t="n"/>
      <c r="AB212" s="30" t="n"/>
      <c r="AC212" s="30" t="n"/>
      <c r="AD212" s="41" t="n"/>
      <c r="AE212" s="30" t="n"/>
      <c r="AF212" s="42">
        <f>IF($AA225="","",IF(LEFT(UPPER(TRIM($AA225)),8)="FELICITA","N/A",IF($AE225="","",IFERROR(VLOOKUP(UPPER(TRIM($AE225)),Config!$A$6:$D$8,2,FALSE),IFERROR(VLOOKUP(IF(LEFT(UPPER(TRIM($AE225)),5)="SUPER","SUPER SALUD",IF(LEFT(UPPER(TRIM($AE225)),8)="SECRETAR","SECRETARIA DE SALUD",IF(LEFT(UPPER(TRIM($AE225)),4)="SEDE","SEDE",UPPER(TRIM($AE225))))),Config!$A$6:$D$8,2,FALSE),"⚠")))))</f>
        <v/>
      </c>
      <c r="AG212" s="30">
        <f>IF($AA225="","",IF(LEFT(UPPER(TRIM($AA225)),8)="FELICITA","N/A",IF($AE225="","",IFERROR(VLOOKUP(UPPER(TRIM($AE225)),Config!$A$6:$D$8,3,FALSE),IFERROR(VLOOKUP(IF(LEFT(UPPER(TRIM($AE225)),5)="SUPER","SUPER SALUD",IF(LEFT(UPPER(TRIM($AE225)),8)="SECRETAR","SECRETARIA DE SALUD",IF(LEFT(UPPER(TRIM($AE225)),4)="SEDE","SEDE",UPPER(TRIM($AE225))))),Config!$A$6:$D$8,3,FALSE),"")))))</f>
        <v/>
      </c>
      <c r="AH212" s="39">
        <f>IF(OR($E225="",NOT(ISNUMBER($E225)),$AF225="",$AF225="N/A",NOT(ISNUMBER($AF225))),"",IF($AG225="Hábiles",WORKDAY(INT($E225),$AF225,Config!$F$6:$F$39),INT($E225)+$AF225))</f>
        <v/>
      </c>
      <c r="AI212" s="30">
        <f>IF($E225="","",IF(LEFT(UPPER(TRIM($AA225)),8)="FELICITA","⭐ Felicitación",IF(NOT(ISNUMBER($E225)),"⚠ Revisar fecha",IF(UPPER(TRIM($AK225))="RESPONDIDA - CERRADA","✅ Cerrada",IF($AE225="","⚠ Falta entidad",IF($AH225="","⚠ Revisar término",IF(TODAY()&gt;$AH225,"🔴 Vencida",IF($AH225-TODAY()&lt;=Config!$B$12,"🟡 Próxima a vencer","🟢 En término"))))))))</f>
        <v/>
      </c>
      <c r="AJ212" s="42">
        <f>IF(OR($E225="",NOT(ISNUMBER($E225))),"",IF(ISNUMBER($AS225),MAX(0,INT($AS225)-INT($E225)),MAX(0,TODAY()-INT($E225))))</f>
        <v/>
      </c>
      <c r="AK212" s="30" t="n"/>
      <c r="AL212" s="30" t="n"/>
      <c r="AM212" s="30" t="n"/>
      <c r="AN212" s="39" t="n"/>
      <c r="AO212" s="30" t="n"/>
      <c r="AP212" s="30" t="n"/>
      <c r="AQ212" s="39" t="n"/>
      <c r="AR212" s="30" t="n"/>
      <c r="AS212" s="39" t="n"/>
      <c r="AT212" s="30">
        <f>IF(OR($AS225="",NOT(ISNUMBER($AS225)),$AH225=""),"",IF(INT($AS225)&lt;=$AH225,"A tiempo","Fuera de término"))</f>
        <v/>
      </c>
      <c r="AU212" s="40" t="n"/>
      <c r="AV212" s="40" t="n"/>
      <c r="AW212" s="40" t="n"/>
      <c r="AX212" s="40" t="n"/>
      <c r="AY212" s="30" t="n"/>
      <c r="AZ212" s="30" t="n"/>
      <c r="BA212" s="30" t="n"/>
    </row>
    <row r="213" ht="15.75" customHeight="1" s="57">
      <c r="A213" s="29" t="n"/>
      <c r="B213" s="30" t="n"/>
      <c r="C213" s="39" t="n"/>
      <c r="D213" s="39" t="n"/>
      <c r="E213" s="39" t="n"/>
      <c r="F213" s="40" t="n"/>
      <c r="G213" s="30" t="n"/>
      <c r="H213" s="30" t="n"/>
      <c r="I213" s="30" t="n"/>
      <c r="J213" s="30" t="n"/>
      <c r="K213" s="30" t="n"/>
      <c r="L213" s="30" t="n"/>
      <c r="M213" s="30" t="n"/>
      <c r="N213" s="30" t="n"/>
      <c r="O213" s="30" t="n"/>
      <c r="P213" s="30" t="n"/>
      <c r="Q213" s="30" t="n"/>
      <c r="R213" s="30" t="n"/>
      <c r="S213" s="30" t="n"/>
      <c r="T213" s="30" t="n"/>
      <c r="U213" s="30" t="n"/>
      <c r="V213" s="30" t="n"/>
      <c r="W213" s="30" t="n"/>
      <c r="X213" s="30" t="n"/>
      <c r="Y213" s="30" t="n"/>
      <c r="Z213" s="30" t="n"/>
      <c r="AA213" s="30" t="n"/>
      <c r="AB213" s="30" t="n"/>
      <c r="AC213" s="30" t="n"/>
      <c r="AD213" s="41" t="n"/>
      <c r="AE213" s="30" t="n"/>
      <c r="AF213" s="42">
        <f>IF($AA226="","",IF(LEFT(UPPER(TRIM($AA226)),8)="FELICITA","N/A",IF($AE226="","",IFERROR(VLOOKUP(UPPER(TRIM($AE226)),Config!$A$6:$D$8,2,FALSE),IFERROR(VLOOKUP(IF(LEFT(UPPER(TRIM($AE226)),5)="SUPER","SUPER SALUD",IF(LEFT(UPPER(TRIM($AE226)),8)="SECRETAR","SECRETARIA DE SALUD",IF(LEFT(UPPER(TRIM($AE226)),4)="SEDE","SEDE",UPPER(TRIM($AE226))))),Config!$A$6:$D$8,2,FALSE),"⚠")))))</f>
        <v/>
      </c>
      <c r="AG213" s="30">
        <f>IF($AA226="","",IF(LEFT(UPPER(TRIM($AA226)),8)="FELICITA","N/A",IF($AE226="","",IFERROR(VLOOKUP(UPPER(TRIM($AE226)),Config!$A$6:$D$8,3,FALSE),IFERROR(VLOOKUP(IF(LEFT(UPPER(TRIM($AE226)),5)="SUPER","SUPER SALUD",IF(LEFT(UPPER(TRIM($AE226)),8)="SECRETAR","SECRETARIA DE SALUD",IF(LEFT(UPPER(TRIM($AE226)),4)="SEDE","SEDE",UPPER(TRIM($AE226))))),Config!$A$6:$D$8,3,FALSE),"")))))</f>
        <v/>
      </c>
      <c r="AH213" s="39">
        <f>IF(OR($E226="",NOT(ISNUMBER($E226)),$AF226="",$AF226="N/A",NOT(ISNUMBER($AF226))),"",IF($AG226="Hábiles",WORKDAY(INT($E226),$AF226,Config!$F$6:$F$39),INT($E226)+$AF226))</f>
        <v/>
      </c>
      <c r="AI213" s="30">
        <f>IF($E226="","",IF(LEFT(UPPER(TRIM($AA226)),8)="FELICITA","⭐ Felicitación",IF(NOT(ISNUMBER($E226)),"⚠ Revisar fecha",IF(UPPER(TRIM($AK226))="RESPONDIDA - CERRADA","✅ Cerrada",IF($AE226="","⚠ Falta entidad",IF($AH226="","⚠ Revisar término",IF(TODAY()&gt;$AH226,"🔴 Vencida",IF($AH226-TODAY()&lt;=Config!$B$12,"🟡 Próxima a vencer","🟢 En término"))))))))</f>
        <v/>
      </c>
      <c r="AJ213" s="42">
        <f>IF(OR($E226="",NOT(ISNUMBER($E226))),"",IF(ISNUMBER($AS226),MAX(0,INT($AS226)-INT($E226)),MAX(0,TODAY()-INT($E226))))</f>
        <v/>
      </c>
      <c r="AK213" s="30" t="n"/>
      <c r="AL213" s="30" t="n"/>
      <c r="AM213" s="30" t="n"/>
      <c r="AN213" s="39" t="n"/>
      <c r="AO213" s="30" t="n"/>
      <c r="AP213" s="30" t="n"/>
      <c r="AQ213" s="39" t="n"/>
      <c r="AR213" s="30" t="n"/>
      <c r="AS213" s="39" t="n"/>
      <c r="AT213" s="30">
        <f>IF(OR($AS226="",NOT(ISNUMBER($AS226)),$AH226=""),"",IF(INT($AS226)&lt;=$AH226,"A tiempo","Fuera de término"))</f>
        <v/>
      </c>
      <c r="AU213" s="40" t="n"/>
      <c r="AV213" s="40" t="n"/>
      <c r="AW213" s="40" t="n"/>
      <c r="AX213" s="40" t="n"/>
      <c r="AY213" s="30" t="n"/>
      <c r="AZ213" s="30" t="n"/>
      <c r="BA213" s="30" t="n"/>
    </row>
    <row r="214" ht="15.75" customHeight="1" s="57">
      <c r="A214" s="29" t="n"/>
      <c r="B214" s="30" t="n"/>
      <c r="C214" s="39" t="n"/>
      <c r="D214" s="39" t="n"/>
      <c r="E214" s="39" t="n"/>
      <c r="F214" s="40" t="n"/>
      <c r="G214" s="30" t="n"/>
      <c r="H214" s="30" t="n"/>
      <c r="I214" s="30" t="n"/>
      <c r="J214" s="30" t="n"/>
      <c r="K214" s="30" t="n"/>
      <c r="L214" s="30" t="n"/>
      <c r="M214" s="30" t="n"/>
      <c r="N214" s="30" t="n"/>
      <c r="O214" s="30" t="n"/>
      <c r="P214" s="30" t="n"/>
      <c r="Q214" s="30" t="n"/>
      <c r="R214" s="30" t="n"/>
      <c r="S214" s="30" t="n"/>
      <c r="T214" s="30" t="n"/>
      <c r="U214" s="30" t="n"/>
      <c r="V214" s="30" t="n"/>
      <c r="W214" s="30" t="n"/>
      <c r="X214" s="30" t="n"/>
      <c r="Y214" s="30" t="n"/>
      <c r="Z214" s="30" t="n"/>
      <c r="AA214" s="30" t="n"/>
      <c r="AB214" s="30" t="n"/>
      <c r="AC214" s="30" t="n"/>
      <c r="AD214" s="41" t="n"/>
      <c r="AE214" s="30" t="n"/>
      <c r="AF214" s="42">
        <f>IF($AA227="","",IF(LEFT(UPPER(TRIM($AA227)),8)="FELICITA","N/A",IF($AE227="","",IFERROR(VLOOKUP(UPPER(TRIM($AE227)),Config!$A$6:$D$8,2,FALSE),IFERROR(VLOOKUP(IF(LEFT(UPPER(TRIM($AE227)),5)="SUPER","SUPER SALUD",IF(LEFT(UPPER(TRIM($AE227)),8)="SECRETAR","SECRETARIA DE SALUD",IF(LEFT(UPPER(TRIM($AE227)),4)="SEDE","SEDE",UPPER(TRIM($AE227))))),Config!$A$6:$D$8,2,FALSE),"⚠")))))</f>
        <v/>
      </c>
      <c r="AG214" s="30">
        <f>IF($AA227="","",IF(LEFT(UPPER(TRIM($AA227)),8)="FELICITA","N/A",IF($AE227="","",IFERROR(VLOOKUP(UPPER(TRIM($AE227)),Config!$A$6:$D$8,3,FALSE),IFERROR(VLOOKUP(IF(LEFT(UPPER(TRIM($AE227)),5)="SUPER","SUPER SALUD",IF(LEFT(UPPER(TRIM($AE227)),8)="SECRETAR","SECRETARIA DE SALUD",IF(LEFT(UPPER(TRIM($AE227)),4)="SEDE","SEDE",UPPER(TRIM($AE227))))),Config!$A$6:$D$8,3,FALSE),"")))))</f>
        <v/>
      </c>
      <c r="AH214" s="39">
        <f>IF(OR($E227="",NOT(ISNUMBER($E227)),$AF227="",$AF227="N/A",NOT(ISNUMBER($AF227))),"",IF($AG227="Hábiles",WORKDAY(INT($E227),$AF227,Config!$F$6:$F$39),INT($E227)+$AF227))</f>
        <v/>
      </c>
      <c r="AI214" s="30">
        <f>IF($E227="","",IF(LEFT(UPPER(TRIM($AA227)),8)="FELICITA","⭐ Felicitación",IF(NOT(ISNUMBER($E227)),"⚠ Revisar fecha",IF(UPPER(TRIM($AK227))="RESPONDIDA - CERRADA","✅ Cerrada",IF($AE227="","⚠ Falta entidad",IF($AH227="","⚠ Revisar término",IF(TODAY()&gt;$AH227,"🔴 Vencida",IF($AH227-TODAY()&lt;=Config!$B$12,"🟡 Próxima a vencer","🟢 En término"))))))))</f>
        <v/>
      </c>
      <c r="AJ214" s="42">
        <f>IF(OR($E227="",NOT(ISNUMBER($E227))),"",IF(ISNUMBER($AS227),MAX(0,INT($AS227)-INT($E227)),MAX(0,TODAY()-INT($E227))))</f>
        <v/>
      </c>
      <c r="AK214" s="30" t="n"/>
      <c r="AL214" s="30" t="n"/>
      <c r="AM214" s="30" t="n"/>
      <c r="AN214" s="39" t="n"/>
      <c r="AO214" s="30" t="n"/>
      <c r="AP214" s="30" t="n"/>
      <c r="AQ214" s="39" t="n"/>
      <c r="AR214" s="30" t="n"/>
      <c r="AS214" s="39" t="n"/>
      <c r="AT214" s="30">
        <f>IF(OR($AS227="",NOT(ISNUMBER($AS227)),$AH227=""),"",IF(INT($AS227)&lt;=$AH227,"A tiempo","Fuera de término"))</f>
        <v/>
      </c>
      <c r="AU214" s="40" t="n"/>
      <c r="AV214" s="40" t="n"/>
      <c r="AW214" s="40" t="n"/>
      <c r="AX214" s="40" t="n"/>
      <c r="AY214" s="30" t="n"/>
      <c r="AZ214" s="30" t="n"/>
      <c r="BA214" s="30" t="n"/>
    </row>
    <row r="215" ht="15.75" customHeight="1" s="57">
      <c r="A215" s="29" t="n"/>
      <c r="B215" s="30" t="n"/>
      <c r="C215" s="39" t="n"/>
      <c r="D215" s="39" t="n"/>
      <c r="E215" s="39" t="n"/>
      <c r="F215" s="40" t="n"/>
      <c r="G215" s="30" t="n"/>
      <c r="H215" s="30" t="n"/>
      <c r="I215" s="30" t="n"/>
      <c r="J215" s="30" t="n"/>
      <c r="K215" s="30" t="n"/>
      <c r="L215" s="30" t="n"/>
      <c r="M215" s="30" t="n"/>
      <c r="N215" s="30" t="n"/>
      <c r="O215" s="30" t="n"/>
      <c r="P215" s="30" t="n"/>
      <c r="Q215" s="30" t="n"/>
      <c r="R215" s="30" t="n"/>
      <c r="S215" s="30" t="n"/>
      <c r="T215" s="30" t="n"/>
      <c r="U215" s="30" t="n"/>
      <c r="V215" s="30" t="n"/>
      <c r="W215" s="30" t="n"/>
      <c r="X215" s="30" t="n"/>
      <c r="Y215" s="30" t="n"/>
      <c r="Z215" s="30" t="n"/>
      <c r="AA215" s="30" t="n"/>
      <c r="AB215" s="30" t="n"/>
      <c r="AC215" s="30" t="n"/>
      <c r="AD215" s="41" t="n"/>
      <c r="AE215" s="30" t="n"/>
      <c r="AF215" s="42">
        <f>IF($AA228="","",IF(LEFT(UPPER(TRIM($AA228)),8)="FELICITA","N/A",IF($AE228="","",IFERROR(VLOOKUP(UPPER(TRIM($AE228)),Config!$A$6:$D$8,2,FALSE),IFERROR(VLOOKUP(IF(LEFT(UPPER(TRIM($AE228)),5)="SUPER","SUPER SALUD",IF(LEFT(UPPER(TRIM($AE228)),8)="SECRETAR","SECRETARIA DE SALUD",IF(LEFT(UPPER(TRIM($AE228)),4)="SEDE","SEDE",UPPER(TRIM($AE228))))),Config!$A$6:$D$8,2,FALSE),"⚠")))))</f>
        <v/>
      </c>
      <c r="AG215" s="30">
        <f>IF($AA228="","",IF(LEFT(UPPER(TRIM($AA228)),8)="FELICITA","N/A",IF($AE228="","",IFERROR(VLOOKUP(UPPER(TRIM($AE228)),Config!$A$6:$D$8,3,FALSE),IFERROR(VLOOKUP(IF(LEFT(UPPER(TRIM($AE228)),5)="SUPER","SUPER SALUD",IF(LEFT(UPPER(TRIM($AE228)),8)="SECRETAR","SECRETARIA DE SALUD",IF(LEFT(UPPER(TRIM($AE228)),4)="SEDE","SEDE",UPPER(TRIM($AE228))))),Config!$A$6:$D$8,3,FALSE),"")))))</f>
        <v/>
      </c>
      <c r="AH215" s="39">
        <f>IF(OR($E228="",NOT(ISNUMBER($E228)),$AF228="",$AF228="N/A",NOT(ISNUMBER($AF228))),"",IF($AG228="Hábiles",WORKDAY(INT($E228),$AF228,Config!$F$6:$F$39),INT($E228)+$AF228))</f>
        <v/>
      </c>
      <c r="AI215" s="30">
        <f>IF($E228="","",IF(LEFT(UPPER(TRIM($AA228)),8)="FELICITA","⭐ Felicitación",IF(NOT(ISNUMBER($E228)),"⚠ Revisar fecha",IF(UPPER(TRIM($AK228))="RESPONDIDA - CERRADA","✅ Cerrada",IF($AE228="","⚠ Falta entidad",IF($AH228="","⚠ Revisar término",IF(TODAY()&gt;$AH228,"🔴 Vencida",IF($AH228-TODAY()&lt;=Config!$B$12,"🟡 Próxima a vencer","🟢 En término"))))))))</f>
        <v/>
      </c>
      <c r="AJ215" s="42">
        <f>IF(OR($E228="",NOT(ISNUMBER($E228))),"",IF(ISNUMBER($AS228),MAX(0,INT($AS228)-INT($E228)),MAX(0,TODAY()-INT($E228))))</f>
        <v/>
      </c>
      <c r="AK215" s="30" t="n"/>
      <c r="AL215" s="30" t="n"/>
      <c r="AM215" s="30" t="n"/>
      <c r="AN215" s="39" t="n"/>
      <c r="AO215" s="30" t="n"/>
      <c r="AP215" s="30" t="n"/>
      <c r="AQ215" s="39" t="n"/>
      <c r="AR215" s="30" t="n"/>
      <c r="AS215" s="39" t="n"/>
      <c r="AT215" s="30">
        <f>IF(OR($AS228="",NOT(ISNUMBER($AS228)),$AH228=""),"",IF(INT($AS228)&lt;=$AH228,"A tiempo","Fuera de término"))</f>
        <v/>
      </c>
      <c r="AU215" s="40" t="n"/>
      <c r="AV215" s="40" t="n"/>
      <c r="AW215" s="40" t="n"/>
      <c r="AX215" s="40" t="n"/>
      <c r="AY215" s="30" t="n"/>
      <c r="AZ215" s="30" t="n"/>
      <c r="BA215" s="30" t="n"/>
    </row>
    <row r="216" ht="15.75" customHeight="1" s="57">
      <c r="A216" s="29" t="n"/>
      <c r="B216" s="30" t="n"/>
      <c r="C216" s="39" t="n"/>
      <c r="D216" s="39" t="n"/>
      <c r="E216" s="39" t="n"/>
      <c r="F216" s="40" t="n"/>
      <c r="G216" s="30" t="n"/>
      <c r="H216" s="30" t="n"/>
      <c r="I216" s="30" t="n"/>
      <c r="J216" s="30" t="n"/>
      <c r="K216" s="30" t="n"/>
      <c r="L216" s="30" t="n"/>
      <c r="M216" s="30" t="n"/>
      <c r="N216" s="30" t="n"/>
      <c r="O216" s="30" t="n"/>
      <c r="P216" s="30" t="n"/>
      <c r="Q216" s="30" t="n"/>
      <c r="R216" s="30" t="n"/>
      <c r="S216" s="30" t="n"/>
      <c r="T216" s="30" t="n"/>
      <c r="U216" s="30" t="n"/>
      <c r="V216" s="30" t="n"/>
      <c r="W216" s="30" t="n"/>
      <c r="X216" s="30" t="n"/>
      <c r="Y216" s="30" t="n"/>
      <c r="Z216" s="30" t="n"/>
      <c r="AA216" s="30" t="n"/>
      <c r="AB216" s="30" t="n"/>
      <c r="AC216" s="30" t="n"/>
      <c r="AD216" s="41" t="n"/>
      <c r="AE216" s="30" t="n"/>
      <c r="AF216" s="42">
        <f>IF($AA229="","",IF(LEFT(UPPER(TRIM($AA229)),8)="FELICITA","N/A",IF($AE229="","",IFERROR(VLOOKUP(UPPER(TRIM($AE229)),Config!$A$6:$D$8,2,FALSE),IFERROR(VLOOKUP(IF(LEFT(UPPER(TRIM($AE229)),5)="SUPER","SUPER SALUD",IF(LEFT(UPPER(TRIM($AE229)),8)="SECRETAR","SECRETARIA DE SALUD",IF(LEFT(UPPER(TRIM($AE229)),4)="SEDE","SEDE",UPPER(TRIM($AE229))))),Config!$A$6:$D$8,2,FALSE),"⚠")))))</f>
        <v/>
      </c>
      <c r="AG216" s="30">
        <f>IF($AA229="","",IF(LEFT(UPPER(TRIM($AA229)),8)="FELICITA","N/A",IF($AE229="","",IFERROR(VLOOKUP(UPPER(TRIM($AE229)),Config!$A$6:$D$8,3,FALSE),IFERROR(VLOOKUP(IF(LEFT(UPPER(TRIM($AE229)),5)="SUPER","SUPER SALUD",IF(LEFT(UPPER(TRIM($AE229)),8)="SECRETAR","SECRETARIA DE SALUD",IF(LEFT(UPPER(TRIM($AE229)),4)="SEDE","SEDE",UPPER(TRIM($AE229))))),Config!$A$6:$D$8,3,FALSE),"")))))</f>
        <v/>
      </c>
      <c r="AH216" s="39">
        <f>IF(OR($E229="",NOT(ISNUMBER($E229)),$AF229="",$AF229="N/A",NOT(ISNUMBER($AF229))),"",IF($AG229="Hábiles",WORKDAY(INT($E229),$AF229,Config!$F$6:$F$39),INT($E229)+$AF229))</f>
        <v/>
      </c>
      <c r="AI216" s="30">
        <f>IF($E229="","",IF(LEFT(UPPER(TRIM($AA229)),8)="FELICITA","⭐ Felicitación",IF(NOT(ISNUMBER($E229)),"⚠ Revisar fecha",IF(UPPER(TRIM($AK229))="RESPONDIDA - CERRADA","✅ Cerrada",IF($AE229="","⚠ Falta entidad",IF($AH229="","⚠ Revisar término",IF(TODAY()&gt;$AH229,"🔴 Vencida",IF($AH229-TODAY()&lt;=Config!$B$12,"🟡 Próxima a vencer","🟢 En término"))))))))</f>
        <v/>
      </c>
      <c r="AJ216" s="42">
        <f>IF(OR($E229="",NOT(ISNUMBER($E229))),"",IF(ISNUMBER($AS229),MAX(0,INT($AS229)-INT($E229)),MAX(0,TODAY()-INT($E229))))</f>
        <v/>
      </c>
      <c r="AK216" s="30" t="n"/>
      <c r="AL216" s="30" t="n"/>
      <c r="AM216" s="30" t="n"/>
      <c r="AN216" s="39" t="n"/>
      <c r="AO216" s="30" t="n"/>
      <c r="AP216" s="30" t="n"/>
      <c r="AQ216" s="39" t="n"/>
      <c r="AR216" s="30" t="n"/>
      <c r="AS216" s="39" t="n"/>
      <c r="AT216" s="30">
        <f>IF(OR($AS229="",NOT(ISNUMBER($AS229)),$AH229=""),"",IF(INT($AS229)&lt;=$AH229,"A tiempo","Fuera de término"))</f>
        <v/>
      </c>
      <c r="AU216" s="40" t="n"/>
      <c r="AV216" s="40" t="n"/>
      <c r="AW216" s="40" t="n"/>
      <c r="AX216" s="40" t="n"/>
      <c r="AY216" s="30" t="n"/>
      <c r="AZ216" s="30" t="n"/>
      <c r="BA216" s="30" t="n"/>
    </row>
    <row r="217" ht="15.75" customHeight="1" s="57">
      <c r="A217" s="29" t="n"/>
      <c r="B217" s="30" t="n"/>
      <c r="C217" s="39" t="n"/>
      <c r="D217" s="39" t="n"/>
      <c r="E217" s="39" t="n"/>
      <c r="F217" s="40" t="n"/>
      <c r="G217" s="30" t="n"/>
      <c r="H217" s="30" t="n"/>
      <c r="I217" s="30" t="n"/>
      <c r="J217" s="30" t="n"/>
      <c r="K217" s="30" t="n"/>
      <c r="L217" s="30" t="n"/>
      <c r="M217" s="30" t="n"/>
      <c r="N217" s="30" t="n"/>
      <c r="O217" s="30" t="n"/>
      <c r="P217" s="30" t="n"/>
      <c r="Q217" s="30" t="n"/>
      <c r="R217" s="30" t="n"/>
      <c r="S217" s="30" t="n"/>
      <c r="T217" s="30" t="n"/>
      <c r="U217" s="30" t="n"/>
      <c r="V217" s="30" t="n"/>
      <c r="W217" s="30" t="n"/>
      <c r="X217" s="30" t="n"/>
      <c r="Y217" s="30" t="n"/>
      <c r="Z217" s="30" t="n"/>
      <c r="AA217" s="30" t="n"/>
      <c r="AB217" s="30" t="n"/>
      <c r="AC217" s="30" t="n"/>
      <c r="AD217" s="41" t="n"/>
      <c r="AE217" s="30" t="n"/>
      <c r="AF217" s="42">
        <f>IF($AA230="","",IF(LEFT(UPPER(TRIM($AA230)),8)="FELICITA","N/A",IF($AE230="","",IFERROR(VLOOKUP(UPPER(TRIM($AE230)),Config!$A$6:$D$8,2,FALSE),IFERROR(VLOOKUP(IF(LEFT(UPPER(TRIM($AE230)),5)="SUPER","SUPER SALUD",IF(LEFT(UPPER(TRIM($AE230)),8)="SECRETAR","SECRETARIA DE SALUD",IF(LEFT(UPPER(TRIM($AE230)),4)="SEDE","SEDE",UPPER(TRIM($AE230))))),Config!$A$6:$D$8,2,FALSE),"⚠")))))</f>
        <v/>
      </c>
      <c r="AG217" s="30">
        <f>IF($AA230="","",IF(LEFT(UPPER(TRIM($AA230)),8)="FELICITA","N/A",IF($AE230="","",IFERROR(VLOOKUP(UPPER(TRIM($AE230)),Config!$A$6:$D$8,3,FALSE),IFERROR(VLOOKUP(IF(LEFT(UPPER(TRIM($AE230)),5)="SUPER","SUPER SALUD",IF(LEFT(UPPER(TRIM($AE230)),8)="SECRETAR","SECRETARIA DE SALUD",IF(LEFT(UPPER(TRIM($AE230)),4)="SEDE","SEDE",UPPER(TRIM($AE230))))),Config!$A$6:$D$8,3,FALSE),"")))))</f>
        <v/>
      </c>
      <c r="AH217" s="39">
        <f>IF(OR($E230="",NOT(ISNUMBER($E230)),$AF230="",$AF230="N/A",NOT(ISNUMBER($AF230))),"",IF($AG230="Hábiles",WORKDAY(INT($E230),$AF230,Config!$F$6:$F$39),INT($E230)+$AF230))</f>
        <v/>
      </c>
      <c r="AI217" s="30">
        <f>IF($E230="","",IF(LEFT(UPPER(TRIM($AA230)),8)="FELICITA","⭐ Felicitación",IF(NOT(ISNUMBER($E230)),"⚠ Revisar fecha",IF(UPPER(TRIM($AK230))="RESPONDIDA - CERRADA","✅ Cerrada",IF($AE230="","⚠ Falta entidad",IF($AH230="","⚠ Revisar término",IF(TODAY()&gt;$AH230,"🔴 Vencida",IF($AH230-TODAY()&lt;=Config!$B$12,"🟡 Próxima a vencer","🟢 En término"))))))))</f>
        <v/>
      </c>
      <c r="AJ217" s="42">
        <f>IF(OR($E230="",NOT(ISNUMBER($E230))),"",IF(ISNUMBER($AS230),MAX(0,INT($AS230)-INT($E230)),MAX(0,TODAY()-INT($E230))))</f>
        <v/>
      </c>
      <c r="AK217" s="30" t="n"/>
      <c r="AL217" s="30" t="n"/>
      <c r="AM217" s="30" t="n"/>
      <c r="AN217" s="39" t="n"/>
      <c r="AO217" s="30" t="n"/>
      <c r="AP217" s="30" t="n"/>
      <c r="AQ217" s="39" t="n"/>
      <c r="AR217" s="30" t="n"/>
      <c r="AS217" s="39" t="n"/>
      <c r="AT217" s="30">
        <f>IF(OR($AS230="",NOT(ISNUMBER($AS230)),$AH230=""),"",IF(INT($AS230)&lt;=$AH230,"A tiempo","Fuera de término"))</f>
        <v/>
      </c>
      <c r="AU217" s="40" t="n"/>
      <c r="AV217" s="40" t="n"/>
      <c r="AW217" s="40" t="n"/>
      <c r="AX217" s="40" t="n"/>
      <c r="AY217" s="30" t="n"/>
      <c r="AZ217" s="30" t="n"/>
      <c r="BA217" s="30" t="n"/>
    </row>
    <row r="218" ht="15.75" customHeight="1" s="57">
      <c r="A218" s="29" t="n"/>
      <c r="B218" s="30" t="n"/>
      <c r="C218" s="39" t="n"/>
      <c r="D218" s="39" t="n"/>
      <c r="E218" s="39" t="n"/>
      <c r="F218" s="40" t="n"/>
      <c r="G218" s="30" t="n"/>
      <c r="H218" s="30" t="n"/>
      <c r="I218" s="30" t="n"/>
      <c r="J218" s="30" t="n"/>
      <c r="K218" s="30" t="n"/>
      <c r="L218" s="30" t="n"/>
      <c r="M218" s="30" t="n"/>
      <c r="N218" s="30" t="n"/>
      <c r="O218" s="30" t="n"/>
      <c r="P218" s="30" t="n"/>
      <c r="Q218" s="30" t="n"/>
      <c r="R218" s="30" t="n"/>
      <c r="S218" s="30" t="n"/>
      <c r="T218" s="30" t="n"/>
      <c r="U218" s="30" t="n"/>
      <c r="V218" s="30" t="n"/>
      <c r="W218" s="30" t="n"/>
      <c r="X218" s="30" t="n"/>
      <c r="Y218" s="30" t="n"/>
      <c r="Z218" s="30" t="n"/>
      <c r="AA218" s="30" t="n"/>
      <c r="AB218" s="30" t="n"/>
      <c r="AC218" s="30" t="n"/>
      <c r="AD218" s="41" t="n"/>
      <c r="AE218" s="30" t="n"/>
      <c r="AF218" s="42">
        <f>IF($AA231="","",IF(LEFT(UPPER(TRIM($AA231)),8)="FELICITA","N/A",IF($AE231="","",IFERROR(VLOOKUP(UPPER(TRIM($AE231)),Config!$A$6:$D$8,2,FALSE),IFERROR(VLOOKUP(IF(LEFT(UPPER(TRIM($AE231)),5)="SUPER","SUPER SALUD",IF(LEFT(UPPER(TRIM($AE231)),8)="SECRETAR","SECRETARIA DE SALUD",IF(LEFT(UPPER(TRIM($AE231)),4)="SEDE","SEDE",UPPER(TRIM($AE231))))),Config!$A$6:$D$8,2,FALSE),"⚠")))))</f>
        <v/>
      </c>
      <c r="AG218" s="30">
        <f>IF($AA231="","",IF(LEFT(UPPER(TRIM($AA231)),8)="FELICITA","N/A",IF($AE231="","",IFERROR(VLOOKUP(UPPER(TRIM($AE231)),Config!$A$6:$D$8,3,FALSE),IFERROR(VLOOKUP(IF(LEFT(UPPER(TRIM($AE231)),5)="SUPER","SUPER SALUD",IF(LEFT(UPPER(TRIM($AE231)),8)="SECRETAR","SECRETARIA DE SALUD",IF(LEFT(UPPER(TRIM($AE231)),4)="SEDE","SEDE",UPPER(TRIM($AE231))))),Config!$A$6:$D$8,3,FALSE),"")))))</f>
        <v/>
      </c>
      <c r="AH218" s="39">
        <f>IF(OR($E231="",NOT(ISNUMBER($E231)),$AF231="",$AF231="N/A",NOT(ISNUMBER($AF231))),"",IF($AG231="Hábiles",WORKDAY(INT($E231),$AF231,Config!$F$6:$F$39),INT($E231)+$AF231))</f>
        <v/>
      </c>
      <c r="AI218" s="30">
        <f>IF($E231="","",IF(LEFT(UPPER(TRIM($AA231)),8)="FELICITA","⭐ Felicitación",IF(NOT(ISNUMBER($E231)),"⚠ Revisar fecha",IF(UPPER(TRIM($AK231))="RESPONDIDA - CERRADA","✅ Cerrada",IF($AE231="","⚠ Falta entidad",IF($AH231="","⚠ Revisar término",IF(TODAY()&gt;$AH231,"🔴 Vencida",IF($AH231-TODAY()&lt;=Config!$B$12,"🟡 Próxima a vencer","🟢 En término"))))))))</f>
        <v/>
      </c>
      <c r="AJ218" s="42">
        <f>IF(OR($E231="",NOT(ISNUMBER($E231))),"",IF(ISNUMBER($AS231),MAX(0,INT($AS231)-INT($E231)),MAX(0,TODAY()-INT($E231))))</f>
        <v/>
      </c>
      <c r="AK218" s="30" t="n"/>
      <c r="AL218" s="30" t="n"/>
      <c r="AM218" s="30" t="n"/>
      <c r="AN218" s="39" t="n"/>
      <c r="AO218" s="30" t="n"/>
      <c r="AP218" s="30" t="n"/>
      <c r="AQ218" s="39" t="n"/>
      <c r="AR218" s="30" t="n"/>
      <c r="AS218" s="39" t="n"/>
      <c r="AT218" s="30">
        <f>IF(OR($AS231="",NOT(ISNUMBER($AS231)),$AH231=""),"",IF(INT($AS231)&lt;=$AH231,"A tiempo","Fuera de término"))</f>
        <v/>
      </c>
      <c r="AU218" s="40" t="n"/>
      <c r="AV218" s="40" t="n"/>
      <c r="AW218" s="40" t="n"/>
      <c r="AX218" s="40" t="n"/>
      <c r="AY218" s="30" t="n"/>
      <c r="AZ218" s="30" t="n"/>
      <c r="BA218" s="30" t="n"/>
    </row>
    <row r="219" ht="15.75" customHeight="1" s="57">
      <c r="A219" s="29" t="n"/>
      <c r="B219" s="30" t="n"/>
      <c r="C219" s="39" t="n"/>
      <c r="D219" s="39" t="n"/>
      <c r="E219" s="39" t="n"/>
      <c r="F219" s="40" t="n"/>
      <c r="G219" s="30" t="n"/>
      <c r="H219" s="30" t="n"/>
      <c r="I219" s="30" t="n"/>
      <c r="J219" s="30" t="n"/>
      <c r="K219" s="30" t="n"/>
      <c r="L219" s="30" t="n"/>
      <c r="M219" s="30" t="n"/>
      <c r="N219" s="30" t="n"/>
      <c r="O219" s="30" t="n"/>
      <c r="P219" s="30" t="n"/>
      <c r="Q219" s="30" t="n"/>
      <c r="R219" s="30" t="n"/>
      <c r="S219" s="30" t="n"/>
      <c r="T219" s="30" t="n"/>
      <c r="U219" s="30" t="n"/>
      <c r="V219" s="30" t="n"/>
      <c r="W219" s="30" t="n"/>
      <c r="X219" s="30" t="n"/>
      <c r="Y219" s="30" t="n"/>
      <c r="Z219" s="30" t="n"/>
      <c r="AA219" s="30" t="n"/>
      <c r="AB219" s="30" t="n"/>
      <c r="AC219" s="30" t="n"/>
      <c r="AD219" s="41" t="n"/>
      <c r="AE219" s="30" t="n"/>
      <c r="AF219" s="42">
        <f>IF($AA232="","",IF(LEFT(UPPER(TRIM($AA232)),8)="FELICITA","N/A",IF($AE232="","",IFERROR(VLOOKUP(UPPER(TRIM($AE232)),Config!$A$6:$D$8,2,FALSE),IFERROR(VLOOKUP(IF(LEFT(UPPER(TRIM($AE232)),5)="SUPER","SUPER SALUD",IF(LEFT(UPPER(TRIM($AE232)),8)="SECRETAR","SECRETARIA DE SALUD",IF(LEFT(UPPER(TRIM($AE232)),4)="SEDE","SEDE",UPPER(TRIM($AE232))))),Config!$A$6:$D$8,2,FALSE),"⚠")))))</f>
        <v/>
      </c>
      <c r="AG219" s="30">
        <f>IF($AA232="","",IF(LEFT(UPPER(TRIM($AA232)),8)="FELICITA","N/A",IF($AE232="","",IFERROR(VLOOKUP(UPPER(TRIM($AE232)),Config!$A$6:$D$8,3,FALSE),IFERROR(VLOOKUP(IF(LEFT(UPPER(TRIM($AE232)),5)="SUPER","SUPER SALUD",IF(LEFT(UPPER(TRIM($AE232)),8)="SECRETAR","SECRETARIA DE SALUD",IF(LEFT(UPPER(TRIM($AE232)),4)="SEDE","SEDE",UPPER(TRIM($AE232))))),Config!$A$6:$D$8,3,FALSE),"")))))</f>
        <v/>
      </c>
      <c r="AH219" s="39">
        <f>IF(OR($E232="",NOT(ISNUMBER($E232)),$AF232="",$AF232="N/A",NOT(ISNUMBER($AF232))),"",IF($AG232="Hábiles",WORKDAY(INT($E232),$AF232,Config!$F$6:$F$39),INT($E232)+$AF232))</f>
        <v/>
      </c>
      <c r="AI219" s="30">
        <f>IF($E232="","",IF(LEFT(UPPER(TRIM($AA232)),8)="FELICITA","⭐ Felicitación",IF(NOT(ISNUMBER($E232)),"⚠ Revisar fecha",IF(UPPER(TRIM($AK232))="RESPONDIDA - CERRADA","✅ Cerrada",IF($AE232="","⚠ Falta entidad",IF($AH232="","⚠ Revisar término",IF(TODAY()&gt;$AH232,"🔴 Vencida",IF($AH232-TODAY()&lt;=Config!$B$12,"🟡 Próxima a vencer","🟢 En término"))))))))</f>
        <v/>
      </c>
      <c r="AJ219" s="42">
        <f>IF(OR($E232="",NOT(ISNUMBER($E232))),"",IF(ISNUMBER($AS232),MAX(0,INT($AS232)-INT($E232)),MAX(0,TODAY()-INT($E232))))</f>
        <v/>
      </c>
      <c r="AK219" s="30" t="n"/>
      <c r="AL219" s="30" t="n"/>
      <c r="AM219" s="30" t="n"/>
      <c r="AN219" s="39" t="n"/>
      <c r="AO219" s="30" t="n"/>
      <c r="AP219" s="30" t="n"/>
      <c r="AQ219" s="39" t="n"/>
      <c r="AR219" s="30" t="n"/>
      <c r="AS219" s="39" t="n"/>
      <c r="AT219" s="30">
        <f>IF(OR($AS232="",NOT(ISNUMBER($AS232)),$AH232=""),"",IF(INT($AS232)&lt;=$AH232,"A tiempo","Fuera de término"))</f>
        <v/>
      </c>
      <c r="AU219" s="40" t="n"/>
      <c r="AV219" s="40" t="n"/>
      <c r="AW219" s="40" t="n"/>
      <c r="AX219" s="40" t="n"/>
      <c r="AY219" s="30" t="n"/>
      <c r="AZ219" s="30" t="n"/>
      <c r="BA219" s="30" t="n"/>
    </row>
    <row r="220" ht="15.75" customHeight="1" s="57">
      <c r="A220" s="29" t="n"/>
      <c r="B220" s="30" t="n"/>
      <c r="C220" s="39" t="n"/>
      <c r="D220" s="39" t="n"/>
      <c r="E220" s="39" t="n"/>
      <c r="F220" s="40" t="n"/>
      <c r="G220" s="30" t="n"/>
      <c r="H220" s="30" t="n"/>
      <c r="I220" s="30" t="n"/>
      <c r="J220" s="30" t="n"/>
      <c r="K220" s="30" t="n"/>
      <c r="L220" s="30" t="n"/>
      <c r="M220" s="30" t="n"/>
      <c r="N220" s="30" t="n"/>
      <c r="O220" s="30" t="n"/>
      <c r="P220" s="30" t="n"/>
      <c r="Q220" s="30" t="n"/>
      <c r="R220" s="30" t="n"/>
      <c r="S220" s="30" t="n"/>
      <c r="T220" s="30" t="n"/>
      <c r="U220" s="30" t="n"/>
      <c r="V220" s="30" t="n"/>
      <c r="W220" s="30" t="n"/>
      <c r="X220" s="30" t="n"/>
      <c r="Y220" s="30" t="n"/>
      <c r="Z220" s="30" t="n"/>
      <c r="AA220" s="30" t="n"/>
      <c r="AB220" s="30" t="n"/>
      <c r="AC220" s="30" t="n"/>
      <c r="AD220" s="41" t="n"/>
      <c r="AE220" s="30" t="n"/>
      <c r="AF220" s="42">
        <f>IF($AA233="","",IF(LEFT(UPPER(TRIM($AA233)),8)="FELICITA","N/A",IF($AE233="","",IFERROR(VLOOKUP(UPPER(TRIM($AE233)),Config!$A$6:$D$8,2,FALSE),IFERROR(VLOOKUP(IF(LEFT(UPPER(TRIM($AE233)),5)="SUPER","SUPER SALUD",IF(LEFT(UPPER(TRIM($AE233)),8)="SECRETAR","SECRETARIA DE SALUD",IF(LEFT(UPPER(TRIM($AE233)),4)="SEDE","SEDE",UPPER(TRIM($AE233))))),Config!$A$6:$D$8,2,FALSE),"⚠")))))</f>
        <v/>
      </c>
      <c r="AG220" s="30">
        <f>IF($AA233="","",IF(LEFT(UPPER(TRIM($AA233)),8)="FELICITA","N/A",IF($AE233="","",IFERROR(VLOOKUP(UPPER(TRIM($AE233)),Config!$A$6:$D$8,3,FALSE),IFERROR(VLOOKUP(IF(LEFT(UPPER(TRIM($AE233)),5)="SUPER","SUPER SALUD",IF(LEFT(UPPER(TRIM($AE233)),8)="SECRETAR","SECRETARIA DE SALUD",IF(LEFT(UPPER(TRIM($AE233)),4)="SEDE","SEDE",UPPER(TRIM($AE233))))),Config!$A$6:$D$8,3,FALSE),"")))))</f>
        <v/>
      </c>
      <c r="AH220" s="39">
        <f>IF(OR($E233="",NOT(ISNUMBER($E233)),$AF233="",$AF233="N/A",NOT(ISNUMBER($AF233))),"",IF($AG233="Hábiles",WORKDAY(INT($E233),$AF233,Config!$F$6:$F$39),INT($E233)+$AF233))</f>
        <v/>
      </c>
      <c r="AI220" s="30">
        <f>IF($E233="","",IF(LEFT(UPPER(TRIM($AA233)),8)="FELICITA","⭐ Felicitación",IF(NOT(ISNUMBER($E233)),"⚠ Revisar fecha",IF(UPPER(TRIM($AK233))="RESPONDIDA - CERRADA","✅ Cerrada",IF($AE233="","⚠ Falta entidad",IF($AH233="","⚠ Revisar término",IF(TODAY()&gt;$AH233,"🔴 Vencida",IF($AH233-TODAY()&lt;=Config!$B$12,"🟡 Próxima a vencer","🟢 En término"))))))))</f>
        <v/>
      </c>
      <c r="AJ220" s="42">
        <f>IF(OR($E233="",NOT(ISNUMBER($E233))),"",IF(ISNUMBER($AS233),MAX(0,INT($AS233)-INT($E233)),MAX(0,TODAY()-INT($E233))))</f>
        <v/>
      </c>
      <c r="AK220" s="30" t="n"/>
      <c r="AL220" s="30" t="n"/>
      <c r="AM220" s="30" t="n"/>
      <c r="AN220" s="39" t="n"/>
      <c r="AO220" s="30" t="n"/>
      <c r="AP220" s="30" t="n"/>
      <c r="AQ220" s="39" t="n"/>
      <c r="AR220" s="30" t="n"/>
      <c r="AS220" s="39" t="n"/>
      <c r="AT220" s="30">
        <f>IF(OR($AS233="",NOT(ISNUMBER($AS233)),$AH233=""),"",IF(INT($AS233)&lt;=$AH233,"A tiempo","Fuera de término"))</f>
        <v/>
      </c>
      <c r="AU220" s="40" t="n"/>
      <c r="AV220" s="40" t="n"/>
      <c r="AW220" s="40" t="n"/>
      <c r="AX220" s="40" t="n"/>
      <c r="AY220" s="30" t="n"/>
      <c r="AZ220" s="30" t="n"/>
      <c r="BA220" s="30" t="n"/>
    </row>
    <row r="221" ht="15.75" customHeight="1" s="57">
      <c r="A221" s="29" t="n"/>
      <c r="B221" s="30" t="n"/>
      <c r="C221" s="39" t="n"/>
      <c r="D221" s="39" t="n"/>
      <c r="E221" s="39" t="n"/>
      <c r="F221" s="40" t="n"/>
      <c r="G221" s="30" t="n"/>
      <c r="H221" s="30" t="n"/>
      <c r="I221" s="30" t="n"/>
      <c r="J221" s="30" t="n"/>
      <c r="K221" s="30" t="n"/>
      <c r="L221" s="30" t="n"/>
      <c r="M221" s="30" t="n"/>
      <c r="N221" s="30" t="n"/>
      <c r="O221" s="30" t="n"/>
      <c r="P221" s="30" t="n"/>
      <c r="Q221" s="30" t="n"/>
      <c r="R221" s="30" t="n"/>
      <c r="S221" s="30" t="n"/>
      <c r="T221" s="30" t="n"/>
      <c r="U221" s="30" t="n"/>
      <c r="V221" s="30" t="n"/>
      <c r="W221" s="30" t="n"/>
      <c r="X221" s="30" t="n"/>
      <c r="Y221" s="30" t="n"/>
      <c r="Z221" s="30" t="n"/>
      <c r="AA221" s="30" t="n"/>
      <c r="AB221" s="30" t="n"/>
      <c r="AC221" s="30" t="n"/>
      <c r="AD221" s="41" t="n"/>
      <c r="AE221" s="30" t="n"/>
      <c r="AF221" s="42">
        <f>IF($AA234="","",IF(LEFT(UPPER(TRIM($AA234)),8)="FELICITA","N/A",IF($AE234="","",IFERROR(VLOOKUP(UPPER(TRIM($AE234)),Config!$A$6:$D$8,2,FALSE),IFERROR(VLOOKUP(IF(LEFT(UPPER(TRIM($AE234)),5)="SUPER","SUPER SALUD",IF(LEFT(UPPER(TRIM($AE234)),8)="SECRETAR","SECRETARIA DE SALUD",IF(LEFT(UPPER(TRIM($AE234)),4)="SEDE","SEDE",UPPER(TRIM($AE234))))),Config!$A$6:$D$8,2,FALSE),"⚠")))))</f>
        <v/>
      </c>
      <c r="AG221" s="30">
        <f>IF($AA234="","",IF(LEFT(UPPER(TRIM($AA234)),8)="FELICITA","N/A",IF($AE234="","",IFERROR(VLOOKUP(UPPER(TRIM($AE234)),Config!$A$6:$D$8,3,FALSE),IFERROR(VLOOKUP(IF(LEFT(UPPER(TRIM($AE234)),5)="SUPER","SUPER SALUD",IF(LEFT(UPPER(TRIM($AE234)),8)="SECRETAR","SECRETARIA DE SALUD",IF(LEFT(UPPER(TRIM($AE234)),4)="SEDE","SEDE",UPPER(TRIM($AE234))))),Config!$A$6:$D$8,3,FALSE),"")))))</f>
        <v/>
      </c>
      <c r="AH221" s="39">
        <f>IF(OR($E234="",NOT(ISNUMBER($E234)),$AF234="",$AF234="N/A",NOT(ISNUMBER($AF234))),"",IF($AG234="Hábiles",WORKDAY(INT($E234),$AF234,Config!$F$6:$F$39),INT($E234)+$AF234))</f>
        <v/>
      </c>
      <c r="AI221" s="30">
        <f>IF($E234="","",IF(LEFT(UPPER(TRIM($AA234)),8)="FELICITA","⭐ Felicitación",IF(NOT(ISNUMBER($E234)),"⚠ Revisar fecha",IF(UPPER(TRIM($AK234))="RESPONDIDA - CERRADA","✅ Cerrada",IF($AE234="","⚠ Falta entidad",IF($AH234="","⚠ Revisar término",IF(TODAY()&gt;$AH234,"🔴 Vencida",IF($AH234-TODAY()&lt;=Config!$B$12,"🟡 Próxima a vencer","🟢 En término"))))))))</f>
        <v/>
      </c>
      <c r="AJ221" s="42">
        <f>IF(OR($E234="",NOT(ISNUMBER($E234))),"",IF(ISNUMBER($AS234),MAX(0,INT($AS234)-INT($E234)),MAX(0,TODAY()-INT($E234))))</f>
        <v/>
      </c>
      <c r="AK221" s="30" t="n"/>
      <c r="AL221" s="30" t="n"/>
      <c r="AM221" s="30" t="n"/>
      <c r="AN221" s="39" t="n"/>
      <c r="AO221" s="30" t="n"/>
      <c r="AP221" s="30" t="n"/>
      <c r="AQ221" s="39" t="n"/>
      <c r="AR221" s="30" t="n"/>
      <c r="AS221" s="39" t="n"/>
      <c r="AT221" s="30">
        <f>IF(OR($AS234="",NOT(ISNUMBER($AS234)),$AH234=""),"",IF(INT($AS234)&lt;=$AH234,"A tiempo","Fuera de término"))</f>
        <v/>
      </c>
      <c r="AU221" s="40" t="n"/>
      <c r="AV221" s="40" t="n"/>
      <c r="AW221" s="40" t="n"/>
      <c r="AX221" s="40" t="n"/>
      <c r="AY221" s="30" t="n"/>
      <c r="AZ221" s="30" t="n"/>
      <c r="BA221" s="30" t="n"/>
    </row>
    <row r="222" ht="15.75" customHeight="1" s="57">
      <c r="A222" s="29" t="n"/>
      <c r="B222" s="30" t="n"/>
      <c r="C222" s="39" t="n"/>
      <c r="D222" s="39" t="n"/>
      <c r="E222" s="39" t="n"/>
      <c r="F222" s="40" t="n"/>
      <c r="G222" s="30" t="n"/>
      <c r="H222" s="30" t="n"/>
      <c r="I222" s="30" t="n"/>
      <c r="J222" s="30" t="n"/>
      <c r="K222" s="30" t="n"/>
      <c r="L222" s="30" t="n"/>
      <c r="M222" s="30" t="n"/>
      <c r="N222" s="30" t="n"/>
      <c r="O222" s="30" t="n"/>
      <c r="P222" s="30" t="n"/>
      <c r="Q222" s="30" t="n"/>
      <c r="R222" s="30" t="n"/>
      <c r="S222" s="30" t="n"/>
      <c r="T222" s="30" t="n"/>
      <c r="U222" s="30" t="n"/>
      <c r="V222" s="30" t="n"/>
      <c r="W222" s="30" t="n"/>
      <c r="X222" s="30" t="n"/>
      <c r="Y222" s="30" t="n"/>
      <c r="Z222" s="30" t="n"/>
      <c r="AA222" s="30" t="n"/>
      <c r="AB222" s="30" t="n"/>
      <c r="AC222" s="30" t="n"/>
      <c r="AD222" s="41" t="n"/>
      <c r="AE222" s="30" t="n"/>
      <c r="AF222" s="42">
        <f>IF($AA235="","",IF(LEFT(UPPER(TRIM($AA235)),8)="FELICITA","N/A",IF($AE235="","",IFERROR(VLOOKUP(UPPER(TRIM($AE235)),Config!$A$6:$D$8,2,FALSE),IFERROR(VLOOKUP(IF(LEFT(UPPER(TRIM($AE235)),5)="SUPER","SUPER SALUD",IF(LEFT(UPPER(TRIM($AE235)),8)="SECRETAR","SECRETARIA DE SALUD",IF(LEFT(UPPER(TRIM($AE235)),4)="SEDE","SEDE",UPPER(TRIM($AE235))))),Config!$A$6:$D$8,2,FALSE),"⚠")))))</f>
        <v/>
      </c>
      <c r="AG222" s="30">
        <f>IF($AA235="","",IF(LEFT(UPPER(TRIM($AA235)),8)="FELICITA","N/A",IF($AE235="","",IFERROR(VLOOKUP(UPPER(TRIM($AE235)),Config!$A$6:$D$8,3,FALSE),IFERROR(VLOOKUP(IF(LEFT(UPPER(TRIM($AE235)),5)="SUPER","SUPER SALUD",IF(LEFT(UPPER(TRIM($AE235)),8)="SECRETAR","SECRETARIA DE SALUD",IF(LEFT(UPPER(TRIM($AE235)),4)="SEDE","SEDE",UPPER(TRIM($AE235))))),Config!$A$6:$D$8,3,FALSE),"")))))</f>
        <v/>
      </c>
      <c r="AH222" s="39">
        <f>IF(OR($E235="",NOT(ISNUMBER($E235)),$AF235="",$AF235="N/A",NOT(ISNUMBER($AF235))),"",IF($AG235="Hábiles",WORKDAY(INT($E235),$AF235,Config!$F$6:$F$39),INT($E235)+$AF235))</f>
        <v/>
      </c>
      <c r="AI222" s="30">
        <f>IF($E235="","",IF(LEFT(UPPER(TRIM($AA235)),8)="FELICITA","⭐ Felicitación",IF(NOT(ISNUMBER($E235)),"⚠ Revisar fecha",IF(UPPER(TRIM($AK235))="RESPONDIDA - CERRADA","✅ Cerrada",IF($AE235="","⚠ Falta entidad",IF($AH235="","⚠ Revisar término",IF(TODAY()&gt;$AH235,"🔴 Vencida",IF($AH235-TODAY()&lt;=Config!$B$12,"🟡 Próxima a vencer","🟢 En término"))))))))</f>
        <v/>
      </c>
      <c r="AJ222" s="42">
        <f>IF(OR($E235="",NOT(ISNUMBER($E235))),"",IF(ISNUMBER($AS235),MAX(0,INT($AS235)-INT($E235)),MAX(0,TODAY()-INT($E235))))</f>
        <v/>
      </c>
      <c r="AK222" s="30" t="n"/>
      <c r="AL222" s="30" t="n"/>
      <c r="AM222" s="30" t="n"/>
      <c r="AN222" s="39" t="n"/>
      <c r="AO222" s="30" t="n"/>
      <c r="AP222" s="30" t="n"/>
      <c r="AQ222" s="39" t="n"/>
      <c r="AR222" s="30" t="n"/>
      <c r="AS222" s="39" t="n"/>
      <c r="AT222" s="30">
        <f>IF(OR($AS235="",NOT(ISNUMBER($AS235)),$AH235=""),"",IF(INT($AS235)&lt;=$AH235,"A tiempo","Fuera de término"))</f>
        <v/>
      </c>
      <c r="AU222" s="40" t="n"/>
      <c r="AV222" s="40" t="n"/>
      <c r="AW222" s="40" t="n"/>
      <c r="AX222" s="40" t="n"/>
      <c r="AY222" s="30" t="n"/>
      <c r="AZ222" s="30" t="n"/>
      <c r="BA222" s="30" t="n"/>
    </row>
    <row r="223" ht="15.75" customHeight="1" s="57">
      <c r="A223" s="29" t="n"/>
      <c r="B223" s="30" t="n"/>
      <c r="C223" s="39" t="n"/>
      <c r="D223" s="39" t="n"/>
      <c r="E223" s="39" t="n"/>
      <c r="F223" s="40" t="n"/>
      <c r="G223" s="30" t="n"/>
      <c r="H223" s="30" t="n"/>
      <c r="I223" s="30" t="n"/>
      <c r="J223" s="30" t="n"/>
      <c r="K223" s="30" t="n"/>
      <c r="L223" s="30" t="n"/>
      <c r="M223" s="30" t="n"/>
      <c r="N223" s="30" t="n"/>
      <c r="O223" s="30" t="n"/>
      <c r="P223" s="30" t="n"/>
      <c r="Q223" s="30" t="n"/>
      <c r="R223" s="30" t="n"/>
      <c r="S223" s="30" t="n"/>
      <c r="T223" s="30" t="n"/>
      <c r="U223" s="30" t="n"/>
      <c r="V223" s="30" t="n"/>
      <c r="W223" s="30" t="n"/>
      <c r="X223" s="30" t="n"/>
      <c r="Y223" s="30" t="n"/>
      <c r="Z223" s="30" t="n"/>
      <c r="AA223" s="30" t="n"/>
      <c r="AB223" s="30" t="n"/>
      <c r="AC223" s="30" t="n"/>
      <c r="AD223" s="41" t="n"/>
      <c r="AE223" s="30" t="n"/>
      <c r="AF223" s="42">
        <f>IF($AA236="","",IF(LEFT(UPPER(TRIM($AA236)),8)="FELICITA","N/A",IF($AE236="","",IFERROR(VLOOKUP(UPPER(TRIM($AE236)),Config!$A$6:$D$8,2,FALSE),IFERROR(VLOOKUP(IF(LEFT(UPPER(TRIM($AE236)),5)="SUPER","SUPER SALUD",IF(LEFT(UPPER(TRIM($AE236)),8)="SECRETAR","SECRETARIA DE SALUD",IF(LEFT(UPPER(TRIM($AE236)),4)="SEDE","SEDE",UPPER(TRIM($AE236))))),Config!$A$6:$D$8,2,FALSE),"⚠")))))</f>
        <v/>
      </c>
      <c r="AG223" s="30">
        <f>IF($AA236="","",IF(LEFT(UPPER(TRIM($AA236)),8)="FELICITA","N/A",IF($AE236="","",IFERROR(VLOOKUP(UPPER(TRIM($AE236)),Config!$A$6:$D$8,3,FALSE),IFERROR(VLOOKUP(IF(LEFT(UPPER(TRIM($AE236)),5)="SUPER","SUPER SALUD",IF(LEFT(UPPER(TRIM($AE236)),8)="SECRETAR","SECRETARIA DE SALUD",IF(LEFT(UPPER(TRIM($AE236)),4)="SEDE","SEDE",UPPER(TRIM($AE236))))),Config!$A$6:$D$8,3,FALSE),"")))))</f>
        <v/>
      </c>
      <c r="AH223" s="39">
        <f>IF(OR($E236="",NOT(ISNUMBER($E236)),$AF236="",$AF236="N/A",NOT(ISNUMBER($AF236))),"",IF($AG236="Hábiles",WORKDAY(INT($E236),$AF236,Config!$F$6:$F$39),INT($E236)+$AF236))</f>
        <v/>
      </c>
      <c r="AI223" s="30">
        <f>IF($E236="","",IF(LEFT(UPPER(TRIM($AA236)),8)="FELICITA","⭐ Felicitación",IF(NOT(ISNUMBER($E236)),"⚠ Revisar fecha",IF(UPPER(TRIM($AK236))="RESPONDIDA - CERRADA","✅ Cerrada",IF($AE236="","⚠ Falta entidad",IF($AH236="","⚠ Revisar término",IF(TODAY()&gt;$AH236,"🔴 Vencida",IF($AH236-TODAY()&lt;=Config!$B$12,"🟡 Próxima a vencer","🟢 En término"))))))))</f>
        <v/>
      </c>
      <c r="AJ223" s="42">
        <f>IF(OR($E236="",NOT(ISNUMBER($E236))),"",IF(ISNUMBER($AS236),MAX(0,INT($AS236)-INT($E236)),MAX(0,TODAY()-INT($E236))))</f>
        <v/>
      </c>
      <c r="AK223" s="30" t="n"/>
      <c r="AL223" s="30" t="n"/>
      <c r="AM223" s="30" t="n"/>
      <c r="AN223" s="39" t="n"/>
      <c r="AO223" s="30" t="n"/>
      <c r="AP223" s="30" t="n"/>
      <c r="AQ223" s="39" t="n"/>
      <c r="AR223" s="30" t="n"/>
      <c r="AS223" s="39" t="n"/>
      <c r="AT223" s="30">
        <f>IF(OR($AS236="",NOT(ISNUMBER($AS236)),$AH236=""),"",IF(INT($AS236)&lt;=$AH236,"A tiempo","Fuera de término"))</f>
        <v/>
      </c>
      <c r="AU223" s="40" t="n"/>
      <c r="AV223" s="40" t="n"/>
      <c r="AW223" s="40" t="n"/>
      <c r="AX223" s="40" t="n"/>
      <c r="AY223" s="30" t="n"/>
      <c r="AZ223" s="30" t="n"/>
      <c r="BA223" s="30" t="n"/>
    </row>
    <row r="224" ht="15.75" customHeight="1" s="57">
      <c r="A224" s="29" t="n"/>
      <c r="B224" s="30" t="n"/>
      <c r="C224" s="39" t="n"/>
      <c r="D224" s="39" t="n"/>
      <c r="E224" s="39" t="n"/>
      <c r="F224" s="40" t="n"/>
      <c r="G224" s="30" t="n"/>
      <c r="H224" s="30" t="n"/>
      <c r="I224" s="30" t="n"/>
      <c r="J224" s="30" t="n"/>
      <c r="K224" s="30" t="n"/>
      <c r="L224" s="30" t="n"/>
      <c r="M224" s="30" t="n"/>
      <c r="N224" s="30" t="n"/>
      <c r="O224" s="30" t="n"/>
      <c r="P224" s="30" t="n"/>
      <c r="Q224" s="30" t="n"/>
      <c r="R224" s="30" t="n"/>
      <c r="S224" s="30" t="n"/>
      <c r="T224" s="30" t="n"/>
      <c r="U224" s="30" t="n"/>
      <c r="V224" s="30" t="n"/>
      <c r="W224" s="30" t="n"/>
      <c r="X224" s="30" t="n"/>
      <c r="Y224" s="30" t="n"/>
      <c r="Z224" s="30" t="n"/>
      <c r="AA224" s="30" t="n"/>
      <c r="AB224" s="30" t="n"/>
      <c r="AC224" s="30" t="n"/>
      <c r="AD224" s="41" t="n"/>
      <c r="AE224" s="30" t="n"/>
      <c r="AF224" s="42">
        <f>IF($AA237="","",IF(LEFT(UPPER(TRIM($AA237)),8)="FELICITA","N/A",IF($AE237="","",IFERROR(VLOOKUP(UPPER(TRIM($AE237)),Config!$A$6:$D$8,2,FALSE),IFERROR(VLOOKUP(IF(LEFT(UPPER(TRIM($AE237)),5)="SUPER","SUPER SALUD",IF(LEFT(UPPER(TRIM($AE237)),8)="SECRETAR","SECRETARIA DE SALUD",IF(LEFT(UPPER(TRIM($AE237)),4)="SEDE","SEDE",UPPER(TRIM($AE237))))),Config!$A$6:$D$8,2,FALSE),"⚠")))))</f>
        <v/>
      </c>
      <c r="AG224" s="30">
        <f>IF($AA237="","",IF(LEFT(UPPER(TRIM($AA237)),8)="FELICITA","N/A",IF($AE237="","",IFERROR(VLOOKUP(UPPER(TRIM($AE237)),Config!$A$6:$D$8,3,FALSE),IFERROR(VLOOKUP(IF(LEFT(UPPER(TRIM($AE237)),5)="SUPER","SUPER SALUD",IF(LEFT(UPPER(TRIM($AE237)),8)="SECRETAR","SECRETARIA DE SALUD",IF(LEFT(UPPER(TRIM($AE237)),4)="SEDE","SEDE",UPPER(TRIM($AE237))))),Config!$A$6:$D$8,3,FALSE),"")))))</f>
        <v/>
      </c>
      <c r="AH224" s="39">
        <f>IF(OR($E237="",NOT(ISNUMBER($E237)),$AF237="",$AF237="N/A",NOT(ISNUMBER($AF237))),"",IF($AG237="Hábiles",WORKDAY(INT($E237),$AF237,Config!$F$6:$F$39),INT($E237)+$AF237))</f>
        <v/>
      </c>
      <c r="AI224" s="30">
        <f>IF($E237="","",IF(LEFT(UPPER(TRIM($AA237)),8)="FELICITA","⭐ Felicitación",IF(NOT(ISNUMBER($E237)),"⚠ Revisar fecha",IF(UPPER(TRIM($AK237))="RESPONDIDA - CERRADA","✅ Cerrada",IF($AE237="","⚠ Falta entidad",IF($AH237="","⚠ Revisar término",IF(TODAY()&gt;$AH237,"🔴 Vencida",IF($AH237-TODAY()&lt;=Config!$B$12,"🟡 Próxima a vencer","🟢 En término"))))))))</f>
        <v/>
      </c>
      <c r="AJ224" s="42">
        <f>IF(OR($E237="",NOT(ISNUMBER($E237))),"",IF(ISNUMBER($AS237),MAX(0,INT($AS237)-INT($E237)),MAX(0,TODAY()-INT($E237))))</f>
        <v/>
      </c>
      <c r="AK224" s="30" t="n"/>
      <c r="AL224" s="30" t="n"/>
      <c r="AM224" s="30" t="n"/>
      <c r="AN224" s="39" t="n"/>
      <c r="AO224" s="30" t="n"/>
      <c r="AP224" s="30" t="n"/>
      <c r="AQ224" s="39" t="n"/>
      <c r="AR224" s="30" t="n"/>
      <c r="AS224" s="39" t="n"/>
      <c r="AT224" s="30">
        <f>IF(OR($AS237="",NOT(ISNUMBER($AS237)),$AH237=""),"",IF(INT($AS237)&lt;=$AH237,"A tiempo","Fuera de término"))</f>
        <v/>
      </c>
      <c r="AU224" s="40" t="n"/>
      <c r="AV224" s="40" t="n"/>
      <c r="AW224" s="40" t="n"/>
      <c r="AX224" s="40" t="n"/>
      <c r="AY224" s="30" t="n"/>
      <c r="AZ224" s="30" t="n"/>
      <c r="BA224" s="30" t="n"/>
    </row>
    <row r="225" ht="15.75" customHeight="1" s="57">
      <c r="A225" s="29" t="n"/>
      <c r="B225" s="30" t="n"/>
      <c r="C225" s="39" t="n"/>
      <c r="D225" s="39" t="n"/>
      <c r="E225" s="39" t="n"/>
      <c r="F225" s="40" t="n"/>
      <c r="G225" s="30" t="n"/>
      <c r="H225" s="30" t="n"/>
      <c r="I225" s="30" t="n"/>
      <c r="J225" s="30" t="n"/>
      <c r="K225" s="30" t="n"/>
      <c r="L225" s="30" t="n"/>
      <c r="M225" s="30" t="n"/>
      <c r="N225" s="30" t="n"/>
      <c r="O225" s="30" t="n"/>
      <c r="P225" s="30" t="n"/>
      <c r="Q225" s="30" t="n"/>
      <c r="R225" s="30" t="n"/>
      <c r="S225" s="30" t="n"/>
      <c r="T225" s="30" t="n"/>
      <c r="U225" s="30" t="n"/>
      <c r="V225" s="30" t="n"/>
      <c r="W225" s="30" t="n"/>
      <c r="X225" s="30" t="n"/>
      <c r="Y225" s="30" t="n"/>
      <c r="Z225" s="30" t="n"/>
      <c r="AA225" s="30" t="n"/>
      <c r="AB225" s="30" t="n"/>
      <c r="AC225" s="30" t="n"/>
      <c r="AD225" s="41" t="n"/>
      <c r="AE225" s="30" t="n"/>
      <c r="AF225" s="42">
        <f>IF($AA238="","",IF(LEFT(UPPER(TRIM($AA238)),8)="FELICITA","N/A",IF($AE238="","",IFERROR(VLOOKUP(UPPER(TRIM($AE238)),Config!$A$6:$D$8,2,FALSE),IFERROR(VLOOKUP(IF(LEFT(UPPER(TRIM($AE238)),5)="SUPER","SUPER SALUD",IF(LEFT(UPPER(TRIM($AE238)),8)="SECRETAR","SECRETARIA DE SALUD",IF(LEFT(UPPER(TRIM($AE238)),4)="SEDE","SEDE",UPPER(TRIM($AE238))))),Config!$A$6:$D$8,2,FALSE),"⚠")))))</f>
        <v/>
      </c>
      <c r="AG225" s="30">
        <f>IF($AA238="","",IF(LEFT(UPPER(TRIM($AA238)),8)="FELICITA","N/A",IF($AE238="","",IFERROR(VLOOKUP(UPPER(TRIM($AE238)),Config!$A$6:$D$8,3,FALSE),IFERROR(VLOOKUP(IF(LEFT(UPPER(TRIM($AE238)),5)="SUPER","SUPER SALUD",IF(LEFT(UPPER(TRIM($AE238)),8)="SECRETAR","SECRETARIA DE SALUD",IF(LEFT(UPPER(TRIM($AE238)),4)="SEDE","SEDE",UPPER(TRIM($AE238))))),Config!$A$6:$D$8,3,FALSE),"")))))</f>
        <v/>
      </c>
      <c r="AH225" s="39">
        <f>IF(OR($E238="",NOT(ISNUMBER($E238)),$AF238="",$AF238="N/A",NOT(ISNUMBER($AF238))),"",IF($AG238="Hábiles",WORKDAY(INT($E238),$AF238,Config!$F$6:$F$39),INT($E238)+$AF238))</f>
        <v/>
      </c>
      <c r="AI225" s="30">
        <f>IF($E238="","",IF(LEFT(UPPER(TRIM($AA238)),8)="FELICITA","⭐ Felicitación",IF(NOT(ISNUMBER($E238)),"⚠ Revisar fecha",IF(UPPER(TRIM($AK238))="RESPONDIDA - CERRADA","✅ Cerrada",IF($AE238="","⚠ Falta entidad",IF($AH238="","⚠ Revisar término",IF(TODAY()&gt;$AH238,"🔴 Vencida",IF($AH238-TODAY()&lt;=Config!$B$12,"🟡 Próxima a vencer","🟢 En término"))))))))</f>
        <v/>
      </c>
      <c r="AJ225" s="42">
        <f>IF(OR($E238="",NOT(ISNUMBER($E238))),"",IF(ISNUMBER($AS238),MAX(0,INT($AS238)-INT($E238)),MAX(0,TODAY()-INT($E238))))</f>
        <v/>
      </c>
      <c r="AK225" s="30" t="n"/>
      <c r="AL225" s="30" t="n"/>
      <c r="AM225" s="30" t="n"/>
      <c r="AN225" s="39" t="n"/>
      <c r="AO225" s="30" t="n"/>
      <c r="AP225" s="30" t="n"/>
      <c r="AQ225" s="39" t="n"/>
      <c r="AR225" s="30" t="n"/>
      <c r="AS225" s="39" t="n"/>
      <c r="AT225" s="30">
        <f>IF(OR($AS238="",NOT(ISNUMBER($AS238)),$AH238=""),"",IF(INT($AS238)&lt;=$AH238,"A tiempo","Fuera de término"))</f>
        <v/>
      </c>
      <c r="AU225" s="40" t="n"/>
      <c r="AV225" s="40" t="n"/>
      <c r="AW225" s="40" t="n"/>
      <c r="AX225" s="40" t="n"/>
      <c r="AY225" s="30" t="n"/>
      <c r="AZ225" s="30" t="n"/>
      <c r="BA225" s="30" t="n"/>
    </row>
    <row r="226" ht="15.75" customHeight="1" s="57">
      <c r="A226" s="29" t="n"/>
      <c r="B226" s="30" t="n"/>
      <c r="C226" s="39" t="n"/>
      <c r="D226" s="39" t="n"/>
      <c r="E226" s="39" t="n"/>
      <c r="F226" s="40" t="n"/>
      <c r="G226" s="30" t="n"/>
      <c r="H226" s="30" t="n"/>
      <c r="I226" s="30" t="n"/>
      <c r="J226" s="30" t="n"/>
      <c r="K226" s="30" t="n"/>
      <c r="L226" s="30" t="n"/>
      <c r="M226" s="30" t="n"/>
      <c r="N226" s="30" t="n"/>
      <c r="O226" s="30" t="n"/>
      <c r="P226" s="30" t="n"/>
      <c r="Q226" s="30" t="n"/>
      <c r="R226" s="30" t="n"/>
      <c r="S226" s="30" t="n"/>
      <c r="T226" s="30" t="n"/>
      <c r="U226" s="30" t="n"/>
      <c r="V226" s="30" t="n"/>
      <c r="W226" s="30" t="n"/>
      <c r="X226" s="30" t="n"/>
      <c r="Y226" s="30" t="n"/>
      <c r="Z226" s="30" t="n"/>
      <c r="AA226" s="30" t="n"/>
      <c r="AB226" s="30" t="n"/>
      <c r="AC226" s="30" t="n"/>
      <c r="AD226" s="41" t="n"/>
      <c r="AE226" s="30" t="n"/>
      <c r="AF226" s="42">
        <f>IF($AA239="","",IF(LEFT(UPPER(TRIM($AA239)),8)="FELICITA","N/A",IF($AE239="","",IFERROR(VLOOKUP(UPPER(TRIM($AE239)),Config!$A$6:$D$8,2,FALSE),IFERROR(VLOOKUP(IF(LEFT(UPPER(TRIM($AE239)),5)="SUPER","SUPER SALUD",IF(LEFT(UPPER(TRIM($AE239)),8)="SECRETAR","SECRETARIA DE SALUD",IF(LEFT(UPPER(TRIM($AE239)),4)="SEDE","SEDE",UPPER(TRIM($AE239))))),Config!$A$6:$D$8,2,FALSE),"⚠")))))</f>
        <v/>
      </c>
      <c r="AG226" s="30">
        <f>IF($AA239="","",IF(LEFT(UPPER(TRIM($AA239)),8)="FELICITA","N/A",IF($AE239="","",IFERROR(VLOOKUP(UPPER(TRIM($AE239)),Config!$A$6:$D$8,3,FALSE),IFERROR(VLOOKUP(IF(LEFT(UPPER(TRIM($AE239)),5)="SUPER","SUPER SALUD",IF(LEFT(UPPER(TRIM($AE239)),8)="SECRETAR","SECRETARIA DE SALUD",IF(LEFT(UPPER(TRIM($AE239)),4)="SEDE","SEDE",UPPER(TRIM($AE239))))),Config!$A$6:$D$8,3,FALSE),"")))))</f>
        <v/>
      </c>
      <c r="AH226" s="39">
        <f>IF(OR($E239="",NOT(ISNUMBER($E239)),$AF239="",$AF239="N/A",NOT(ISNUMBER($AF239))),"",IF($AG239="Hábiles",WORKDAY(INT($E239),$AF239,Config!$F$6:$F$39),INT($E239)+$AF239))</f>
        <v/>
      </c>
      <c r="AI226" s="30">
        <f>IF($E239="","",IF(LEFT(UPPER(TRIM($AA239)),8)="FELICITA","⭐ Felicitación",IF(NOT(ISNUMBER($E239)),"⚠ Revisar fecha",IF(UPPER(TRIM($AK239))="RESPONDIDA - CERRADA","✅ Cerrada",IF($AE239="","⚠ Falta entidad",IF($AH239="","⚠ Revisar término",IF(TODAY()&gt;$AH239,"🔴 Vencida",IF($AH239-TODAY()&lt;=Config!$B$12,"🟡 Próxima a vencer","🟢 En término"))))))))</f>
        <v/>
      </c>
      <c r="AJ226" s="42">
        <f>IF(OR($E239="",NOT(ISNUMBER($E239))),"",IF(ISNUMBER($AS239),MAX(0,INT($AS239)-INT($E239)),MAX(0,TODAY()-INT($E239))))</f>
        <v/>
      </c>
      <c r="AK226" s="30" t="n"/>
      <c r="AL226" s="30" t="n"/>
      <c r="AM226" s="30" t="n"/>
      <c r="AN226" s="39" t="n"/>
      <c r="AO226" s="30" t="n"/>
      <c r="AP226" s="30" t="n"/>
      <c r="AQ226" s="39" t="n"/>
      <c r="AR226" s="30" t="n"/>
      <c r="AS226" s="39" t="n"/>
      <c r="AT226" s="30">
        <f>IF(OR($AS239="",NOT(ISNUMBER($AS239)),$AH239=""),"",IF(INT($AS239)&lt;=$AH239,"A tiempo","Fuera de término"))</f>
        <v/>
      </c>
      <c r="AU226" s="40" t="n"/>
      <c r="AV226" s="40" t="n"/>
      <c r="AW226" s="40" t="n"/>
      <c r="AX226" s="40" t="n"/>
      <c r="AY226" s="30" t="n"/>
      <c r="AZ226" s="30" t="n"/>
      <c r="BA226" s="30" t="n"/>
    </row>
    <row r="227" ht="15.75" customHeight="1" s="57">
      <c r="A227" s="29" t="n"/>
      <c r="B227" s="30" t="n"/>
      <c r="C227" s="39" t="n"/>
      <c r="D227" s="39" t="n"/>
      <c r="E227" s="39" t="n"/>
      <c r="F227" s="40" t="n"/>
      <c r="G227" s="30" t="n"/>
      <c r="H227" s="30" t="n"/>
      <c r="I227" s="30" t="n"/>
      <c r="J227" s="30" t="n"/>
      <c r="K227" s="30" t="n"/>
      <c r="L227" s="30" t="n"/>
      <c r="M227" s="30" t="n"/>
      <c r="N227" s="30" t="n"/>
      <c r="O227" s="30" t="n"/>
      <c r="P227" s="30" t="n"/>
      <c r="Q227" s="30" t="n"/>
      <c r="R227" s="30" t="n"/>
      <c r="S227" s="30" t="n"/>
      <c r="T227" s="30" t="n"/>
      <c r="U227" s="30" t="n"/>
      <c r="V227" s="30" t="n"/>
      <c r="W227" s="30" t="n"/>
      <c r="X227" s="30" t="n"/>
      <c r="Y227" s="30" t="n"/>
      <c r="Z227" s="30" t="n"/>
      <c r="AA227" s="30" t="n"/>
      <c r="AB227" s="30" t="n"/>
      <c r="AC227" s="30" t="n"/>
      <c r="AD227" s="41" t="n"/>
      <c r="AE227" s="30" t="n"/>
      <c r="AF227" s="42">
        <f>IF($AA240="","",IF(LEFT(UPPER(TRIM($AA240)),8)="FELICITA","N/A",IF($AE240="","",IFERROR(VLOOKUP(UPPER(TRIM($AE240)),Config!$A$6:$D$8,2,FALSE),IFERROR(VLOOKUP(IF(LEFT(UPPER(TRIM($AE240)),5)="SUPER","SUPER SALUD",IF(LEFT(UPPER(TRIM($AE240)),8)="SECRETAR","SECRETARIA DE SALUD",IF(LEFT(UPPER(TRIM($AE240)),4)="SEDE","SEDE",UPPER(TRIM($AE240))))),Config!$A$6:$D$8,2,FALSE),"⚠")))))</f>
        <v/>
      </c>
      <c r="AG227" s="30">
        <f>IF($AA240="","",IF(LEFT(UPPER(TRIM($AA240)),8)="FELICITA","N/A",IF($AE240="","",IFERROR(VLOOKUP(UPPER(TRIM($AE240)),Config!$A$6:$D$8,3,FALSE),IFERROR(VLOOKUP(IF(LEFT(UPPER(TRIM($AE240)),5)="SUPER","SUPER SALUD",IF(LEFT(UPPER(TRIM($AE240)),8)="SECRETAR","SECRETARIA DE SALUD",IF(LEFT(UPPER(TRIM($AE240)),4)="SEDE","SEDE",UPPER(TRIM($AE240))))),Config!$A$6:$D$8,3,FALSE),"")))))</f>
        <v/>
      </c>
      <c r="AH227" s="39">
        <f>IF(OR($E240="",NOT(ISNUMBER($E240)),$AF240="",$AF240="N/A",NOT(ISNUMBER($AF240))),"",IF($AG240="Hábiles",WORKDAY(INT($E240),$AF240,Config!$F$6:$F$39),INT($E240)+$AF240))</f>
        <v/>
      </c>
      <c r="AI227" s="30">
        <f>IF($E240="","",IF(LEFT(UPPER(TRIM($AA240)),8)="FELICITA","⭐ Felicitación",IF(NOT(ISNUMBER($E240)),"⚠ Revisar fecha",IF(UPPER(TRIM($AK240))="RESPONDIDA - CERRADA","✅ Cerrada",IF($AE240="","⚠ Falta entidad",IF($AH240="","⚠ Revisar término",IF(TODAY()&gt;$AH240,"🔴 Vencida",IF($AH240-TODAY()&lt;=Config!$B$12,"🟡 Próxima a vencer","🟢 En término"))))))))</f>
        <v/>
      </c>
      <c r="AJ227" s="42">
        <f>IF(OR($E240="",NOT(ISNUMBER($E240))),"",IF(ISNUMBER($AS240),MAX(0,INT($AS240)-INT($E240)),MAX(0,TODAY()-INT($E240))))</f>
        <v/>
      </c>
      <c r="AK227" s="30" t="n"/>
      <c r="AL227" s="30" t="n"/>
      <c r="AM227" s="30" t="n"/>
      <c r="AN227" s="39" t="n"/>
      <c r="AO227" s="30" t="n"/>
      <c r="AP227" s="30" t="n"/>
      <c r="AQ227" s="39" t="n"/>
      <c r="AR227" s="30" t="n"/>
      <c r="AS227" s="39" t="n"/>
      <c r="AT227" s="30">
        <f>IF(OR($AS240="",NOT(ISNUMBER($AS240)),$AH240=""),"",IF(INT($AS240)&lt;=$AH240,"A tiempo","Fuera de término"))</f>
        <v/>
      </c>
      <c r="AU227" s="40" t="n"/>
      <c r="AV227" s="40" t="n"/>
      <c r="AW227" s="40" t="n"/>
      <c r="AX227" s="40" t="n"/>
      <c r="AY227" s="30" t="n"/>
      <c r="AZ227" s="30" t="n"/>
      <c r="BA227" s="30" t="n"/>
    </row>
    <row r="228" ht="15.75" customHeight="1" s="57">
      <c r="A228" s="29" t="n"/>
      <c r="B228" s="30" t="n"/>
      <c r="C228" s="39" t="n"/>
      <c r="D228" s="39" t="n"/>
      <c r="E228" s="39" t="n"/>
      <c r="F228" s="40" t="n"/>
      <c r="G228" s="30" t="n"/>
      <c r="H228" s="30" t="n"/>
      <c r="I228" s="30" t="n"/>
      <c r="J228" s="30" t="n"/>
      <c r="K228" s="30" t="n"/>
      <c r="L228" s="30" t="n"/>
      <c r="M228" s="30" t="n"/>
      <c r="N228" s="30" t="n"/>
      <c r="O228" s="30" t="n"/>
      <c r="P228" s="30" t="n"/>
      <c r="Q228" s="30" t="n"/>
      <c r="R228" s="30" t="n"/>
      <c r="S228" s="30" t="n"/>
      <c r="T228" s="30" t="n"/>
      <c r="U228" s="30" t="n"/>
      <c r="V228" s="30" t="n"/>
      <c r="W228" s="30" t="n"/>
      <c r="X228" s="30" t="n"/>
      <c r="Y228" s="30" t="n"/>
      <c r="Z228" s="30" t="n"/>
      <c r="AA228" s="30" t="n"/>
      <c r="AB228" s="30" t="n"/>
      <c r="AC228" s="30" t="n"/>
      <c r="AD228" s="41" t="n"/>
      <c r="AE228" s="30" t="n"/>
      <c r="AF228" s="42">
        <f>IF($AA241="","",IF(LEFT(UPPER(TRIM($AA241)),8)="FELICITA","N/A",IF($AE241="","",IFERROR(VLOOKUP(UPPER(TRIM($AE241)),Config!$A$6:$D$8,2,FALSE),IFERROR(VLOOKUP(IF(LEFT(UPPER(TRIM($AE241)),5)="SUPER","SUPER SALUD",IF(LEFT(UPPER(TRIM($AE241)),8)="SECRETAR","SECRETARIA DE SALUD",IF(LEFT(UPPER(TRIM($AE241)),4)="SEDE","SEDE",UPPER(TRIM($AE241))))),Config!$A$6:$D$8,2,FALSE),"⚠")))))</f>
        <v/>
      </c>
      <c r="AG228" s="30">
        <f>IF($AA241="","",IF(LEFT(UPPER(TRIM($AA241)),8)="FELICITA","N/A",IF($AE241="","",IFERROR(VLOOKUP(UPPER(TRIM($AE241)),Config!$A$6:$D$8,3,FALSE),IFERROR(VLOOKUP(IF(LEFT(UPPER(TRIM($AE241)),5)="SUPER","SUPER SALUD",IF(LEFT(UPPER(TRIM($AE241)),8)="SECRETAR","SECRETARIA DE SALUD",IF(LEFT(UPPER(TRIM($AE241)),4)="SEDE","SEDE",UPPER(TRIM($AE241))))),Config!$A$6:$D$8,3,FALSE),"")))))</f>
        <v/>
      </c>
      <c r="AH228" s="39">
        <f>IF(OR($E241="",NOT(ISNUMBER($E241)),$AF241="",$AF241="N/A",NOT(ISNUMBER($AF241))),"",IF($AG241="Hábiles",WORKDAY(INT($E241),$AF241,Config!$F$6:$F$39),INT($E241)+$AF241))</f>
        <v/>
      </c>
      <c r="AI228" s="30">
        <f>IF($E241="","",IF(LEFT(UPPER(TRIM($AA241)),8)="FELICITA","⭐ Felicitación",IF(NOT(ISNUMBER($E241)),"⚠ Revisar fecha",IF(UPPER(TRIM($AK241))="RESPONDIDA - CERRADA","✅ Cerrada",IF($AE241="","⚠ Falta entidad",IF($AH241="","⚠ Revisar término",IF(TODAY()&gt;$AH241,"🔴 Vencida",IF($AH241-TODAY()&lt;=Config!$B$12,"🟡 Próxima a vencer","🟢 En término"))))))))</f>
        <v/>
      </c>
      <c r="AJ228" s="42">
        <f>IF(OR($E241="",NOT(ISNUMBER($E241))),"",IF(ISNUMBER($AS241),MAX(0,INT($AS241)-INT($E241)),MAX(0,TODAY()-INT($E241))))</f>
        <v/>
      </c>
      <c r="AK228" s="30" t="n"/>
      <c r="AL228" s="30" t="n"/>
      <c r="AM228" s="30" t="n"/>
      <c r="AN228" s="39" t="n"/>
      <c r="AO228" s="30" t="n"/>
      <c r="AP228" s="30" t="n"/>
      <c r="AQ228" s="39" t="n"/>
      <c r="AR228" s="30" t="n"/>
      <c r="AS228" s="39" t="n"/>
      <c r="AT228" s="30">
        <f>IF(OR($AS241="",NOT(ISNUMBER($AS241)),$AH241=""),"",IF(INT($AS241)&lt;=$AH241,"A tiempo","Fuera de término"))</f>
        <v/>
      </c>
      <c r="AU228" s="40" t="n"/>
      <c r="AV228" s="40" t="n"/>
      <c r="AW228" s="40" t="n"/>
      <c r="AX228" s="40" t="n"/>
      <c r="AY228" s="30" t="n"/>
      <c r="AZ228" s="30" t="n"/>
      <c r="BA228" s="30" t="n"/>
    </row>
    <row r="229" ht="15.75" customHeight="1" s="57">
      <c r="A229" s="29" t="n"/>
      <c r="B229" s="30" t="n"/>
      <c r="C229" s="39" t="n"/>
      <c r="D229" s="39" t="n"/>
      <c r="E229" s="39" t="n"/>
      <c r="F229" s="40" t="n"/>
      <c r="G229" s="30" t="n"/>
      <c r="H229" s="30" t="n"/>
      <c r="I229" s="30" t="n"/>
      <c r="J229" s="30" t="n"/>
      <c r="K229" s="30" t="n"/>
      <c r="L229" s="30" t="n"/>
      <c r="M229" s="30" t="n"/>
      <c r="N229" s="30" t="n"/>
      <c r="O229" s="30" t="n"/>
      <c r="P229" s="30" t="n"/>
      <c r="Q229" s="30" t="n"/>
      <c r="R229" s="30" t="n"/>
      <c r="S229" s="30" t="n"/>
      <c r="T229" s="30" t="n"/>
      <c r="U229" s="30" t="n"/>
      <c r="V229" s="30" t="n"/>
      <c r="W229" s="30" t="n"/>
      <c r="X229" s="30" t="n"/>
      <c r="Y229" s="30" t="n"/>
      <c r="Z229" s="30" t="n"/>
      <c r="AA229" s="30" t="n"/>
      <c r="AB229" s="30" t="n"/>
      <c r="AC229" s="30" t="n"/>
      <c r="AD229" s="41" t="n"/>
      <c r="AE229" s="30" t="n"/>
      <c r="AF229" s="42">
        <f>IF($AA242="","",IF(LEFT(UPPER(TRIM($AA242)),8)="FELICITA","N/A",IF($AE242="","",IFERROR(VLOOKUP(UPPER(TRIM($AE242)),Config!$A$6:$D$8,2,FALSE),IFERROR(VLOOKUP(IF(LEFT(UPPER(TRIM($AE242)),5)="SUPER","SUPER SALUD",IF(LEFT(UPPER(TRIM($AE242)),8)="SECRETAR","SECRETARIA DE SALUD",IF(LEFT(UPPER(TRIM($AE242)),4)="SEDE","SEDE",UPPER(TRIM($AE242))))),Config!$A$6:$D$8,2,FALSE),"⚠")))))</f>
        <v/>
      </c>
      <c r="AG229" s="30">
        <f>IF($AA242="","",IF(LEFT(UPPER(TRIM($AA242)),8)="FELICITA","N/A",IF($AE242="","",IFERROR(VLOOKUP(UPPER(TRIM($AE242)),Config!$A$6:$D$8,3,FALSE),IFERROR(VLOOKUP(IF(LEFT(UPPER(TRIM($AE242)),5)="SUPER","SUPER SALUD",IF(LEFT(UPPER(TRIM($AE242)),8)="SECRETAR","SECRETARIA DE SALUD",IF(LEFT(UPPER(TRIM($AE242)),4)="SEDE","SEDE",UPPER(TRIM($AE242))))),Config!$A$6:$D$8,3,FALSE),"")))))</f>
        <v/>
      </c>
      <c r="AH229" s="39">
        <f>IF(OR($E242="",NOT(ISNUMBER($E242)),$AF242="",$AF242="N/A",NOT(ISNUMBER($AF242))),"",IF($AG242="Hábiles",WORKDAY(INT($E242),$AF242,Config!$F$6:$F$39),INT($E242)+$AF242))</f>
        <v/>
      </c>
      <c r="AI229" s="30">
        <f>IF($E242="","",IF(LEFT(UPPER(TRIM($AA242)),8)="FELICITA","⭐ Felicitación",IF(NOT(ISNUMBER($E242)),"⚠ Revisar fecha",IF(UPPER(TRIM($AK242))="RESPONDIDA - CERRADA","✅ Cerrada",IF($AE242="","⚠ Falta entidad",IF($AH242="","⚠ Revisar término",IF(TODAY()&gt;$AH242,"🔴 Vencida",IF($AH242-TODAY()&lt;=Config!$B$12,"🟡 Próxima a vencer","🟢 En término"))))))))</f>
        <v/>
      </c>
      <c r="AJ229" s="42">
        <f>IF(OR($E242="",NOT(ISNUMBER($E242))),"",IF(ISNUMBER($AS242),MAX(0,INT($AS242)-INT($E242)),MAX(0,TODAY()-INT($E242))))</f>
        <v/>
      </c>
      <c r="AK229" s="30" t="n"/>
      <c r="AL229" s="30" t="n"/>
      <c r="AM229" s="30" t="n"/>
      <c r="AN229" s="39" t="n"/>
      <c r="AO229" s="30" t="n"/>
      <c r="AP229" s="30" t="n"/>
      <c r="AQ229" s="39" t="n"/>
      <c r="AR229" s="30" t="n"/>
      <c r="AS229" s="39" t="n"/>
      <c r="AT229" s="30">
        <f>IF(OR($AS242="",NOT(ISNUMBER($AS242)),$AH242=""),"",IF(INT($AS242)&lt;=$AH242,"A tiempo","Fuera de término"))</f>
        <v/>
      </c>
      <c r="AU229" s="40" t="n"/>
      <c r="AV229" s="40" t="n"/>
      <c r="AW229" s="40" t="n"/>
      <c r="AX229" s="40" t="n"/>
      <c r="AY229" s="30" t="n"/>
      <c r="AZ229" s="30" t="n"/>
      <c r="BA229" s="30" t="n"/>
    </row>
    <row r="230" ht="15.75" customHeight="1" s="57">
      <c r="A230" s="29" t="n"/>
      <c r="B230" s="30" t="n"/>
      <c r="C230" s="39" t="n"/>
      <c r="D230" s="39" t="n"/>
      <c r="E230" s="39" t="n"/>
      <c r="F230" s="40" t="n"/>
      <c r="G230" s="30" t="n"/>
      <c r="H230" s="30" t="n"/>
      <c r="I230" s="30" t="n"/>
      <c r="J230" s="30" t="n"/>
      <c r="K230" s="30" t="n"/>
      <c r="L230" s="30" t="n"/>
      <c r="M230" s="30" t="n"/>
      <c r="N230" s="30" t="n"/>
      <c r="O230" s="30" t="n"/>
      <c r="P230" s="30" t="n"/>
      <c r="Q230" s="30" t="n"/>
      <c r="R230" s="30" t="n"/>
      <c r="S230" s="30" t="n"/>
      <c r="T230" s="30" t="n"/>
      <c r="U230" s="30" t="n"/>
      <c r="V230" s="30" t="n"/>
      <c r="W230" s="30" t="n"/>
      <c r="X230" s="30" t="n"/>
      <c r="Y230" s="30" t="n"/>
      <c r="Z230" s="30" t="n"/>
      <c r="AA230" s="30" t="n"/>
      <c r="AB230" s="30" t="n"/>
      <c r="AC230" s="30" t="n"/>
      <c r="AD230" s="41" t="n"/>
      <c r="AE230" s="30" t="n"/>
      <c r="AF230" s="42">
        <f>IF($AA243="","",IF(LEFT(UPPER(TRIM($AA243)),8)="FELICITA","N/A",IF($AE243="","",IFERROR(VLOOKUP(UPPER(TRIM($AE243)),Config!$A$6:$D$8,2,FALSE),IFERROR(VLOOKUP(IF(LEFT(UPPER(TRIM($AE243)),5)="SUPER","SUPER SALUD",IF(LEFT(UPPER(TRIM($AE243)),8)="SECRETAR","SECRETARIA DE SALUD",IF(LEFT(UPPER(TRIM($AE243)),4)="SEDE","SEDE",UPPER(TRIM($AE243))))),Config!$A$6:$D$8,2,FALSE),"⚠")))))</f>
        <v/>
      </c>
      <c r="AG230" s="30">
        <f>IF($AA243="","",IF(LEFT(UPPER(TRIM($AA243)),8)="FELICITA","N/A",IF($AE243="","",IFERROR(VLOOKUP(UPPER(TRIM($AE243)),Config!$A$6:$D$8,3,FALSE),IFERROR(VLOOKUP(IF(LEFT(UPPER(TRIM($AE243)),5)="SUPER","SUPER SALUD",IF(LEFT(UPPER(TRIM($AE243)),8)="SECRETAR","SECRETARIA DE SALUD",IF(LEFT(UPPER(TRIM($AE243)),4)="SEDE","SEDE",UPPER(TRIM($AE243))))),Config!$A$6:$D$8,3,FALSE),"")))))</f>
        <v/>
      </c>
      <c r="AH230" s="39">
        <f>IF(OR($E243="",NOT(ISNUMBER($E243)),$AF243="",$AF243="N/A",NOT(ISNUMBER($AF243))),"",IF($AG243="Hábiles",WORKDAY(INT($E243),$AF243,Config!$F$6:$F$39),INT($E243)+$AF243))</f>
        <v/>
      </c>
      <c r="AI230" s="30">
        <f>IF($E243="","",IF(LEFT(UPPER(TRIM($AA243)),8)="FELICITA","⭐ Felicitación",IF(NOT(ISNUMBER($E243)),"⚠ Revisar fecha",IF(UPPER(TRIM($AK243))="RESPONDIDA - CERRADA","✅ Cerrada",IF($AE243="","⚠ Falta entidad",IF($AH243="","⚠ Revisar término",IF(TODAY()&gt;$AH243,"🔴 Vencida",IF($AH243-TODAY()&lt;=Config!$B$12,"🟡 Próxima a vencer","🟢 En término"))))))))</f>
        <v/>
      </c>
      <c r="AJ230" s="42">
        <f>IF(OR($E243="",NOT(ISNUMBER($E243))),"",IF(ISNUMBER($AS243),MAX(0,INT($AS243)-INT($E243)),MAX(0,TODAY()-INT($E243))))</f>
        <v/>
      </c>
      <c r="AK230" s="30" t="n"/>
      <c r="AL230" s="30" t="n"/>
      <c r="AM230" s="30" t="n"/>
      <c r="AN230" s="39" t="n"/>
      <c r="AO230" s="30" t="n"/>
      <c r="AP230" s="30" t="n"/>
      <c r="AQ230" s="39" t="n"/>
      <c r="AR230" s="30" t="n"/>
      <c r="AS230" s="39" t="n"/>
      <c r="AT230" s="30">
        <f>IF(OR($AS243="",NOT(ISNUMBER($AS243)),$AH243=""),"",IF(INT($AS243)&lt;=$AH243,"A tiempo","Fuera de término"))</f>
        <v/>
      </c>
      <c r="AU230" s="40" t="n"/>
      <c r="AV230" s="40" t="n"/>
      <c r="AW230" s="40" t="n"/>
      <c r="AX230" s="40" t="n"/>
      <c r="AY230" s="30" t="n"/>
      <c r="AZ230" s="30" t="n"/>
      <c r="BA230" s="30" t="n"/>
    </row>
    <row r="231" ht="15.75" customHeight="1" s="57">
      <c r="A231" s="29" t="n"/>
      <c r="B231" s="30" t="n"/>
      <c r="C231" s="39" t="n"/>
      <c r="D231" s="39" t="n"/>
      <c r="E231" s="39" t="n"/>
      <c r="F231" s="40" t="n"/>
      <c r="G231" s="30" t="n"/>
      <c r="H231" s="30" t="n"/>
      <c r="I231" s="30" t="n"/>
      <c r="J231" s="30" t="n"/>
      <c r="K231" s="30" t="n"/>
      <c r="L231" s="30" t="n"/>
      <c r="M231" s="30" t="n"/>
      <c r="N231" s="30" t="n"/>
      <c r="O231" s="30" t="n"/>
      <c r="P231" s="30" t="n"/>
      <c r="Q231" s="30" t="n"/>
      <c r="R231" s="30" t="n"/>
      <c r="S231" s="30" t="n"/>
      <c r="T231" s="30" t="n"/>
      <c r="U231" s="30" t="n"/>
      <c r="V231" s="30" t="n"/>
      <c r="W231" s="30" t="n"/>
      <c r="X231" s="30" t="n"/>
      <c r="Y231" s="30" t="n"/>
      <c r="Z231" s="30" t="n"/>
      <c r="AA231" s="30" t="n"/>
      <c r="AB231" s="30" t="n"/>
      <c r="AC231" s="30" t="n"/>
      <c r="AD231" s="41" t="n"/>
      <c r="AE231" s="30" t="n"/>
      <c r="AF231" s="42">
        <f>IF($AA244="","",IF(LEFT(UPPER(TRIM($AA244)),8)="FELICITA","N/A",IF($AE244="","",IFERROR(VLOOKUP(UPPER(TRIM($AE244)),Config!$A$6:$D$8,2,FALSE),IFERROR(VLOOKUP(IF(LEFT(UPPER(TRIM($AE244)),5)="SUPER","SUPER SALUD",IF(LEFT(UPPER(TRIM($AE244)),8)="SECRETAR","SECRETARIA DE SALUD",IF(LEFT(UPPER(TRIM($AE244)),4)="SEDE","SEDE",UPPER(TRIM($AE244))))),Config!$A$6:$D$8,2,FALSE),"⚠")))))</f>
        <v/>
      </c>
      <c r="AG231" s="30">
        <f>IF($AA244="","",IF(LEFT(UPPER(TRIM($AA244)),8)="FELICITA","N/A",IF($AE244="","",IFERROR(VLOOKUP(UPPER(TRIM($AE244)),Config!$A$6:$D$8,3,FALSE),IFERROR(VLOOKUP(IF(LEFT(UPPER(TRIM($AE244)),5)="SUPER","SUPER SALUD",IF(LEFT(UPPER(TRIM($AE244)),8)="SECRETAR","SECRETARIA DE SALUD",IF(LEFT(UPPER(TRIM($AE244)),4)="SEDE","SEDE",UPPER(TRIM($AE244))))),Config!$A$6:$D$8,3,FALSE),"")))))</f>
        <v/>
      </c>
      <c r="AH231" s="39">
        <f>IF(OR($E244="",NOT(ISNUMBER($E244)),$AF244="",$AF244="N/A",NOT(ISNUMBER($AF244))),"",IF($AG244="Hábiles",WORKDAY(INT($E244),$AF244,Config!$F$6:$F$39),INT($E244)+$AF244))</f>
        <v/>
      </c>
      <c r="AI231" s="30">
        <f>IF($E244="","",IF(LEFT(UPPER(TRIM($AA244)),8)="FELICITA","⭐ Felicitación",IF(NOT(ISNUMBER($E244)),"⚠ Revisar fecha",IF(UPPER(TRIM($AK244))="RESPONDIDA - CERRADA","✅ Cerrada",IF($AE244="","⚠ Falta entidad",IF($AH244="","⚠ Revisar término",IF(TODAY()&gt;$AH244,"🔴 Vencida",IF($AH244-TODAY()&lt;=Config!$B$12,"🟡 Próxima a vencer","🟢 En término"))))))))</f>
        <v/>
      </c>
      <c r="AJ231" s="42">
        <f>IF(OR($E244="",NOT(ISNUMBER($E244))),"",IF(ISNUMBER($AS244),MAX(0,INT($AS244)-INT($E244)),MAX(0,TODAY()-INT($E244))))</f>
        <v/>
      </c>
      <c r="AK231" s="30" t="n"/>
      <c r="AL231" s="30" t="n"/>
      <c r="AM231" s="30" t="n"/>
      <c r="AN231" s="39" t="n"/>
      <c r="AO231" s="30" t="n"/>
      <c r="AP231" s="30" t="n"/>
      <c r="AQ231" s="39" t="n"/>
      <c r="AR231" s="30" t="n"/>
      <c r="AS231" s="39" t="n"/>
      <c r="AT231" s="30">
        <f>IF(OR($AS244="",NOT(ISNUMBER($AS244)),$AH244=""),"",IF(INT($AS244)&lt;=$AH244,"A tiempo","Fuera de término"))</f>
        <v/>
      </c>
      <c r="AU231" s="40" t="n"/>
      <c r="AV231" s="40" t="n"/>
      <c r="AW231" s="40" t="n"/>
      <c r="AX231" s="40" t="n"/>
      <c r="AY231" s="30" t="n"/>
      <c r="AZ231" s="30" t="n"/>
      <c r="BA231" s="30" t="n"/>
    </row>
    <row r="232" ht="15.75" customHeight="1" s="57">
      <c r="A232" s="29" t="n"/>
      <c r="B232" s="30" t="n"/>
      <c r="C232" s="39" t="n"/>
      <c r="D232" s="39" t="n"/>
      <c r="E232" s="39" t="n"/>
      <c r="F232" s="40" t="n"/>
      <c r="G232" s="30" t="n"/>
      <c r="H232" s="30" t="n"/>
      <c r="I232" s="30" t="n"/>
      <c r="J232" s="30" t="n"/>
      <c r="K232" s="30" t="n"/>
      <c r="L232" s="30" t="n"/>
      <c r="M232" s="30" t="n"/>
      <c r="N232" s="30" t="n"/>
      <c r="O232" s="30" t="n"/>
      <c r="P232" s="30" t="n"/>
      <c r="Q232" s="30" t="n"/>
      <c r="R232" s="30" t="n"/>
      <c r="S232" s="30" t="n"/>
      <c r="T232" s="30" t="n"/>
      <c r="U232" s="30" t="n"/>
      <c r="V232" s="30" t="n"/>
      <c r="W232" s="30" t="n"/>
      <c r="X232" s="30" t="n"/>
      <c r="Y232" s="30" t="n"/>
      <c r="Z232" s="30" t="n"/>
      <c r="AA232" s="30" t="n"/>
      <c r="AB232" s="30" t="n"/>
      <c r="AC232" s="30" t="n"/>
      <c r="AD232" s="41" t="n"/>
      <c r="AE232" s="30" t="n"/>
      <c r="AF232" s="42">
        <f>IF($AA245="","",IF(LEFT(UPPER(TRIM($AA245)),8)="FELICITA","N/A",IF($AE245="","",IFERROR(VLOOKUP(UPPER(TRIM($AE245)),Config!$A$6:$D$8,2,FALSE),IFERROR(VLOOKUP(IF(LEFT(UPPER(TRIM($AE245)),5)="SUPER","SUPER SALUD",IF(LEFT(UPPER(TRIM($AE245)),8)="SECRETAR","SECRETARIA DE SALUD",IF(LEFT(UPPER(TRIM($AE245)),4)="SEDE","SEDE",UPPER(TRIM($AE245))))),Config!$A$6:$D$8,2,FALSE),"⚠")))))</f>
        <v/>
      </c>
      <c r="AG232" s="30">
        <f>IF($AA245="","",IF(LEFT(UPPER(TRIM($AA245)),8)="FELICITA","N/A",IF($AE245="","",IFERROR(VLOOKUP(UPPER(TRIM($AE245)),Config!$A$6:$D$8,3,FALSE),IFERROR(VLOOKUP(IF(LEFT(UPPER(TRIM($AE245)),5)="SUPER","SUPER SALUD",IF(LEFT(UPPER(TRIM($AE245)),8)="SECRETAR","SECRETARIA DE SALUD",IF(LEFT(UPPER(TRIM($AE245)),4)="SEDE","SEDE",UPPER(TRIM($AE245))))),Config!$A$6:$D$8,3,FALSE),"")))))</f>
        <v/>
      </c>
      <c r="AH232" s="39">
        <f>IF(OR($E245="",NOT(ISNUMBER($E245)),$AF245="",$AF245="N/A",NOT(ISNUMBER($AF245))),"",IF($AG245="Hábiles",WORKDAY(INT($E245),$AF245,Config!$F$6:$F$39),INT($E245)+$AF245))</f>
        <v/>
      </c>
      <c r="AI232" s="30">
        <f>IF($E245="","",IF(LEFT(UPPER(TRIM($AA245)),8)="FELICITA","⭐ Felicitación",IF(NOT(ISNUMBER($E245)),"⚠ Revisar fecha",IF(UPPER(TRIM($AK245))="RESPONDIDA - CERRADA","✅ Cerrada",IF($AE245="","⚠ Falta entidad",IF($AH245="","⚠ Revisar término",IF(TODAY()&gt;$AH245,"🔴 Vencida",IF($AH245-TODAY()&lt;=Config!$B$12,"🟡 Próxima a vencer","🟢 En término"))))))))</f>
        <v/>
      </c>
      <c r="AJ232" s="42">
        <f>IF(OR($E245="",NOT(ISNUMBER($E245))),"",IF(ISNUMBER($AS245),MAX(0,INT($AS245)-INT($E245)),MAX(0,TODAY()-INT($E245))))</f>
        <v/>
      </c>
      <c r="AK232" s="30" t="n"/>
      <c r="AL232" s="30" t="n"/>
      <c r="AM232" s="30" t="n"/>
      <c r="AN232" s="39" t="n"/>
      <c r="AO232" s="30" t="n"/>
      <c r="AP232" s="30" t="n"/>
      <c r="AQ232" s="39" t="n"/>
      <c r="AR232" s="30" t="n"/>
      <c r="AS232" s="39" t="n"/>
      <c r="AT232" s="30">
        <f>IF(OR($AS245="",NOT(ISNUMBER($AS245)),$AH245=""),"",IF(INT($AS245)&lt;=$AH245,"A tiempo","Fuera de término"))</f>
        <v/>
      </c>
      <c r="AU232" s="40" t="n"/>
      <c r="AV232" s="40" t="n"/>
      <c r="AW232" s="40" t="n"/>
      <c r="AX232" s="40" t="n"/>
      <c r="AY232" s="30" t="n"/>
      <c r="AZ232" s="30" t="n"/>
      <c r="BA232" s="30" t="n"/>
    </row>
    <row r="233" ht="15.75" customHeight="1" s="57">
      <c r="A233" s="29" t="n"/>
      <c r="B233" s="30" t="n"/>
      <c r="C233" s="39" t="n"/>
      <c r="D233" s="39" t="n"/>
      <c r="E233" s="39" t="n"/>
      <c r="F233" s="40" t="n"/>
      <c r="G233" s="30" t="n"/>
      <c r="H233" s="30" t="n"/>
      <c r="I233" s="30" t="n"/>
      <c r="J233" s="30" t="n"/>
      <c r="K233" s="30" t="n"/>
      <c r="L233" s="30" t="n"/>
      <c r="M233" s="30" t="n"/>
      <c r="N233" s="30" t="n"/>
      <c r="O233" s="30" t="n"/>
      <c r="P233" s="30" t="n"/>
      <c r="Q233" s="30" t="n"/>
      <c r="R233" s="30" t="n"/>
      <c r="S233" s="30" t="n"/>
      <c r="T233" s="30" t="n"/>
      <c r="U233" s="30" t="n"/>
      <c r="V233" s="30" t="n"/>
      <c r="W233" s="30" t="n"/>
      <c r="X233" s="30" t="n"/>
      <c r="Y233" s="30" t="n"/>
      <c r="Z233" s="30" t="n"/>
      <c r="AA233" s="30" t="n"/>
      <c r="AB233" s="30" t="n"/>
      <c r="AC233" s="30" t="n"/>
      <c r="AD233" s="41" t="n"/>
      <c r="AE233" s="30" t="n"/>
      <c r="AF233" s="42">
        <f>IF($AA246="","",IF(LEFT(UPPER(TRIM($AA246)),8)="FELICITA","N/A",IF($AE246="","",IFERROR(VLOOKUP(UPPER(TRIM($AE246)),Config!$A$6:$D$8,2,FALSE),IFERROR(VLOOKUP(IF(LEFT(UPPER(TRIM($AE246)),5)="SUPER","SUPER SALUD",IF(LEFT(UPPER(TRIM($AE246)),8)="SECRETAR","SECRETARIA DE SALUD",IF(LEFT(UPPER(TRIM($AE246)),4)="SEDE","SEDE",UPPER(TRIM($AE246))))),Config!$A$6:$D$8,2,FALSE),"⚠")))))</f>
        <v/>
      </c>
      <c r="AG233" s="30">
        <f>IF($AA246="","",IF(LEFT(UPPER(TRIM($AA246)),8)="FELICITA","N/A",IF($AE246="","",IFERROR(VLOOKUP(UPPER(TRIM($AE246)),Config!$A$6:$D$8,3,FALSE),IFERROR(VLOOKUP(IF(LEFT(UPPER(TRIM($AE246)),5)="SUPER","SUPER SALUD",IF(LEFT(UPPER(TRIM($AE246)),8)="SECRETAR","SECRETARIA DE SALUD",IF(LEFT(UPPER(TRIM($AE246)),4)="SEDE","SEDE",UPPER(TRIM($AE246))))),Config!$A$6:$D$8,3,FALSE),"")))))</f>
        <v/>
      </c>
      <c r="AH233" s="39">
        <f>IF(OR($E246="",NOT(ISNUMBER($E246)),$AF246="",$AF246="N/A",NOT(ISNUMBER($AF246))),"",IF($AG246="Hábiles",WORKDAY(INT($E246),$AF246,Config!$F$6:$F$39),INT($E246)+$AF246))</f>
        <v/>
      </c>
      <c r="AI233" s="30">
        <f>IF($E246="","",IF(LEFT(UPPER(TRIM($AA246)),8)="FELICITA","⭐ Felicitación",IF(NOT(ISNUMBER($E246)),"⚠ Revisar fecha",IF(UPPER(TRIM($AK246))="RESPONDIDA - CERRADA","✅ Cerrada",IF($AE246="","⚠ Falta entidad",IF($AH246="","⚠ Revisar término",IF(TODAY()&gt;$AH246,"🔴 Vencida",IF($AH246-TODAY()&lt;=Config!$B$12,"🟡 Próxima a vencer","🟢 En término"))))))))</f>
        <v/>
      </c>
      <c r="AJ233" s="42">
        <f>IF(OR($E246="",NOT(ISNUMBER($E246))),"",IF(ISNUMBER($AS246),MAX(0,INT($AS246)-INT($E246)),MAX(0,TODAY()-INT($E246))))</f>
        <v/>
      </c>
      <c r="AK233" s="30" t="n"/>
      <c r="AL233" s="30" t="n"/>
      <c r="AM233" s="30" t="n"/>
      <c r="AN233" s="39" t="n"/>
      <c r="AO233" s="30" t="n"/>
      <c r="AP233" s="30" t="n"/>
      <c r="AQ233" s="39" t="n"/>
      <c r="AR233" s="30" t="n"/>
      <c r="AS233" s="39" t="n"/>
      <c r="AT233" s="30">
        <f>IF(OR($AS246="",NOT(ISNUMBER($AS246)),$AH246=""),"",IF(INT($AS246)&lt;=$AH246,"A tiempo","Fuera de término"))</f>
        <v/>
      </c>
      <c r="AU233" s="40" t="n"/>
      <c r="AV233" s="40" t="n"/>
      <c r="AW233" s="40" t="n"/>
      <c r="AX233" s="40" t="n"/>
      <c r="AY233" s="30" t="n"/>
      <c r="AZ233" s="30" t="n"/>
      <c r="BA233" s="30" t="n"/>
    </row>
    <row r="234" ht="15.75" customHeight="1" s="57">
      <c r="A234" s="29" t="n"/>
      <c r="B234" s="30" t="n"/>
      <c r="C234" s="39" t="n"/>
      <c r="D234" s="39" t="n"/>
      <c r="E234" s="39" t="n"/>
      <c r="F234" s="40" t="n"/>
      <c r="G234" s="30" t="n"/>
      <c r="H234" s="30" t="n"/>
      <c r="I234" s="30" t="n"/>
      <c r="J234" s="30" t="n"/>
      <c r="K234" s="30" t="n"/>
      <c r="L234" s="30" t="n"/>
      <c r="M234" s="30" t="n"/>
      <c r="N234" s="30" t="n"/>
      <c r="O234" s="30" t="n"/>
      <c r="P234" s="30" t="n"/>
      <c r="Q234" s="30" t="n"/>
      <c r="R234" s="30" t="n"/>
      <c r="S234" s="30" t="n"/>
      <c r="T234" s="30" t="n"/>
      <c r="U234" s="30" t="n"/>
      <c r="V234" s="30" t="n"/>
      <c r="W234" s="30" t="n"/>
      <c r="X234" s="30" t="n"/>
      <c r="Y234" s="30" t="n"/>
      <c r="Z234" s="30" t="n"/>
      <c r="AA234" s="30" t="n"/>
      <c r="AB234" s="30" t="n"/>
      <c r="AC234" s="30" t="n"/>
      <c r="AD234" s="41" t="n"/>
      <c r="AE234" s="30" t="n"/>
      <c r="AF234" s="42">
        <f>IF($AA247="","",IF(LEFT(UPPER(TRIM($AA247)),8)="FELICITA","N/A",IF($AE247="","",IFERROR(VLOOKUP(UPPER(TRIM($AE247)),Config!$A$6:$D$8,2,FALSE),IFERROR(VLOOKUP(IF(LEFT(UPPER(TRIM($AE247)),5)="SUPER","SUPER SALUD",IF(LEFT(UPPER(TRIM($AE247)),8)="SECRETAR","SECRETARIA DE SALUD",IF(LEFT(UPPER(TRIM($AE247)),4)="SEDE","SEDE",UPPER(TRIM($AE247))))),Config!$A$6:$D$8,2,FALSE),"⚠")))))</f>
        <v/>
      </c>
      <c r="AG234" s="30">
        <f>IF($AA247="","",IF(LEFT(UPPER(TRIM($AA247)),8)="FELICITA","N/A",IF($AE247="","",IFERROR(VLOOKUP(UPPER(TRIM($AE247)),Config!$A$6:$D$8,3,FALSE),IFERROR(VLOOKUP(IF(LEFT(UPPER(TRIM($AE247)),5)="SUPER","SUPER SALUD",IF(LEFT(UPPER(TRIM($AE247)),8)="SECRETAR","SECRETARIA DE SALUD",IF(LEFT(UPPER(TRIM($AE247)),4)="SEDE","SEDE",UPPER(TRIM($AE247))))),Config!$A$6:$D$8,3,FALSE),"")))))</f>
        <v/>
      </c>
      <c r="AH234" s="39">
        <f>IF(OR($E247="",NOT(ISNUMBER($E247)),$AF247="",$AF247="N/A",NOT(ISNUMBER($AF247))),"",IF($AG247="Hábiles",WORKDAY(INT($E247),$AF247,Config!$F$6:$F$39),INT($E247)+$AF247))</f>
        <v/>
      </c>
      <c r="AI234" s="30">
        <f>IF($E247="","",IF(LEFT(UPPER(TRIM($AA247)),8)="FELICITA","⭐ Felicitación",IF(NOT(ISNUMBER($E247)),"⚠ Revisar fecha",IF(UPPER(TRIM($AK247))="RESPONDIDA - CERRADA","✅ Cerrada",IF($AE247="","⚠ Falta entidad",IF($AH247="","⚠ Revisar término",IF(TODAY()&gt;$AH247,"🔴 Vencida",IF($AH247-TODAY()&lt;=Config!$B$12,"🟡 Próxima a vencer","🟢 En término"))))))))</f>
        <v/>
      </c>
      <c r="AJ234" s="42">
        <f>IF(OR($E247="",NOT(ISNUMBER($E247))),"",IF(ISNUMBER($AS247),MAX(0,INT($AS247)-INT($E247)),MAX(0,TODAY()-INT($E247))))</f>
        <v/>
      </c>
      <c r="AK234" s="30" t="n"/>
      <c r="AL234" s="30" t="n"/>
      <c r="AM234" s="30" t="n"/>
      <c r="AN234" s="39" t="n"/>
      <c r="AO234" s="30" t="n"/>
      <c r="AP234" s="30" t="n"/>
      <c r="AQ234" s="39" t="n"/>
      <c r="AR234" s="30" t="n"/>
      <c r="AS234" s="39" t="n"/>
      <c r="AT234" s="30">
        <f>IF(OR($AS247="",NOT(ISNUMBER($AS247)),$AH247=""),"",IF(INT($AS247)&lt;=$AH247,"A tiempo","Fuera de término"))</f>
        <v/>
      </c>
      <c r="AU234" s="40" t="n"/>
      <c r="AV234" s="40" t="n"/>
      <c r="AW234" s="40" t="n"/>
      <c r="AX234" s="40" t="n"/>
      <c r="AY234" s="30" t="n"/>
      <c r="AZ234" s="30" t="n"/>
      <c r="BA234" s="30" t="n"/>
    </row>
    <row r="235" ht="15.75" customHeight="1" s="57">
      <c r="A235" s="29" t="n"/>
      <c r="B235" s="30" t="n"/>
      <c r="C235" s="39" t="n"/>
      <c r="D235" s="39" t="n"/>
      <c r="E235" s="39" t="n"/>
      <c r="F235" s="40" t="n"/>
      <c r="G235" s="30" t="n"/>
      <c r="H235" s="30" t="n"/>
      <c r="I235" s="30" t="n"/>
      <c r="J235" s="30" t="n"/>
      <c r="K235" s="30" t="n"/>
      <c r="L235" s="30" t="n"/>
      <c r="M235" s="30" t="n"/>
      <c r="N235" s="30" t="n"/>
      <c r="O235" s="30" t="n"/>
      <c r="P235" s="30" t="n"/>
      <c r="Q235" s="30" t="n"/>
      <c r="R235" s="30" t="n"/>
      <c r="S235" s="30" t="n"/>
      <c r="T235" s="30" t="n"/>
      <c r="U235" s="30" t="n"/>
      <c r="V235" s="30" t="n"/>
      <c r="W235" s="30" t="n"/>
      <c r="X235" s="30" t="n"/>
      <c r="Y235" s="30" t="n"/>
      <c r="Z235" s="30" t="n"/>
      <c r="AA235" s="30" t="n"/>
      <c r="AB235" s="30" t="n"/>
      <c r="AC235" s="30" t="n"/>
      <c r="AD235" s="41" t="n"/>
      <c r="AE235" s="30" t="n"/>
      <c r="AF235" s="42">
        <f>IF($AA248="","",IF(LEFT(UPPER(TRIM($AA248)),8)="FELICITA","N/A",IF($AE248="","",IFERROR(VLOOKUP(UPPER(TRIM($AE248)),Config!$A$6:$D$8,2,FALSE),IFERROR(VLOOKUP(IF(LEFT(UPPER(TRIM($AE248)),5)="SUPER","SUPER SALUD",IF(LEFT(UPPER(TRIM($AE248)),8)="SECRETAR","SECRETARIA DE SALUD",IF(LEFT(UPPER(TRIM($AE248)),4)="SEDE","SEDE",UPPER(TRIM($AE248))))),Config!$A$6:$D$8,2,FALSE),"⚠")))))</f>
        <v/>
      </c>
      <c r="AG235" s="30">
        <f>IF($AA248="","",IF(LEFT(UPPER(TRIM($AA248)),8)="FELICITA","N/A",IF($AE248="","",IFERROR(VLOOKUP(UPPER(TRIM($AE248)),Config!$A$6:$D$8,3,FALSE),IFERROR(VLOOKUP(IF(LEFT(UPPER(TRIM($AE248)),5)="SUPER","SUPER SALUD",IF(LEFT(UPPER(TRIM($AE248)),8)="SECRETAR","SECRETARIA DE SALUD",IF(LEFT(UPPER(TRIM($AE248)),4)="SEDE","SEDE",UPPER(TRIM($AE248))))),Config!$A$6:$D$8,3,FALSE),"")))))</f>
        <v/>
      </c>
      <c r="AH235" s="39">
        <f>IF(OR($E248="",NOT(ISNUMBER($E248)),$AF248="",$AF248="N/A",NOT(ISNUMBER($AF248))),"",IF($AG248="Hábiles",WORKDAY(INT($E248),$AF248,Config!$F$6:$F$39),INT($E248)+$AF248))</f>
        <v/>
      </c>
      <c r="AI235" s="30">
        <f>IF($E248="","",IF(LEFT(UPPER(TRIM($AA248)),8)="FELICITA","⭐ Felicitación",IF(NOT(ISNUMBER($E248)),"⚠ Revisar fecha",IF(UPPER(TRIM($AK248))="RESPONDIDA - CERRADA","✅ Cerrada",IF($AE248="","⚠ Falta entidad",IF($AH248="","⚠ Revisar término",IF(TODAY()&gt;$AH248,"🔴 Vencida",IF($AH248-TODAY()&lt;=Config!$B$12,"🟡 Próxima a vencer","🟢 En término"))))))))</f>
        <v/>
      </c>
      <c r="AJ235" s="42">
        <f>IF(OR($E248="",NOT(ISNUMBER($E248))),"",IF(ISNUMBER($AS248),MAX(0,INT($AS248)-INT($E248)),MAX(0,TODAY()-INT($E248))))</f>
        <v/>
      </c>
      <c r="AK235" s="30" t="n"/>
      <c r="AL235" s="30" t="n"/>
      <c r="AM235" s="30" t="n"/>
      <c r="AN235" s="39" t="n"/>
      <c r="AO235" s="30" t="n"/>
      <c r="AP235" s="30" t="n"/>
      <c r="AQ235" s="39" t="n"/>
      <c r="AR235" s="30" t="n"/>
      <c r="AS235" s="39" t="n"/>
      <c r="AT235" s="30">
        <f>IF(OR($AS248="",NOT(ISNUMBER($AS248)),$AH248=""),"",IF(INT($AS248)&lt;=$AH248,"A tiempo","Fuera de término"))</f>
        <v/>
      </c>
      <c r="AU235" s="40" t="n"/>
      <c r="AV235" s="40" t="n"/>
      <c r="AW235" s="40" t="n"/>
      <c r="AX235" s="40" t="n"/>
      <c r="AY235" s="30" t="n"/>
      <c r="AZ235" s="30" t="n"/>
      <c r="BA235" s="30" t="n"/>
    </row>
    <row r="236" ht="15.75" customHeight="1" s="57">
      <c r="A236" s="29" t="n"/>
      <c r="B236" s="30" t="n"/>
      <c r="C236" s="39" t="n"/>
      <c r="D236" s="39" t="n"/>
      <c r="E236" s="39" t="n"/>
      <c r="F236" s="40" t="n"/>
      <c r="G236" s="30" t="n"/>
      <c r="H236" s="30" t="n"/>
      <c r="I236" s="30" t="n"/>
      <c r="J236" s="30" t="n"/>
      <c r="K236" s="30" t="n"/>
      <c r="L236" s="30" t="n"/>
      <c r="M236" s="30" t="n"/>
      <c r="N236" s="30" t="n"/>
      <c r="O236" s="30" t="n"/>
      <c r="P236" s="30" t="n"/>
      <c r="Q236" s="30" t="n"/>
      <c r="R236" s="30" t="n"/>
      <c r="S236" s="30" t="n"/>
      <c r="T236" s="30" t="n"/>
      <c r="U236" s="30" t="n"/>
      <c r="V236" s="30" t="n"/>
      <c r="W236" s="30" t="n"/>
      <c r="X236" s="30" t="n"/>
      <c r="Y236" s="30" t="n"/>
      <c r="Z236" s="30" t="n"/>
      <c r="AA236" s="30" t="n"/>
      <c r="AB236" s="30" t="n"/>
      <c r="AC236" s="30" t="n"/>
      <c r="AD236" s="41" t="n"/>
      <c r="AE236" s="30" t="n"/>
      <c r="AF236" s="42">
        <f>IF($AA249="","",IF(LEFT(UPPER(TRIM($AA249)),8)="FELICITA","N/A",IF($AE249="","",IFERROR(VLOOKUP(UPPER(TRIM($AE249)),Config!$A$6:$D$8,2,FALSE),IFERROR(VLOOKUP(IF(LEFT(UPPER(TRIM($AE249)),5)="SUPER","SUPER SALUD",IF(LEFT(UPPER(TRIM($AE249)),8)="SECRETAR","SECRETARIA DE SALUD",IF(LEFT(UPPER(TRIM($AE249)),4)="SEDE","SEDE",UPPER(TRIM($AE249))))),Config!$A$6:$D$8,2,FALSE),"⚠")))))</f>
        <v/>
      </c>
      <c r="AG236" s="30">
        <f>IF($AA249="","",IF(LEFT(UPPER(TRIM($AA249)),8)="FELICITA","N/A",IF($AE249="","",IFERROR(VLOOKUP(UPPER(TRIM($AE249)),Config!$A$6:$D$8,3,FALSE),IFERROR(VLOOKUP(IF(LEFT(UPPER(TRIM($AE249)),5)="SUPER","SUPER SALUD",IF(LEFT(UPPER(TRIM($AE249)),8)="SECRETAR","SECRETARIA DE SALUD",IF(LEFT(UPPER(TRIM($AE249)),4)="SEDE","SEDE",UPPER(TRIM($AE249))))),Config!$A$6:$D$8,3,FALSE),"")))))</f>
        <v/>
      </c>
      <c r="AH236" s="39">
        <f>IF(OR($E249="",NOT(ISNUMBER($E249)),$AF249="",$AF249="N/A",NOT(ISNUMBER($AF249))),"",IF($AG249="Hábiles",WORKDAY(INT($E249),$AF249,Config!$F$6:$F$39),INT($E249)+$AF249))</f>
        <v/>
      </c>
      <c r="AI236" s="30">
        <f>IF($E249="","",IF(LEFT(UPPER(TRIM($AA249)),8)="FELICITA","⭐ Felicitación",IF(NOT(ISNUMBER($E249)),"⚠ Revisar fecha",IF(UPPER(TRIM($AK249))="RESPONDIDA - CERRADA","✅ Cerrada",IF($AE249="","⚠ Falta entidad",IF($AH249="","⚠ Revisar término",IF(TODAY()&gt;$AH249,"🔴 Vencida",IF($AH249-TODAY()&lt;=Config!$B$12,"🟡 Próxima a vencer","🟢 En término"))))))))</f>
        <v/>
      </c>
      <c r="AJ236" s="42">
        <f>IF(OR($E249="",NOT(ISNUMBER($E249))),"",IF(ISNUMBER($AS249),MAX(0,INT($AS249)-INT($E249)),MAX(0,TODAY()-INT($E249))))</f>
        <v/>
      </c>
      <c r="AK236" s="30" t="n"/>
      <c r="AL236" s="30" t="n"/>
      <c r="AM236" s="30" t="n"/>
      <c r="AN236" s="39" t="n"/>
      <c r="AO236" s="30" t="n"/>
      <c r="AP236" s="30" t="n"/>
      <c r="AQ236" s="39" t="n"/>
      <c r="AR236" s="30" t="n"/>
      <c r="AS236" s="39" t="n"/>
      <c r="AT236" s="30">
        <f>IF(OR($AS249="",NOT(ISNUMBER($AS249)),$AH249=""),"",IF(INT($AS249)&lt;=$AH249,"A tiempo","Fuera de término"))</f>
        <v/>
      </c>
      <c r="AU236" s="40" t="n"/>
      <c r="AV236" s="40" t="n"/>
      <c r="AW236" s="40" t="n"/>
      <c r="AX236" s="40" t="n"/>
      <c r="AY236" s="30" t="n"/>
      <c r="AZ236" s="30" t="n"/>
      <c r="BA236" s="30" t="n"/>
    </row>
    <row r="237" ht="15.75" customHeight="1" s="57">
      <c r="A237" s="29" t="n"/>
      <c r="B237" s="30" t="n"/>
      <c r="C237" s="39" t="n"/>
      <c r="D237" s="39" t="n"/>
      <c r="E237" s="39" t="n"/>
      <c r="F237" s="40" t="n"/>
      <c r="G237" s="30" t="n"/>
      <c r="H237" s="30" t="n"/>
      <c r="I237" s="30" t="n"/>
      <c r="J237" s="30" t="n"/>
      <c r="K237" s="30" t="n"/>
      <c r="L237" s="30" t="n"/>
      <c r="M237" s="30" t="n"/>
      <c r="N237" s="30" t="n"/>
      <c r="O237" s="30" t="n"/>
      <c r="P237" s="30" t="n"/>
      <c r="Q237" s="30" t="n"/>
      <c r="R237" s="30" t="n"/>
      <c r="S237" s="30" t="n"/>
      <c r="T237" s="30" t="n"/>
      <c r="U237" s="30" t="n"/>
      <c r="V237" s="30" t="n"/>
      <c r="W237" s="30" t="n"/>
      <c r="X237" s="30" t="n"/>
      <c r="Y237" s="30" t="n"/>
      <c r="Z237" s="30" t="n"/>
      <c r="AA237" s="30" t="n"/>
      <c r="AB237" s="30" t="n"/>
      <c r="AC237" s="30" t="n"/>
      <c r="AD237" s="41" t="n"/>
      <c r="AE237" s="30" t="n"/>
      <c r="AF237" s="42">
        <f>IF($AA250="","",IF(LEFT(UPPER(TRIM($AA250)),8)="FELICITA","N/A",IF($AE250="","",IFERROR(VLOOKUP(UPPER(TRIM($AE250)),Config!$A$6:$D$8,2,FALSE),IFERROR(VLOOKUP(IF(LEFT(UPPER(TRIM($AE250)),5)="SUPER","SUPER SALUD",IF(LEFT(UPPER(TRIM($AE250)),8)="SECRETAR","SECRETARIA DE SALUD",IF(LEFT(UPPER(TRIM($AE250)),4)="SEDE","SEDE",UPPER(TRIM($AE250))))),Config!$A$6:$D$8,2,FALSE),"⚠")))))</f>
        <v/>
      </c>
      <c r="AG237" s="30">
        <f>IF($AA250="","",IF(LEFT(UPPER(TRIM($AA250)),8)="FELICITA","N/A",IF($AE250="","",IFERROR(VLOOKUP(UPPER(TRIM($AE250)),Config!$A$6:$D$8,3,FALSE),IFERROR(VLOOKUP(IF(LEFT(UPPER(TRIM($AE250)),5)="SUPER","SUPER SALUD",IF(LEFT(UPPER(TRIM($AE250)),8)="SECRETAR","SECRETARIA DE SALUD",IF(LEFT(UPPER(TRIM($AE250)),4)="SEDE","SEDE",UPPER(TRIM($AE250))))),Config!$A$6:$D$8,3,FALSE),"")))))</f>
        <v/>
      </c>
      <c r="AH237" s="39">
        <f>IF(OR($E250="",NOT(ISNUMBER($E250)),$AF250="",$AF250="N/A",NOT(ISNUMBER($AF250))),"",IF($AG250="Hábiles",WORKDAY(INT($E250),$AF250,Config!$F$6:$F$39),INT($E250)+$AF250))</f>
        <v/>
      </c>
      <c r="AI237" s="30">
        <f>IF($E250="","",IF(LEFT(UPPER(TRIM($AA250)),8)="FELICITA","⭐ Felicitación",IF(NOT(ISNUMBER($E250)),"⚠ Revisar fecha",IF(UPPER(TRIM($AK250))="RESPONDIDA - CERRADA","✅ Cerrada",IF($AE250="","⚠ Falta entidad",IF($AH250="","⚠ Revisar término",IF(TODAY()&gt;$AH250,"🔴 Vencida",IF($AH250-TODAY()&lt;=Config!$B$12,"🟡 Próxima a vencer","🟢 En término"))))))))</f>
        <v/>
      </c>
      <c r="AJ237" s="42">
        <f>IF(OR($E250="",NOT(ISNUMBER($E250))),"",IF(ISNUMBER($AS250),MAX(0,INT($AS250)-INT($E250)),MAX(0,TODAY()-INT($E250))))</f>
        <v/>
      </c>
      <c r="AK237" s="30" t="n"/>
      <c r="AL237" s="30" t="n"/>
      <c r="AM237" s="30" t="n"/>
      <c r="AN237" s="39" t="n"/>
      <c r="AO237" s="30" t="n"/>
      <c r="AP237" s="30" t="n"/>
      <c r="AQ237" s="39" t="n"/>
      <c r="AR237" s="30" t="n"/>
      <c r="AS237" s="39" t="n"/>
      <c r="AT237" s="30">
        <f>IF(OR($AS250="",NOT(ISNUMBER($AS250)),$AH250=""),"",IF(INT($AS250)&lt;=$AH250,"A tiempo","Fuera de término"))</f>
        <v/>
      </c>
      <c r="AU237" s="40" t="n"/>
      <c r="AV237" s="40" t="n"/>
      <c r="AW237" s="40" t="n"/>
      <c r="AX237" s="40" t="n"/>
      <c r="AY237" s="30" t="n"/>
      <c r="AZ237" s="30" t="n"/>
      <c r="BA237" s="30" t="n"/>
    </row>
    <row r="238" ht="15.75" customHeight="1" s="57">
      <c r="A238" s="29" t="n"/>
      <c r="B238" s="30" t="n"/>
      <c r="C238" s="39" t="n"/>
      <c r="D238" s="39" t="n"/>
      <c r="E238" s="39" t="n"/>
      <c r="F238" s="40" t="n"/>
      <c r="G238" s="30" t="n"/>
      <c r="H238" s="30" t="n"/>
      <c r="I238" s="30" t="n"/>
      <c r="J238" s="30" t="n"/>
      <c r="K238" s="30" t="n"/>
      <c r="L238" s="30" t="n"/>
      <c r="M238" s="30" t="n"/>
      <c r="N238" s="30" t="n"/>
      <c r="O238" s="30" t="n"/>
      <c r="P238" s="30" t="n"/>
      <c r="Q238" s="30" t="n"/>
      <c r="R238" s="30" t="n"/>
      <c r="S238" s="30" t="n"/>
      <c r="T238" s="30" t="n"/>
      <c r="U238" s="30" t="n"/>
      <c r="V238" s="30" t="n"/>
      <c r="W238" s="30" t="n"/>
      <c r="X238" s="30" t="n"/>
      <c r="Y238" s="30" t="n"/>
      <c r="Z238" s="30" t="n"/>
      <c r="AA238" s="30" t="n"/>
      <c r="AB238" s="30" t="n"/>
      <c r="AC238" s="30" t="n"/>
      <c r="AD238" s="41" t="n"/>
      <c r="AE238" s="30" t="n"/>
      <c r="AF238" s="42">
        <f>IF($AA251="","",IF(LEFT(UPPER(TRIM($AA251)),8)="FELICITA","N/A",IF($AE251="","",IFERROR(VLOOKUP(UPPER(TRIM($AE251)),Config!$A$6:$D$8,2,FALSE),IFERROR(VLOOKUP(IF(LEFT(UPPER(TRIM($AE251)),5)="SUPER","SUPER SALUD",IF(LEFT(UPPER(TRIM($AE251)),8)="SECRETAR","SECRETARIA DE SALUD",IF(LEFT(UPPER(TRIM($AE251)),4)="SEDE","SEDE",UPPER(TRIM($AE251))))),Config!$A$6:$D$8,2,FALSE),"⚠")))))</f>
        <v/>
      </c>
      <c r="AG238" s="30">
        <f>IF($AA251="","",IF(LEFT(UPPER(TRIM($AA251)),8)="FELICITA","N/A",IF($AE251="","",IFERROR(VLOOKUP(UPPER(TRIM($AE251)),Config!$A$6:$D$8,3,FALSE),IFERROR(VLOOKUP(IF(LEFT(UPPER(TRIM($AE251)),5)="SUPER","SUPER SALUD",IF(LEFT(UPPER(TRIM($AE251)),8)="SECRETAR","SECRETARIA DE SALUD",IF(LEFT(UPPER(TRIM($AE251)),4)="SEDE","SEDE",UPPER(TRIM($AE251))))),Config!$A$6:$D$8,3,FALSE),"")))))</f>
        <v/>
      </c>
      <c r="AH238" s="39">
        <f>IF(OR($E251="",NOT(ISNUMBER($E251)),$AF251="",$AF251="N/A",NOT(ISNUMBER($AF251))),"",IF($AG251="Hábiles",WORKDAY(INT($E251),$AF251,Config!$F$6:$F$39),INT($E251)+$AF251))</f>
        <v/>
      </c>
      <c r="AI238" s="30">
        <f>IF($E251="","",IF(LEFT(UPPER(TRIM($AA251)),8)="FELICITA","⭐ Felicitación",IF(NOT(ISNUMBER($E251)),"⚠ Revisar fecha",IF(UPPER(TRIM($AK251))="RESPONDIDA - CERRADA","✅ Cerrada",IF($AE251="","⚠ Falta entidad",IF($AH251="","⚠ Revisar término",IF(TODAY()&gt;$AH251,"🔴 Vencida",IF($AH251-TODAY()&lt;=Config!$B$12,"🟡 Próxima a vencer","🟢 En término"))))))))</f>
        <v/>
      </c>
      <c r="AJ238" s="42">
        <f>IF(OR($E251="",NOT(ISNUMBER($E251))),"",IF(ISNUMBER($AS251),MAX(0,INT($AS251)-INT($E251)),MAX(0,TODAY()-INT($E251))))</f>
        <v/>
      </c>
      <c r="AK238" s="30" t="n"/>
      <c r="AL238" s="30" t="n"/>
      <c r="AM238" s="30" t="n"/>
      <c r="AN238" s="39" t="n"/>
      <c r="AO238" s="30" t="n"/>
      <c r="AP238" s="30" t="n"/>
      <c r="AQ238" s="39" t="n"/>
      <c r="AR238" s="30" t="n"/>
      <c r="AS238" s="39" t="n"/>
      <c r="AT238" s="30">
        <f>IF(OR($AS251="",NOT(ISNUMBER($AS251)),$AH251=""),"",IF(INT($AS251)&lt;=$AH251,"A tiempo","Fuera de término"))</f>
        <v/>
      </c>
      <c r="AU238" s="40" t="n"/>
      <c r="AV238" s="40" t="n"/>
      <c r="AW238" s="40" t="n"/>
      <c r="AX238" s="40" t="n"/>
      <c r="AY238" s="30" t="n"/>
      <c r="AZ238" s="30" t="n"/>
      <c r="BA238" s="30" t="n"/>
    </row>
    <row r="239" ht="15.75" customHeight="1" s="57">
      <c r="A239" s="29" t="n"/>
      <c r="B239" s="30" t="n"/>
      <c r="C239" s="39" t="n"/>
      <c r="D239" s="39" t="n"/>
      <c r="E239" s="39" t="n"/>
      <c r="F239" s="40" t="n"/>
      <c r="G239" s="30" t="n"/>
      <c r="H239" s="30" t="n"/>
      <c r="I239" s="30" t="n"/>
      <c r="J239" s="30" t="n"/>
      <c r="K239" s="30" t="n"/>
      <c r="L239" s="30" t="n"/>
      <c r="M239" s="30" t="n"/>
      <c r="N239" s="30" t="n"/>
      <c r="O239" s="30" t="n"/>
      <c r="P239" s="30" t="n"/>
      <c r="Q239" s="30" t="n"/>
      <c r="R239" s="30" t="n"/>
      <c r="S239" s="30" t="n"/>
      <c r="T239" s="30" t="n"/>
      <c r="U239" s="30" t="n"/>
      <c r="V239" s="30" t="n"/>
      <c r="W239" s="30" t="n"/>
      <c r="X239" s="30" t="n"/>
      <c r="Y239" s="30" t="n"/>
      <c r="Z239" s="30" t="n"/>
      <c r="AA239" s="30" t="n"/>
      <c r="AB239" s="30" t="n"/>
      <c r="AC239" s="30" t="n"/>
      <c r="AD239" s="41" t="n"/>
      <c r="AE239" s="30" t="n"/>
      <c r="AF239" s="42">
        <f>IF($AA252="","",IF(LEFT(UPPER(TRIM($AA252)),8)="FELICITA","N/A",IF($AE252="","",IFERROR(VLOOKUP(UPPER(TRIM($AE252)),Config!$A$6:$D$8,2,FALSE),IFERROR(VLOOKUP(IF(LEFT(UPPER(TRIM($AE252)),5)="SUPER","SUPER SALUD",IF(LEFT(UPPER(TRIM($AE252)),8)="SECRETAR","SECRETARIA DE SALUD",IF(LEFT(UPPER(TRIM($AE252)),4)="SEDE","SEDE",UPPER(TRIM($AE252))))),Config!$A$6:$D$8,2,FALSE),"⚠")))))</f>
        <v/>
      </c>
      <c r="AG239" s="30">
        <f>IF($AA252="","",IF(LEFT(UPPER(TRIM($AA252)),8)="FELICITA","N/A",IF($AE252="","",IFERROR(VLOOKUP(UPPER(TRIM($AE252)),Config!$A$6:$D$8,3,FALSE),IFERROR(VLOOKUP(IF(LEFT(UPPER(TRIM($AE252)),5)="SUPER","SUPER SALUD",IF(LEFT(UPPER(TRIM($AE252)),8)="SECRETAR","SECRETARIA DE SALUD",IF(LEFT(UPPER(TRIM($AE252)),4)="SEDE","SEDE",UPPER(TRIM($AE252))))),Config!$A$6:$D$8,3,FALSE),"")))))</f>
        <v/>
      </c>
      <c r="AH239" s="39">
        <f>IF(OR($E252="",NOT(ISNUMBER($E252)),$AF252="",$AF252="N/A",NOT(ISNUMBER($AF252))),"",IF($AG252="Hábiles",WORKDAY(INT($E252),$AF252,Config!$F$6:$F$39),INT($E252)+$AF252))</f>
        <v/>
      </c>
      <c r="AI239" s="30">
        <f>IF($E252="","",IF(LEFT(UPPER(TRIM($AA252)),8)="FELICITA","⭐ Felicitación",IF(NOT(ISNUMBER($E252)),"⚠ Revisar fecha",IF(UPPER(TRIM($AK252))="RESPONDIDA - CERRADA","✅ Cerrada",IF($AE252="","⚠ Falta entidad",IF($AH252="","⚠ Revisar término",IF(TODAY()&gt;$AH252,"🔴 Vencida",IF($AH252-TODAY()&lt;=Config!$B$12,"🟡 Próxima a vencer","🟢 En término"))))))))</f>
        <v/>
      </c>
      <c r="AJ239" s="42">
        <f>IF(OR($E252="",NOT(ISNUMBER($E252))),"",IF(ISNUMBER($AS252),MAX(0,INT($AS252)-INT($E252)),MAX(0,TODAY()-INT($E252))))</f>
        <v/>
      </c>
      <c r="AK239" s="30" t="n"/>
      <c r="AL239" s="30" t="n"/>
      <c r="AM239" s="30" t="n"/>
      <c r="AN239" s="39" t="n"/>
      <c r="AO239" s="30" t="n"/>
      <c r="AP239" s="30" t="n"/>
      <c r="AQ239" s="39" t="n"/>
      <c r="AR239" s="30" t="n"/>
      <c r="AS239" s="39" t="n"/>
      <c r="AT239" s="30">
        <f>IF(OR($AS252="",NOT(ISNUMBER($AS252)),$AH252=""),"",IF(INT($AS252)&lt;=$AH252,"A tiempo","Fuera de término"))</f>
        <v/>
      </c>
      <c r="AU239" s="40" t="n"/>
      <c r="AV239" s="40" t="n"/>
      <c r="AW239" s="40" t="n"/>
      <c r="AX239" s="40" t="n"/>
      <c r="AY239" s="30" t="n"/>
      <c r="AZ239" s="30" t="n"/>
      <c r="BA239" s="30" t="n"/>
    </row>
    <row r="240" ht="15.75" customHeight="1" s="57">
      <c r="A240" s="29" t="n"/>
      <c r="B240" s="30" t="n"/>
      <c r="C240" s="39" t="n"/>
      <c r="D240" s="39" t="n"/>
      <c r="E240" s="39" t="n"/>
      <c r="F240" s="40" t="n"/>
      <c r="G240" s="30" t="n"/>
      <c r="H240" s="30" t="n"/>
      <c r="I240" s="30" t="n"/>
      <c r="J240" s="30" t="n"/>
      <c r="K240" s="30" t="n"/>
      <c r="L240" s="30" t="n"/>
      <c r="M240" s="30" t="n"/>
      <c r="N240" s="30" t="n"/>
      <c r="O240" s="30" t="n"/>
      <c r="P240" s="30" t="n"/>
      <c r="Q240" s="30" t="n"/>
      <c r="R240" s="30" t="n"/>
      <c r="S240" s="30" t="n"/>
      <c r="T240" s="30" t="n"/>
      <c r="U240" s="30" t="n"/>
      <c r="V240" s="30" t="n"/>
      <c r="W240" s="30" t="n"/>
      <c r="X240" s="30" t="n"/>
      <c r="Y240" s="30" t="n"/>
      <c r="Z240" s="30" t="n"/>
      <c r="AA240" s="30" t="n"/>
      <c r="AB240" s="30" t="n"/>
      <c r="AC240" s="30" t="n"/>
      <c r="AD240" s="41" t="n"/>
      <c r="AE240" s="30" t="n"/>
      <c r="AF240" s="42">
        <f>IF($AA253="","",IF(LEFT(UPPER(TRIM($AA253)),8)="FELICITA","N/A",IF($AE253="","",IFERROR(VLOOKUP(UPPER(TRIM($AE253)),Config!$A$6:$D$8,2,FALSE),IFERROR(VLOOKUP(IF(LEFT(UPPER(TRIM($AE253)),5)="SUPER","SUPER SALUD",IF(LEFT(UPPER(TRIM($AE253)),8)="SECRETAR","SECRETARIA DE SALUD",IF(LEFT(UPPER(TRIM($AE253)),4)="SEDE","SEDE",UPPER(TRIM($AE253))))),Config!$A$6:$D$8,2,FALSE),"⚠")))))</f>
        <v/>
      </c>
      <c r="AG240" s="30">
        <f>IF($AA253="","",IF(LEFT(UPPER(TRIM($AA253)),8)="FELICITA","N/A",IF($AE253="","",IFERROR(VLOOKUP(UPPER(TRIM($AE253)),Config!$A$6:$D$8,3,FALSE),IFERROR(VLOOKUP(IF(LEFT(UPPER(TRIM($AE253)),5)="SUPER","SUPER SALUD",IF(LEFT(UPPER(TRIM($AE253)),8)="SECRETAR","SECRETARIA DE SALUD",IF(LEFT(UPPER(TRIM($AE253)),4)="SEDE","SEDE",UPPER(TRIM($AE253))))),Config!$A$6:$D$8,3,FALSE),"")))))</f>
        <v/>
      </c>
      <c r="AH240" s="39">
        <f>IF(OR($E253="",NOT(ISNUMBER($E253)),$AF253="",$AF253="N/A",NOT(ISNUMBER($AF253))),"",IF($AG253="Hábiles",WORKDAY(INT($E253),$AF253,Config!$F$6:$F$39),INT($E253)+$AF253))</f>
        <v/>
      </c>
      <c r="AI240" s="30">
        <f>IF($E253="","",IF(LEFT(UPPER(TRIM($AA253)),8)="FELICITA","⭐ Felicitación",IF(NOT(ISNUMBER($E253)),"⚠ Revisar fecha",IF(UPPER(TRIM($AK253))="RESPONDIDA - CERRADA","✅ Cerrada",IF($AE253="","⚠ Falta entidad",IF($AH253="","⚠ Revisar término",IF(TODAY()&gt;$AH253,"🔴 Vencida",IF($AH253-TODAY()&lt;=Config!$B$12,"🟡 Próxima a vencer","🟢 En término"))))))))</f>
        <v/>
      </c>
      <c r="AJ240" s="42">
        <f>IF(OR($E253="",NOT(ISNUMBER($E253))),"",IF(ISNUMBER($AS253),MAX(0,INT($AS253)-INT($E253)),MAX(0,TODAY()-INT($E253))))</f>
        <v/>
      </c>
      <c r="AK240" s="30" t="n"/>
      <c r="AL240" s="30" t="n"/>
      <c r="AM240" s="30" t="n"/>
      <c r="AN240" s="39" t="n"/>
      <c r="AO240" s="30" t="n"/>
      <c r="AP240" s="30" t="n"/>
      <c r="AQ240" s="39" t="n"/>
      <c r="AR240" s="30" t="n"/>
      <c r="AS240" s="39" t="n"/>
      <c r="AT240" s="30">
        <f>IF(OR($AS253="",NOT(ISNUMBER($AS253)),$AH253=""),"",IF(INT($AS253)&lt;=$AH253,"A tiempo","Fuera de término"))</f>
        <v/>
      </c>
      <c r="AU240" s="40" t="n"/>
      <c r="AV240" s="40" t="n"/>
      <c r="AW240" s="40" t="n"/>
      <c r="AX240" s="40" t="n"/>
      <c r="AY240" s="30" t="n"/>
      <c r="AZ240" s="30" t="n"/>
      <c r="BA240" s="30" t="n"/>
    </row>
    <row r="241" ht="15.75" customHeight="1" s="57">
      <c r="A241" s="29" t="n"/>
      <c r="B241" s="30" t="n"/>
      <c r="C241" s="39" t="n"/>
      <c r="D241" s="39" t="n"/>
      <c r="E241" s="39" t="n"/>
      <c r="F241" s="40" t="n"/>
      <c r="G241" s="30" t="n"/>
      <c r="H241" s="30" t="n"/>
      <c r="I241" s="30" t="n"/>
      <c r="J241" s="30" t="n"/>
      <c r="K241" s="30" t="n"/>
      <c r="L241" s="30" t="n"/>
      <c r="M241" s="30" t="n"/>
      <c r="N241" s="30" t="n"/>
      <c r="O241" s="30" t="n"/>
      <c r="P241" s="30" t="n"/>
      <c r="Q241" s="30" t="n"/>
      <c r="R241" s="30" t="n"/>
      <c r="S241" s="30" t="n"/>
      <c r="T241" s="30" t="n"/>
      <c r="U241" s="30" t="n"/>
      <c r="V241" s="30" t="n"/>
      <c r="W241" s="30" t="n"/>
      <c r="X241" s="30" t="n"/>
      <c r="Y241" s="30" t="n"/>
      <c r="Z241" s="30" t="n"/>
      <c r="AA241" s="30" t="n"/>
      <c r="AB241" s="30" t="n"/>
      <c r="AC241" s="30" t="n"/>
      <c r="AD241" s="41" t="n"/>
      <c r="AE241" s="30" t="n"/>
      <c r="AF241" s="42">
        <f>IF($AA254="","",IF(LEFT(UPPER(TRIM($AA254)),8)="FELICITA","N/A",IF($AE254="","",IFERROR(VLOOKUP(UPPER(TRIM($AE254)),Config!$A$6:$D$8,2,FALSE),IFERROR(VLOOKUP(IF(LEFT(UPPER(TRIM($AE254)),5)="SUPER","SUPER SALUD",IF(LEFT(UPPER(TRIM($AE254)),8)="SECRETAR","SECRETARIA DE SALUD",IF(LEFT(UPPER(TRIM($AE254)),4)="SEDE","SEDE",UPPER(TRIM($AE254))))),Config!$A$6:$D$8,2,FALSE),"⚠")))))</f>
        <v/>
      </c>
      <c r="AG241" s="30">
        <f>IF($AA254="","",IF(LEFT(UPPER(TRIM($AA254)),8)="FELICITA","N/A",IF($AE254="","",IFERROR(VLOOKUP(UPPER(TRIM($AE254)),Config!$A$6:$D$8,3,FALSE),IFERROR(VLOOKUP(IF(LEFT(UPPER(TRIM($AE254)),5)="SUPER","SUPER SALUD",IF(LEFT(UPPER(TRIM($AE254)),8)="SECRETAR","SECRETARIA DE SALUD",IF(LEFT(UPPER(TRIM($AE254)),4)="SEDE","SEDE",UPPER(TRIM($AE254))))),Config!$A$6:$D$8,3,FALSE),"")))))</f>
        <v/>
      </c>
      <c r="AH241" s="39">
        <f>IF(OR($E254="",NOT(ISNUMBER($E254)),$AF254="",$AF254="N/A",NOT(ISNUMBER($AF254))),"",IF($AG254="Hábiles",WORKDAY(INT($E254),$AF254,Config!$F$6:$F$39),INT($E254)+$AF254))</f>
        <v/>
      </c>
      <c r="AI241" s="30">
        <f>IF($E254="","",IF(LEFT(UPPER(TRIM($AA254)),8)="FELICITA","⭐ Felicitación",IF(NOT(ISNUMBER($E254)),"⚠ Revisar fecha",IF(UPPER(TRIM($AK254))="RESPONDIDA - CERRADA","✅ Cerrada",IF($AE254="","⚠ Falta entidad",IF($AH254="","⚠ Revisar término",IF(TODAY()&gt;$AH254,"🔴 Vencida",IF($AH254-TODAY()&lt;=Config!$B$12,"🟡 Próxima a vencer","🟢 En término"))))))))</f>
        <v/>
      </c>
      <c r="AJ241" s="42">
        <f>IF(OR($E254="",NOT(ISNUMBER($E254))),"",IF(ISNUMBER($AS254),MAX(0,INT($AS254)-INT($E254)),MAX(0,TODAY()-INT($E254))))</f>
        <v/>
      </c>
      <c r="AK241" s="30" t="n"/>
      <c r="AL241" s="30" t="n"/>
      <c r="AM241" s="30" t="n"/>
      <c r="AN241" s="39" t="n"/>
      <c r="AO241" s="30" t="n"/>
      <c r="AP241" s="30" t="n"/>
      <c r="AQ241" s="39" t="n"/>
      <c r="AR241" s="30" t="n"/>
      <c r="AS241" s="39" t="n"/>
      <c r="AT241" s="30">
        <f>IF(OR($AS254="",NOT(ISNUMBER($AS254)),$AH254=""),"",IF(INT($AS254)&lt;=$AH254,"A tiempo","Fuera de término"))</f>
        <v/>
      </c>
      <c r="AU241" s="40" t="n"/>
      <c r="AV241" s="40" t="n"/>
      <c r="AW241" s="40" t="n"/>
      <c r="AX241" s="40" t="n"/>
      <c r="AY241" s="30" t="n"/>
      <c r="AZ241" s="30" t="n"/>
      <c r="BA241" s="30" t="n"/>
    </row>
    <row r="242" ht="15.75" customHeight="1" s="57">
      <c r="A242" s="29" t="n"/>
      <c r="B242" s="30" t="n"/>
      <c r="C242" s="39" t="n"/>
      <c r="D242" s="39" t="n"/>
      <c r="E242" s="39" t="n"/>
      <c r="F242" s="40" t="n"/>
      <c r="G242" s="30" t="n"/>
      <c r="H242" s="30" t="n"/>
      <c r="I242" s="30" t="n"/>
      <c r="J242" s="30" t="n"/>
      <c r="K242" s="30" t="n"/>
      <c r="L242" s="30" t="n"/>
      <c r="M242" s="30" t="n"/>
      <c r="N242" s="30" t="n"/>
      <c r="O242" s="30" t="n"/>
      <c r="P242" s="30" t="n"/>
      <c r="Q242" s="30" t="n"/>
      <c r="R242" s="30" t="n"/>
      <c r="S242" s="30" t="n"/>
      <c r="T242" s="30" t="n"/>
      <c r="U242" s="30" t="n"/>
      <c r="V242" s="30" t="n"/>
      <c r="W242" s="30" t="n"/>
      <c r="X242" s="30" t="n"/>
      <c r="Y242" s="30" t="n"/>
      <c r="Z242" s="30" t="n"/>
      <c r="AA242" s="30" t="n"/>
      <c r="AB242" s="30" t="n"/>
      <c r="AC242" s="30" t="n"/>
      <c r="AD242" s="41" t="n"/>
      <c r="AE242" s="30" t="n"/>
      <c r="AF242" s="42">
        <f>IF($AA255="","",IF(LEFT(UPPER(TRIM($AA255)),8)="FELICITA","N/A",IF($AE255="","",IFERROR(VLOOKUP(UPPER(TRIM($AE255)),Config!$A$6:$D$8,2,FALSE),IFERROR(VLOOKUP(IF(LEFT(UPPER(TRIM($AE255)),5)="SUPER","SUPER SALUD",IF(LEFT(UPPER(TRIM($AE255)),8)="SECRETAR","SECRETARIA DE SALUD",IF(LEFT(UPPER(TRIM($AE255)),4)="SEDE","SEDE",UPPER(TRIM($AE255))))),Config!$A$6:$D$8,2,FALSE),"⚠")))))</f>
        <v/>
      </c>
      <c r="AG242" s="30">
        <f>IF($AA255="","",IF(LEFT(UPPER(TRIM($AA255)),8)="FELICITA","N/A",IF($AE255="","",IFERROR(VLOOKUP(UPPER(TRIM($AE255)),Config!$A$6:$D$8,3,FALSE),IFERROR(VLOOKUP(IF(LEFT(UPPER(TRIM($AE255)),5)="SUPER","SUPER SALUD",IF(LEFT(UPPER(TRIM($AE255)),8)="SECRETAR","SECRETARIA DE SALUD",IF(LEFT(UPPER(TRIM($AE255)),4)="SEDE","SEDE",UPPER(TRIM($AE255))))),Config!$A$6:$D$8,3,FALSE),"")))))</f>
        <v/>
      </c>
      <c r="AH242" s="39">
        <f>IF(OR($E255="",NOT(ISNUMBER($E255)),$AF255="",$AF255="N/A",NOT(ISNUMBER($AF255))),"",IF($AG255="Hábiles",WORKDAY(INT($E255),$AF255,Config!$F$6:$F$39),INT($E255)+$AF255))</f>
        <v/>
      </c>
      <c r="AI242" s="30">
        <f>IF($E255="","",IF(LEFT(UPPER(TRIM($AA255)),8)="FELICITA","⭐ Felicitación",IF(NOT(ISNUMBER($E255)),"⚠ Revisar fecha",IF(UPPER(TRIM($AK255))="RESPONDIDA - CERRADA","✅ Cerrada",IF($AE255="","⚠ Falta entidad",IF($AH255="","⚠ Revisar término",IF(TODAY()&gt;$AH255,"🔴 Vencida",IF($AH255-TODAY()&lt;=Config!$B$12,"🟡 Próxima a vencer","🟢 En término"))))))))</f>
        <v/>
      </c>
      <c r="AJ242" s="42">
        <f>IF(OR($E255="",NOT(ISNUMBER($E255))),"",IF(ISNUMBER($AS255),MAX(0,INT($AS255)-INT($E255)),MAX(0,TODAY()-INT($E255))))</f>
        <v/>
      </c>
      <c r="AK242" s="30" t="n"/>
      <c r="AL242" s="30" t="n"/>
      <c r="AM242" s="30" t="n"/>
      <c r="AN242" s="39" t="n"/>
      <c r="AO242" s="30" t="n"/>
      <c r="AP242" s="30" t="n"/>
      <c r="AQ242" s="39" t="n"/>
      <c r="AR242" s="30" t="n"/>
      <c r="AS242" s="39" t="n"/>
      <c r="AT242" s="30">
        <f>IF(OR($AS255="",NOT(ISNUMBER($AS255)),$AH255=""),"",IF(INT($AS255)&lt;=$AH255,"A tiempo","Fuera de término"))</f>
        <v/>
      </c>
      <c r="AU242" s="40" t="n"/>
      <c r="AV242" s="40" t="n"/>
      <c r="AW242" s="40" t="n"/>
      <c r="AX242" s="40" t="n"/>
      <c r="AY242" s="30" t="n"/>
      <c r="AZ242" s="30" t="n"/>
      <c r="BA242" s="30" t="n"/>
    </row>
    <row r="243" ht="15.75" customHeight="1" s="57">
      <c r="A243" s="29" t="n"/>
      <c r="B243" s="30" t="n"/>
      <c r="C243" s="39" t="n"/>
      <c r="D243" s="39" t="n"/>
      <c r="E243" s="39" t="n"/>
      <c r="F243" s="40" t="n"/>
      <c r="G243" s="30" t="n"/>
      <c r="H243" s="30" t="n"/>
      <c r="I243" s="30" t="n"/>
      <c r="J243" s="30" t="n"/>
      <c r="K243" s="30" t="n"/>
      <c r="L243" s="30" t="n"/>
      <c r="M243" s="30" t="n"/>
      <c r="N243" s="30" t="n"/>
      <c r="O243" s="30" t="n"/>
      <c r="P243" s="30" t="n"/>
      <c r="Q243" s="30" t="n"/>
      <c r="R243" s="30" t="n"/>
      <c r="S243" s="30" t="n"/>
      <c r="T243" s="30" t="n"/>
      <c r="U243" s="30" t="n"/>
      <c r="V243" s="30" t="n"/>
      <c r="W243" s="30" t="n"/>
      <c r="X243" s="30" t="n"/>
      <c r="Y243" s="30" t="n"/>
      <c r="Z243" s="30" t="n"/>
      <c r="AA243" s="30" t="n"/>
      <c r="AB243" s="30" t="n"/>
      <c r="AC243" s="30" t="n"/>
      <c r="AD243" s="41" t="n"/>
      <c r="AE243" s="30" t="n"/>
      <c r="AF243" s="42">
        <f>IF($AA256="","",IF(LEFT(UPPER(TRIM($AA256)),8)="FELICITA","N/A",IF($AE256="","",IFERROR(VLOOKUP(UPPER(TRIM($AE256)),Config!$A$6:$D$8,2,FALSE),IFERROR(VLOOKUP(IF(LEFT(UPPER(TRIM($AE256)),5)="SUPER","SUPER SALUD",IF(LEFT(UPPER(TRIM($AE256)),8)="SECRETAR","SECRETARIA DE SALUD",IF(LEFT(UPPER(TRIM($AE256)),4)="SEDE","SEDE",UPPER(TRIM($AE256))))),Config!$A$6:$D$8,2,FALSE),"⚠")))))</f>
        <v/>
      </c>
      <c r="AG243" s="30">
        <f>IF($AA256="","",IF(LEFT(UPPER(TRIM($AA256)),8)="FELICITA","N/A",IF($AE256="","",IFERROR(VLOOKUP(UPPER(TRIM($AE256)),Config!$A$6:$D$8,3,FALSE),IFERROR(VLOOKUP(IF(LEFT(UPPER(TRIM($AE256)),5)="SUPER","SUPER SALUD",IF(LEFT(UPPER(TRIM($AE256)),8)="SECRETAR","SECRETARIA DE SALUD",IF(LEFT(UPPER(TRIM($AE256)),4)="SEDE","SEDE",UPPER(TRIM($AE256))))),Config!$A$6:$D$8,3,FALSE),"")))))</f>
        <v/>
      </c>
      <c r="AH243" s="39">
        <f>IF(OR($E256="",NOT(ISNUMBER($E256)),$AF256="",$AF256="N/A",NOT(ISNUMBER($AF256))),"",IF($AG256="Hábiles",WORKDAY(INT($E256),$AF256,Config!$F$6:$F$39),INT($E256)+$AF256))</f>
        <v/>
      </c>
      <c r="AI243" s="30">
        <f>IF($E256="","",IF(LEFT(UPPER(TRIM($AA256)),8)="FELICITA","⭐ Felicitación",IF(NOT(ISNUMBER($E256)),"⚠ Revisar fecha",IF(UPPER(TRIM($AK256))="RESPONDIDA - CERRADA","✅ Cerrada",IF($AE256="","⚠ Falta entidad",IF($AH256="","⚠ Revisar término",IF(TODAY()&gt;$AH256,"🔴 Vencida",IF($AH256-TODAY()&lt;=Config!$B$12,"🟡 Próxima a vencer","🟢 En término"))))))))</f>
        <v/>
      </c>
      <c r="AJ243" s="42">
        <f>IF(OR($E256="",NOT(ISNUMBER($E256))),"",IF(ISNUMBER($AS256),MAX(0,INT($AS256)-INT($E256)),MAX(0,TODAY()-INT($E256))))</f>
        <v/>
      </c>
      <c r="AK243" s="30" t="n"/>
      <c r="AL243" s="30" t="n"/>
      <c r="AM243" s="30" t="n"/>
      <c r="AN243" s="39" t="n"/>
      <c r="AO243" s="30" t="n"/>
      <c r="AP243" s="30" t="n"/>
      <c r="AQ243" s="39" t="n"/>
      <c r="AR243" s="30" t="n"/>
      <c r="AS243" s="39" t="n"/>
      <c r="AT243" s="30">
        <f>IF(OR($AS256="",NOT(ISNUMBER($AS256)),$AH256=""),"",IF(INT($AS256)&lt;=$AH256,"A tiempo","Fuera de término"))</f>
        <v/>
      </c>
      <c r="AU243" s="40" t="n"/>
      <c r="AV243" s="40" t="n"/>
      <c r="AW243" s="40" t="n"/>
      <c r="AX243" s="40" t="n"/>
      <c r="AY243" s="30" t="n"/>
      <c r="AZ243" s="30" t="n"/>
      <c r="BA243" s="30" t="n"/>
    </row>
    <row r="244" ht="15.75" customHeight="1" s="57">
      <c r="A244" s="29" t="n"/>
      <c r="B244" s="30" t="n"/>
      <c r="C244" s="39" t="n"/>
      <c r="D244" s="39" t="n"/>
      <c r="E244" s="39" t="n"/>
      <c r="F244" s="40" t="n"/>
      <c r="G244" s="30" t="n"/>
      <c r="H244" s="30" t="n"/>
      <c r="I244" s="30" t="n"/>
      <c r="J244" s="30" t="n"/>
      <c r="K244" s="30" t="n"/>
      <c r="L244" s="30" t="n"/>
      <c r="M244" s="30" t="n"/>
      <c r="N244" s="30" t="n"/>
      <c r="O244" s="30" t="n"/>
      <c r="P244" s="30" t="n"/>
      <c r="Q244" s="30" t="n"/>
      <c r="R244" s="30" t="n"/>
      <c r="S244" s="30" t="n"/>
      <c r="T244" s="30" t="n"/>
      <c r="U244" s="30" t="n"/>
      <c r="V244" s="30" t="n"/>
      <c r="W244" s="30" t="n"/>
      <c r="X244" s="30" t="n"/>
      <c r="Y244" s="30" t="n"/>
      <c r="Z244" s="30" t="n"/>
      <c r="AA244" s="30" t="n"/>
      <c r="AB244" s="30" t="n"/>
      <c r="AC244" s="30" t="n"/>
      <c r="AD244" s="41" t="n"/>
      <c r="AE244" s="30" t="n"/>
      <c r="AF244" s="42">
        <f>IF($AA257="","",IF(LEFT(UPPER(TRIM($AA257)),8)="FELICITA","N/A",IF($AE257="","",IFERROR(VLOOKUP(UPPER(TRIM($AE257)),Config!$A$6:$D$8,2,FALSE),IFERROR(VLOOKUP(IF(LEFT(UPPER(TRIM($AE257)),5)="SUPER","SUPER SALUD",IF(LEFT(UPPER(TRIM($AE257)),8)="SECRETAR","SECRETARIA DE SALUD",IF(LEFT(UPPER(TRIM($AE257)),4)="SEDE","SEDE",UPPER(TRIM($AE257))))),Config!$A$6:$D$8,2,FALSE),"⚠")))))</f>
        <v/>
      </c>
      <c r="AG244" s="30">
        <f>IF($AA257="","",IF(LEFT(UPPER(TRIM($AA257)),8)="FELICITA","N/A",IF($AE257="","",IFERROR(VLOOKUP(UPPER(TRIM($AE257)),Config!$A$6:$D$8,3,FALSE),IFERROR(VLOOKUP(IF(LEFT(UPPER(TRIM($AE257)),5)="SUPER","SUPER SALUD",IF(LEFT(UPPER(TRIM($AE257)),8)="SECRETAR","SECRETARIA DE SALUD",IF(LEFT(UPPER(TRIM($AE257)),4)="SEDE","SEDE",UPPER(TRIM($AE257))))),Config!$A$6:$D$8,3,FALSE),"")))))</f>
        <v/>
      </c>
      <c r="AH244" s="39">
        <f>IF(OR($E257="",NOT(ISNUMBER($E257)),$AF257="",$AF257="N/A",NOT(ISNUMBER($AF257))),"",IF($AG257="Hábiles",WORKDAY(INT($E257),$AF257,Config!$F$6:$F$39),INT($E257)+$AF257))</f>
        <v/>
      </c>
      <c r="AI244" s="30">
        <f>IF($E257="","",IF(LEFT(UPPER(TRIM($AA257)),8)="FELICITA","⭐ Felicitación",IF(NOT(ISNUMBER($E257)),"⚠ Revisar fecha",IF(UPPER(TRIM($AK257))="RESPONDIDA - CERRADA","✅ Cerrada",IF($AE257="","⚠ Falta entidad",IF($AH257="","⚠ Revisar término",IF(TODAY()&gt;$AH257,"🔴 Vencida",IF($AH257-TODAY()&lt;=Config!$B$12,"🟡 Próxima a vencer","🟢 En término"))))))))</f>
        <v/>
      </c>
      <c r="AJ244" s="42">
        <f>IF(OR($E257="",NOT(ISNUMBER($E257))),"",IF(ISNUMBER($AS257),MAX(0,INT($AS257)-INT($E257)),MAX(0,TODAY()-INT($E257))))</f>
        <v/>
      </c>
      <c r="AK244" s="30" t="n"/>
      <c r="AL244" s="30" t="n"/>
      <c r="AM244" s="30" t="n"/>
      <c r="AN244" s="39" t="n"/>
      <c r="AO244" s="30" t="n"/>
      <c r="AP244" s="30" t="n"/>
      <c r="AQ244" s="39" t="n"/>
      <c r="AR244" s="30" t="n"/>
      <c r="AS244" s="39" t="n"/>
      <c r="AT244" s="30">
        <f>IF(OR($AS257="",NOT(ISNUMBER($AS257)),$AH257=""),"",IF(INT($AS257)&lt;=$AH257,"A tiempo","Fuera de término"))</f>
        <v/>
      </c>
      <c r="AU244" s="40" t="n"/>
      <c r="AV244" s="40" t="n"/>
      <c r="AW244" s="40" t="n"/>
      <c r="AX244" s="40" t="n"/>
      <c r="AY244" s="30" t="n"/>
      <c r="AZ244" s="30" t="n"/>
      <c r="BA244" s="30" t="n"/>
    </row>
    <row r="245" ht="15.75" customHeight="1" s="57">
      <c r="A245" s="29" t="n"/>
      <c r="B245" s="30" t="n"/>
      <c r="C245" s="39" t="n"/>
      <c r="D245" s="39" t="n"/>
      <c r="E245" s="39" t="n"/>
      <c r="F245" s="40" t="n"/>
      <c r="G245" s="30" t="n"/>
      <c r="H245" s="30" t="n"/>
      <c r="I245" s="30" t="n"/>
      <c r="J245" s="30" t="n"/>
      <c r="K245" s="30" t="n"/>
      <c r="L245" s="30" t="n"/>
      <c r="M245" s="30" t="n"/>
      <c r="N245" s="30" t="n"/>
      <c r="O245" s="30" t="n"/>
      <c r="P245" s="30" t="n"/>
      <c r="Q245" s="30" t="n"/>
      <c r="R245" s="30" t="n"/>
      <c r="S245" s="30" t="n"/>
      <c r="T245" s="30" t="n"/>
      <c r="U245" s="30" t="n"/>
      <c r="V245" s="30" t="n"/>
      <c r="W245" s="30" t="n"/>
      <c r="X245" s="30" t="n"/>
      <c r="Y245" s="30" t="n"/>
      <c r="Z245" s="30" t="n"/>
      <c r="AA245" s="30" t="n"/>
      <c r="AB245" s="30" t="n"/>
      <c r="AC245" s="30" t="n"/>
      <c r="AD245" s="41" t="n"/>
      <c r="AE245" s="30" t="n"/>
      <c r="AF245" s="42">
        <f>IF($AA258="","",IF(LEFT(UPPER(TRIM($AA258)),8)="FELICITA","N/A",IF($AE258="","",IFERROR(VLOOKUP(UPPER(TRIM($AE258)),Config!$A$6:$D$8,2,FALSE),IFERROR(VLOOKUP(IF(LEFT(UPPER(TRIM($AE258)),5)="SUPER","SUPER SALUD",IF(LEFT(UPPER(TRIM($AE258)),8)="SECRETAR","SECRETARIA DE SALUD",IF(LEFT(UPPER(TRIM($AE258)),4)="SEDE","SEDE",UPPER(TRIM($AE258))))),Config!$A$6:$D$8,2,FALSE),"⚠")))))</f>
        <v/>
      </c>
      <c r="AG245" s="30">
        <f>IF($AA258="","",IF(LEFT(UPPER(TRIM($AA258)),8)="FELICITA","N/A",IF($AE258="","",IFERROR(VLOOKUP(UPPER(TRIM($AE258)),Config!$A$6:$D$8,3,FALSE),IFERROR(VLOOKUP(IF(LEFT(UPPER(TRIM($AE258)),5)="SUPER","SUPER SALUD",IF(LEFT(UPPER(TRIM($AE258)),8)="SECRETAR","SECRETARIA DE SALUD",IF(LEFT(UPPER(TRIM($AE258)),4)="SEDE","SEDE",UPPER(TRIM($AE258))))),Config!$A$6:$D$8,3,FALSE),"")))))</f>
        <v/>
      </c>
      <c r="AH245" s="39">
        <f>IF(OR($E258="",NOT(ISNUMBER($E258)),$AF258="",$AF258="N/A",NOT(ISNUMBER($AF258))),"",IF($AG258="Hábiles",WORKDAY(INT($E258),$AF258,Config!$F$6:$F$39),INT($E258)+$AF258))</f>
        <v/>
      </c>
      <c r="AI245" s="30">
        <f>IF($E258="","",IF(LEFT(UPPER(TRIM($AA258)),8)="FELICITA","⭐ Felicitación",IF(NOT(ISNUMBER($E258)),"⚠ Revisar fecha",IF(UPPER(TRIM($AK258))="RESPONDIDA - CERRADA","✅ Cerrada",IF($AE258="","⚠ Falta entidad",IF($AH258="","⚠ Revisar término",IF(TODAY()&gt;$AH258,"🔴 Vencida",IF($AH258-TODAY()&lt;=Config!$B$12,"🟡 Próxima a vencer","🟢 En término"))))))))</f>
        <v/>
      </c>
      <c r="AJ245" s="42">
        <f>IF(OR($E258="",NOT(ISNUMBER($E258))),"",IF(ISNUMBER($AS258),MAX(0,INT($AS258)-INT($E258)),MAX(0,TODAY()-INT($E258))))</f>
        <v/>
      </c>
      <c r="AK245" s="30" t="n"/>
      <c r="AL245" s="30" t="n"/>
      <c r="AM245" s="30" t="n"/>
      <c r="AN245" s="39" t="n"/>
      <c r="AO245" s="30" t="n"/>
      <c r="AP245" s="30" t="n"/>
      <c r="AQ245" s="39" t="n"/>
      <c r="AR245" s="30" t="n"/>
      <c r="AS245" s="39" t="n"/>
      <c r="AT245" s="30">
        <f>IF(OR($AS258="",NOT(ISNUMBER($AS258)),$AH258=""),"",IF(INT($AS258)&lt;=$AH258,"A tiempo","Fuera de término"))</f>
        <v/>
      </c>
      <c r="AU245" s="40" t="n"/>
      <c r="AV245" s="40" t="n"/>
      <c r="AW245" s="40" t="n"/>
      <c r="AX245" s="40" t="n"/>
      <c r="AY245" s="30" t="n"/>
      <c r="AZ245" s="30" t="n"/>
      <c r="BA245" s="30" t="n"/>
    </row>
    <row r="246" ht="15.75" customHeight="1" s="57">
      <c r="A246" s="29" t="n"/>
      <c r="B246" s="30" t="n"/>
      <c r="C246" s="39" t="n"/>
      <c r="D246" s="39" t="n"/>
      <c r="E246" s="39" t="n"/>
      <c r="F246" s="40" t="n"/>
      <c r="G246" s="30" t="n"/>
      <c r="H246" s="30" t="n"/>
      <c r="I246" s="30" t="n"/>
      <c r="J246" s="30" t="n"/>
      <c r="K246" s="30" t="n"/>
      <c r="L246" s="30" t="n"/>
      <c r="M246" s="30" t="n"/>
      <c r="N246" s="30" t="n"/>
      <c r="O246" s="30" t="n"/>
      <c r="P246" s="30" t="n"/>
      <c r="Q246" s="30" t="n"/>
      <c r="R246" s="30" t="n"/>
      <c r="S246" s="30" t="n"/>
      <c r="T246" s="30" t="n"/>
      <c r="U246" s="30" t="n"/>
      <c r="V246" s="30" t="n"/>
      <c r="W246" s="30" t="n"/>
      <c r="X246" s="30" t="n"/>
      <c r="Y246" s="30" t="n"/>
      <c r="Z246" s="30" t="n"/>
      <c r="AA246" s="30" t="n"/>
      <c r="AB246" s="30" t="n"/>
      <c r="AC246" s="30" t="n"/>
      <c r="AD246" s="41" t="n"/>
      <c r="AE246" s="30" t="n"/>
      <c r="AF246" s="42">
        <f>IF($AA259="","",IF(LEFT(UPPER(TRIM($AA259)),8)="FELICITA","N/A",IF($AE259="","",IFERROR(VLOOKUP(UPPER(TRIM($AE259)),Config!$A$6:$D$8,2,FALSE),IFERROR(VLOOKUP(IF(LEFT(UPPER(TRIM($AE259)),5)="SUPER","SUPER SALUD",IF(LEFT(UPPER(TRIM($AE259)),8)="SECRETAR","SECRETARIA DE SALUD",IF(LEFT(UPPER(TRIM($AE259)),4)="SEDE","SEDE",UPPER(TRIM($AE259))))),Config!$A$6:$D$8,2,FALSE),"⚠")))))</f>
        <v/>
      </c>
      <c r="AG246" s="30">
        <f>IF($AA259="","",IF(LEFT(UPPER(TRIM($AA259)),8)="FELICITA","N/A",IF($AE259="","",IFERROR(VLOOKUP(UPPER(TRIM($AE259)),Config!$A$6:$D$8,3,FALSE),IFERROR(VLOOKUP(IF(LEFT(UPPER(TRIM($AE259)),5)="SUPER","SUPER SALUD",IF(LEFT(UPPER(TRIM($AE259)),8)="SECRETAR","SECRETARIA DE SALUD",IF(LEFT(UPPER(TRIM($AE259)),4)="SEDE","SEDE",UPPER(TRIM($AE259))))),Config!$A$6:$D$8,3,FALSE),"")))))</f>
        <v/>
      </c>
      <c r="AH246" s="39">
        <f>IF(OR($E259="",NOT(ISNUMBER($E259)),$AF259="",$AF259="N/A",NOT(ISNUMBER($AF259))),"",IF($AG259="Hábiles",WORKDAY(INT($E259),$AF259,Config!$F$6:$F$39),INT($E259)+$AF259))</f>
        <v/>
      </c>
      <c r="AI246" s="30">
        <f>IF($E259="","",IF(LEFT(UPPER(TRIM($AA259)),8)="FELICITA","⭐ Felicitación",IF(NOT(ISNUMBER($E259)),"⚠ Revisar fecha",IF(UPPER(TRIM($AK259))="RESPONDIDA - CERRADA","✅ Cerrada",IF($AE259="","⚠ Falta entidad",IF($AH259="","⚠ Revisar término",IF(TODAY()&gt;$AH259,"🔴 Vencida",IF($AH259-TODAY()&lt;=Config!$B$12,"🟡 Próxima a vencer","🟢 En término"))))))))</f>
        <v/>
      </c>
      <c r="AJ246" s="42">
        <f>IF(OR($E259="",NOT(ISNUMBER($E259))),"",IF(ISNUMBER($AS259),MAX(0,INT($AS259)-INT($E259)),MAX(0,TODAY()-INT($E259))))</f>
        <v/>
      </c>
      <c r="AK246" s="30" t="n"/>
      <c r="AL246" s="30" t="n"/>
      <c r="AM246" s="30" t="n"/>
      <c r="AN246" s="39" t="n"/>
      <c r="AO246" s="30" t="n"/>
      <c r="AP246" s="30" t="n"/>
      <c r="AQ246" s="39" t="n"/>
      <c r="AR246" s="30" t="n"/>
      <c r="AS246" s="39" t="n"/>
      <c r="AT246" s="30">
        <f>IF(OR($AS259="",NOT(ISNUMBER($AS259)),$AH259=""),"",IF(INT($AS259)&lt;=$AH259,"A tiempo","Fuera de término"))</f>
        <v/>
      </c>
      <c r="AU246" s="40" t="n"/>
      <c r="AV246" s="40" t="n"/>
      <c r="AW246" s="40" t="n"/>
      <c r="AX246" s="40" t="n"/>
      <c r="AY246" s="30" t="n"/>
      <c r="AZ246" s="30" t="n"/>
      <c r="BA246" s="30" t="n"/>
    </row>
    <row r="247" ht="15.75" customHeight="1" s="57">
      <c r="A247" s="29" t="n"/>
      <c r="B247" s="30" t="n"/>
      <c r="C247" s="39" t="n"/>
      <c r="D247" s="39" t="n"/>
      <c r="E247" s="39" t="n"/>
      <c r="F247" s="40" t="n"/>
      <c r="G247" s="30" t="n"/>
      <c r="H247" s="30" t="n"/>
      <c r="I247" s="30" t="n"/>
      <c r="J247" s="30" t="n"/>
      <c r="K247" s="30" t="n"/>
      <c r="L247" s="30" t="n"/>
      <c r="M247" s="30" t="n"/>
      <c r="N247" s="30" t="n"/>
      <c r="O247" s="30" t="n"/>
      <c r="P247" s="30" t="n"/>
      <c r="Q247" s="30" t="n"/>
      <c r="R247" s="30" t="n"/>
      <c r="S247" s="30" t="n"/>
      <c r="T247" s="30" t="n"/>
      <c r="U247" s="30" t="n"/>
      <c r="V247" s="30" t="n"/>
      <c r="W247" s="30" t="n"/>
      <c r="X247" s="30" t="n"/>
      <c r="Y247" s="30" t="n"/>
      <c r="Z247" s="30" t="n"/>
      <c r="AA247" s="30" t="n"/>
      <c r="AB247" s="30" t="n"/>
      <c r="AC247" s="30" t="n"/>
      <c r="AD247" s="41" t="n"/>
      <c r="AE247" s="30" t="n"/>
      <c r="AF247" s="42">
        <f>IF($AA260="","",IF(LEFT(UPPER(TRIM($AA260)),8)="FELICITA","N/A",IF($AE260="","",IFERROR(VLOOKUP(UPPER(TRIM($AE260)),Config!$A$6:$D$8,2,FALSE),IFERROR(VLOOKUP(IF(LEFT(UPPER(TRIM($AE260)),5)="SUPER","SUPER SALUD",IF(LEFT(UPPER(TRIM($AE260)),8)="SECRETAR","SECRETARIA DE SALUD",IF(LEFT(UPPER(TRIM($AE260)),4)="SEDE","SEDE",UPPER(TRIM($AE260))))),Config!$A$6:$D$8,2,FALSE),"⚠")))))</f>
        <v/>
      </c>
      <c r="AG247" s="30">
        <f>IF($AA260="","",IF(LEFT(UPPER(TRIM($AA260)),8)="FELICITA","N/A",IF($AE260="","",IFERROR(VLOOKUP(UPPER(TRIM($AE260)),Config!$A$6:$D$8,3,FALSE),IFERROR(VLOOKUP(IF(LEFT(UPPER(TRIM($AE260)),5)="SUPER","SUPER SALUD",IF(LEFT(UPPER(TRIM($AE260)),8)="SECRETAR","SECRETARIA DE SALUD",IF(LEFT(UPPER(TRIM($AE260)),4)="SEDE","SEDE",UPPER(TRIM($AE260))))),Config!$A$6:$D$8,3,FALSE),"")))))</f>
        <v/>
      </c>
      <c r="AH247" s="39">
        <f>IF(OR($E260="",NOT(ISNUMBER($E260)),$AF260="",$AF260="N/A",NOT(ISNUMBER($AF260))),"",IF($AG260="Hábiles",WORKDAY(INT($E260),$AF260,Config!$F$6:$F$39),INT($E260)+$AF260))</f>
        <v/>
      </c>
      <c r="AI247" s="30">
        <f>IF($E260="","",IF(LEFT(UPPER(TRIM($AA260)),8)="FELICITA","⭐ Felicitación",IF(NOT(ISNUMBER($E260)),"⚠ Revisar fecha",IF(UPPER(TRIM($AK260))="RESPONDIDA - CERRADA","✅ Cerrada",IF($AE260="","⚠ Falta entidad",IF($AH260="","⚠ Revisar término",IF(TODAY()&gt;$AH260,"🔴 Vencida",IF($AH260-TODAY()&lt;=Config!$B$12,"🟡 Próxima a vencer","🟢 En término"))))))))</f>
        <v/>
      </c>
      <c r="AJ247" s="42">
        <f>IF(OR($E260="",NOT(ISNUMBER($E260))),"",IF(ISNUMBER($AS260),MAX(0,INT($AS260)-INT($E260)),MAX(0,TODAY()-INT($E260))))</f>
        <v/>
      </c>
      <c r="AK247" s="30" t="n"/>
      <c r="AL247" s="30" t="n"/>
      <c r="AM247" s="30" t="n"/>
      <c r="AN247" s="39" t="n"/>
      <c r="AO247" s="30" t="n"/>
      <c r="AP247" s="30" t="n"/>
      <c r="AQ247" s="39" t="n"/>
      <c r="AR247" s="30" t="n"/>
      <c r="AS247" s="39" t="n"/>
      <c r="AT247" s="30">
        <f>IF(OR($AS260="",NOT(ISNUMBER($AS260)),$AH260=""),"",IF(INT($AS260)&lt;=$AH260,"A tiempo","Fuera de término"))</f>
        <v/>
      </c>
      <c r="AU247" s="40" t="n"/>
      <c r="AV247" s="40" t="n"/>
      <c r="AW247" s="40" t="n"/>
      <c r="AX247" s="40" t="n"/>
      <c r="AY247" s="30" t="n"/>
      <c r="AZ247" s="30" t="n"/>
      <c r="BA247" s="30" t="n"/>
    </row>
    <row r="248" ht="15.75" customHeight="1" s="57">
      <c r="A248" s="29" t="n"/>
      <c r="B248" s="30" t="n"/>
      <c r="C248" s="39" t="n"/>
      <c r="D248" s="39" t="n"/>
      <c r="E248" s="39" t="n"/>
      <c r="F248" s="40" t="n"/>
      <c r="G248" s="30" t="n"/>
      <c r="H248" s="30" t="n"/>
      <c r="I248" s="30" t="n"/>
      <c r="J248" s="30" t="n"/>
      <c r="K248" s="30" t="n"/>
      <c r="L248" s="30" t="n"/>
      <c r="M248" s="30" t="n"/>
      <c r="N248" s="30" t="n"/>
      <c r="O248" s="30" t="n"/>
      <c r="P248" s="30" t="n"/>
      <c r="Q248" s="30" t="n"/>
      <c r="R248" s="30" t="n"/>
      <c r="S248" s="30" t="n"/>
      <c r="T248" s="30" t="n"/>
      <c r="U248" s="30" t="n"/>
      <c r="V248" s="30" t="n"/>
      <c r="W248" s="30" t="n"/>
      <c r="X248" s="30" t="n"/>
      <c r="Y248" s="30" t="n"/>
      <c r="Z248" s="30" t="n"/>
      <c r="AA248" s="30" t="n"/>
      <c r="AB248" s="30" t="n"/>
      <c r="AC248" s="30" t="n"/>
      <c r="AD248" s="41" t="n"/>
      <c r="AE248" s="30" t="n"/>
      <c r="AF248" s="42">
        <f>IF($AA261="","",IF(LEFT(UPPER(TRIM($AA261)),8)="FELICITA","N/A",IF($AE261="","",IFERROR(VLOOKUP(UPPER(TRIM($AE261)),Config!$A$6:$D$8,2,FALSE),IFERROR(VLOOKUP(IF(LEFT(UPPER(TRIM($AE261)),5)="SUPER","SUPER SALUD",IF(LEFT(UPPER(TRIM($AE261)),8)="SECRETAR","SECRETARIA DE SALUD",IF(LEFT(UPPER(TRIM($AE261)),4)="SEDE","SEDE",UPPER(TRIM($AE261))))),Config!$A$6:$D$8,2,FALSE),"⚠")))))</f>
        <v/>
      </c>
      <c r="AG248" s="30">
        <f>IF($AA261="","",IF(LEFT(UPPER(TRIM($AA261)),8)="FELICITA","N/A",IF($AE261="","",IFERROR(VLOOKUP(UPPER(TRIM($AE261)),Config!$A$6:$D$8,3,FALSE),IFERROR(VLOOKUP(IF(LEFT(UPPER(TRIM($AE261)),5)="SUPER","SUPER SALUD",IF(LEFT(UPPER(TRIM($AE261)),8)="SECRETAR","SECRETARIA DE SALUD",IF(LEFT(UPPER(TRIM($AE261)),4)="SEDE","SEDE",UPPER(TRIM($AE261))))),Config!$A$6:$D$8,3,FALSE),"")))))</f>
        <v/>
      </c>
      <c r="AH248" s="39">
        <f>IF(OR($E261="",NOT(ISNUMBER($E261)),$AF261="",$AF261="N/A",NOT(ISNUMBER($AF261))),"",IF($AG261="Hábiles",WORKDAY(INT($E261),$AF261,Config!$F$6:$F$39),INT($E261)+$AF261))</f>
        <v/>
      </c>
      <c r="AI248" s="30">
        <f>IF($E261="","",IF(LEFT(UPPER(TRIM($AA261)),8)="FELICITA","⭐ Felicitación",IF(NOT(ISNUMBER($E261)),"⚠ Revisar fecha",IF(UPPER(TRIM($AK261))="RESPONDIDA - CERRADA","✅ Cerrada",IF($AE261="","⚠ Falta entidad",IF($AH261="","⚠ Revisar término",IF(TODAY()&gt;$AH261,"🔴 Vencida",IF($AH261-TODAY()&lt;=Config!$B$12,"🟡 Próxima a vencer","🟢 En término"))))))))</f>
        <v/>
      </c>
      <c r="AJ248" s="42">
        <f>IF(OR($E261="",NOT(ISNUMBER($E261))),"",IF(ISNUMBER($AS261),MAX(0,INT($AS261)-INT($E261)),MAX(0,TODAY()-INT($E261))))</f>
        <v/>
      </c>
      <c r="AK248" s="30" t="n"/>
      <c r="AL248" s="30" t="n"/>
      <c r="AM248" s="30" t="n"/>
      <c r="AN248" s="39" t="n"/>
      <c r="AO248" s="30" t="n"/>
      <c r="AP248" s="30" t="n"/>
      <c r="AQ248" s="39" t="n"/>
      <c r="AR248" s="30" t="n"/>
      <c r="AS248" s="39" t="n"/>
      <c r="AT248" s="30">
        <f>IF(OR($AS261="",NOT(ISNUMBER($AS261)),$AH261=""),"",IF(INT($AS261)&lt;=$AH261,"A tiempo","Fuera de término"))</f>
        <v/>
      </c>
      <c r="AU248" s="40" t="n"/>
      <c r="AV248" s="40" t="n"/>
      <c r="AW248" s="40" t="n"/>
      <c r="AX248" s="40" t="n"/>
      <c r="AY248" s="30" t="n"/>
      <c r="AZ248" s="30" t="n"/>
      <c r="BA248" s="30" t="n"/>
    </row>
    <row r="249" ht="15.75" customHeight="1" s="57">
      <c r="A249" s="29" t="n"/>
      <c r="B249" s="30" t="n"/>
      <c r="C249" s="39" t="n"/>
      <c r="D249" s="39" t="n"/>
      <c r="E249" s="39" t="n"/>
      <c r="F249" s="40" t="n"/>
      <c r="G249" s="30" t="n"/>
      <c r="H249" s="30" t="n"/>
      <c r="I249" s="30" t="n"/>
      <c r="J249" s="30" t="n"/>
      <c r="K249" s="30" t="n"/>
      <c r="L249" s="30" t="n"/>
      <c r="M249" s="30" t="n"/>
      <c r="N249" s="30" t="n"/>
      <c r="O249" s="30" t="n"/>
      <c r="P249" s="30" t="n"/>
      <c r="Q249" s="30" t="n"/>
      <c r="R249" s="30" t="n"/>
      <c r="S249" s="30" t="n"/>
      <c r="T249" s="30" t="n"/>
      <c r="U249" s="30" t="n"/>
      <c r="V249" s="30" t="n"/>
      <c r="W249" s="30" t="n"/>
      <c r="X249" s="30" t="n"/>
      <c r="Y249" s="30" t="n"/>
      <c r="Z249" s="30" t="n"/>
      <c r="AA249" s="30" t="n"/>
      <c r="AB249" s="30" t="n"/>
      <c r="AC249" s="30" t="n"/>
      <c r="AD249" s="41" t="n"/>
      <c r="AE249" s="30" t="n"/>
      <c r="AF249" s="42">
        <f>IF($AA262="","",IF(LEFT(UPPER(TRIM($AA262)),8)="FELICITA","N/A",IF($AE262="","",IFERROR(VLOOKUP(UPPER(TRIM($AE262)),Config!$A$6:$D$8,2,FALSE),IFERROR(VLOOKUP(IF(LEFT(UPPER(TRIM($AE262)),5)="SUPER","SUPER SALUD",IF(LEFT(UPPER(TRIM($AE262)),8)="SECRETAR","SECRETARIA DE SALUD",IF(LEFT(UPPER(TRIM($AE262)),4)="SEDE","SEDE",UPPER(TRIM($AE262))))),Config!$A$6:$D$8,2,FALSE),"⚠")))))</f>
        <v/>
      </c>
      <c r="AG249" s="30">
        <f>IF($AA262="","",IF(LEFT(UPPER(TRIM($AA262)),8)="FELICITA","N/A",IF($AE262="","",IFERROR(VLOOKUP(UPPER(TRIM($AE262)),Config!$A$6:$D$8,3,FALSE),IFERROR(VLOOKUP(IF(LEFT(UPPER(TRIM($AE262)),5)="SUPER","SUPER SALUD",IF(LEFT(UPPER(TRIM($AE262)),8)="SECRETAR","SECRETARIA DE SALUD",IF(LEFT(UPPER(TRIM($AE262)),4)="SEDE","SEDE",UPPER(TRIM($AE262))))),Config!$A$6:$D$8,3,FALSE),"")))))</f>
        <v/>
      </c>
      <c r="AH249" s="39">
        <f>IF(OR($E262="",NOT(ISNUMBER($E262)),$AF262="",$AF262="N/A",NOT(ISNUMBER($AF262))),"",IF($AG262="Hábiles",WORKDAY(INT($E262),$AF262,Config!$F$6:$F$39),INT($E262)+$AF262))</f>
        <v/>
      </c>
      <c r="AI249" s="30">
        <f>IF($E262="","",IF(LEFT(UPPER(TRIM($AA262)),8)="FELICITA","⭐ Felicitación",IF(NOT(ISNUMBER($E262)),"⚠ Revisar fecha",IF(UPPER(TRIM($AK262))="RESPONDIDA - CERRADA","✅ Cerrada",IF($AE262="","⚠ Falta entidad",IF($AH262="","⚠ Revisar término",IF(TODAY()&gt;$AH262,"🔴 Vencida",IF($AH262-TODAY()&lt;=Config!$B$12,"🟡 Próxima a vencer","🟢 En término"))))))))</f>
        <v/>
      </c>
      <c r="AJ249" s="42">
        <f>IF(OR($E262="",NOT(ISNUMBER($E262))),"",IF(ISNUMBER($AS262),MAX(0,INT($AS262)-INT($E262)),MAX(0,TODAY()-INT($E262))))</f>
        <v/>
      </c>
      <c r="AK249" s="30" t="n"/>
      <c r="AL249" s="30" t="n"/>
      <c r="AM249" s="30" t="n"/>
      <c r="AN249" s="39" t="n"/>
      <c r="AO249" s="30" t="n"/>
      <c r="AP249" s="30" t="n"/>
      <c r="AQ249" s="39" t="n"/>
      <c r="AR249" s="30" t="n"/>
      <c r="AS249" s="39" t="n"/>
      <c r="AT249" s="30">
        <f>IF(OR($AS262="",NOT(ISNUMBER($AS262)),$AH262=""),"",IF(INT($AS262)&lt;=$AH262,"A tiempo","Fuera de término"))</f>
        <v/>
      </c>
      <c r="AU249" s="40" t="n"/>
      <c r="AV249" s="40" t="n"/>
      <c r="AW249" s="40" t="n"/>
      <c r="AX249" s="40" t="n"/>
      <c r="AY249" s="30" t="n"/>
      <c r="AZ249" s="30" t="n"/>
      <c r="BA249" s="30" t="n"/>
    </row>
    <row r="250" ht="15.75" customHeight="1" s="57">
      <c r="A250" s="29" t="n"/>
      <c r="B250" s="30" t="n"/>
      <c r="C250" s="39" t="n"/>
      <c r="D250" s="39" t="n"/>
      <c r="E250" s="39" t="n"/>
      <c r="F250" s="40" t="n"/>
      <c r="G250" s="30" t="n"/>
      <c r="H250" s="30" t="n"/>
      <c r="I250" s="30" t="n"/>
      <c r="J250" s="30" t="n"/>
      <c r="K250" s="30" t="n"/>
      <c r="L250" s="30" t="n"/>
      <c r="M250" s="30" t="n"/>
      <c r="N250" s="30" t="n"/>
      <c r="O250" s="30" t="n"/>
      <c r="P250" s="30" t="n"/>
      <c r="Q250" s="30" t="n"/>
      <c r="R250" s="30" t="n"/>
      <c r="S250" s="30" t="n"/>
      <c r="T250" s="30" t="n"/>
      <c r="U250" s="30" t="n"/>
      <c r="V250" s="30" t="n"/>
      <c r="W250" s="30" t="n"/>
      <c r="X250" s="30" t="n"/>
      <c r="Y250" s="30" t="n"/>
      <c r="Z250" s="30" t="n"/>
      <c r="AA250" s="30" t="n"/>
      <c r="AB250" s="30" t="n"/>
      <c r="AC250" s="30" t="n"/>
      <c r="AD250" s="41" t="n"/>
      <c r="AE250" s="30" t="n"/>
      <c r="AF250" s="42">
        <f>IF($AA263="","",IF(LEFT(UPPER(TRIM($AA263)),8)="FELICITA","N/A",IF($AE263="","",IFERROR(VLOOKUP(UPPER(TRIM($AE263)),Config!$A$6:$D$8,2,FALSE),IFERROR(VLOOKUP(IF(LEFT(UPPER(TRIM($AE263)),5)="SUPER","SUPER SALUD",IF(LEFT(UPPER(TRIM($AE263)),8)="SECRETAR","SECRETARIA DE SALUD",IF(LEFT(UPPER(TRIM($AE263)),4)="SEDE","SEDE",UPPER(TRIM($AE263))))),Config!$A$6:$D$8,2,FALSE),"⚠")))))</f>
        <v/>
      </c>
      <c r="AG250" s="30">
        <f>IF($AA263="","",IF(LEFT(UPPER(TRIM($AA263)),8)="FELICITA","N/A",IF($AE263="","",IFERROR(VLOOKUP(UPPER(TRIM($AE263)),Config!$A$6:$D$8,3,FALSE),IFERROR(VLOOKUP(IF(LEFT(UPPER(TRIM($AE263)),5)="SUPER","SUPER SALUD",IF(LEFT(UPPER(TRIM($AE263)),8)="SECRETAR","SECRETARIA DE SALUD",IF(LEFT(UPPER(TRIM($AE263)),4)="SEDE","SEDE",UPPER(TRIM($AE263))))),Config!$A$6:$D$8,3,FALSE),"")))))</f>
        <v/>
      </c>
      <c r="AH250" s="39">
        <f>IF(OR($E263="",NOT(ISNUMBER($E263)),$AF263="",$AF263="N/A",NOT(ISNUMBER($AF263))),"",IF($AG263="Hábiles",WORKDAY(INT($E263),$AF263,Config!$F$6:$F$39),INT($E263)+$AF263))</f>
        <v/>
      </c>
      <c r="AI250" s="30">
        <f>IF($E263="","",IF(LEFT(UPPER(TRIM($AA263)),8)="FELICITA","⭐ Felicitación",IF(NOT(ISNUMBER($E263)),"⚠ Revisar fecha",IF(UPPER(TRIM($AK263))="RESPONDIDA - CERRADA","✅ Cerrada",IF($AE263="","⚠ Falta entidad",IF($AH263="","⚠ Revisar término",IF(TODAY()&gt;$AH263,"🔴 Vencida",IF($AH263-TODAY()&lt;=Config!$B$12,"🟡 Próxima a vencer","🟢 En término"))))))))</f>
        <v/>
      </c>
      <c r="AJ250" s="42">
        <f>IF(OR($E263="",NOT(ISNUMBER($E263))),"",IF(ISNUMBER($AS263),MAX(0,INT($AS263)-INT($E263)),MAX(0,TODAY()-INT($E263))))</f>
        <v/>
      </c>
      <c r="AK250" s="30" t="n"/>
      <c r="AL250" s="30" t="n"/>
      <c r="AM250" s="30" t="n"/>
      <c r="AN250" s="39" t="n"/>
      <c r="AO250" s="30" t="n"/>
      <c r="AP250" s="30" t="n"/>
      <c r="AQ250" s="39" t="n"/>
      <c r="AR250" s="30" t="n"/>
      <c r="AS250" s="39" t="n"/>
      <c r="AT250" s="30">
        <f>IF(OR($AS263="",NOT(ISNUMBER($AS263)),$AH263=""),"",IF(INT($AS263)&lt;=$AH263,"A tiempo","Fuera de término"))</f>
        <v/>
      </c>
      <c r="AU250" s="40" t="n"/>
      <c r="AV250" s="40" t="n"/>
      <c r="AW250" s="40" t="n"/>
      <c r="AX250" s="40" t="n"/>
      <c r="AY250" s="30" t="n"/>
      <c r="AZ250" s="30" t="n"/>
      <c r="BA250" s="30" t="n"/>
    </row>
    <row r="251" ht="15.75" customHeight="1" s="57">
      <c r="A251" s="29" t="n"/>
      <c r="B251" s="30" t="n"/>
      <c r="C251" s="39" t="n"/>
      <c r="D251" s="39" t="n"/>
      <c r="E251" s="39" t="n"/>
      <c r="F251" s="40" t="n"/>
      <c r="G251" s="30" t="n"/>
      <c r="H251" s="30" t="n"/>
      <c r="I251" s="30" t="n"/>
      <c r="J251" s="30" t="n"/>
      <c r="K251" s="30" t="n"/>
      <c r="L251" s="30" t="n"/>
      <c r="M251" s="30" t="n"/>
      <c r="N251" s="30" t="n"/>
      <c r="O251" s="30" t="n"/>
      <c r="P251" s="30" t="n"/>
      <c r="Q251" s="30" t="n"/>
      <c r="R251" s="30" t="n"/>
      <c r="S251" s="30" t="n"/>
      <c r="T251" s="30" t="n"/>
      <c r="U251" s="30" t="n"/>
      <c r="V251" s="30" t="n"/>
      <c r="W251" s="30" t="n"/>
      <c r="X251" s="30" t="n"/>
      <c r="Y251" s="30" t="n"/>
      <c r="Z251" s="30" t="n"/>
      <c r="AA251" s="30" t="n"/>
      <c r="AB251" s="30" t="n"/>
      <c r="AC251" s="30" t="n"/>
      <c r="AD251" s="41" t="n"/>
      <c r="AE251" s="30" t="n"/>
      <c r="AF251" s="42">
        <f>IF($AA264="","",IF(LEFT(UPPER(TRIM($AA264)),8)="FELICITA","N/A",IF($AE264="","",IFERROR(VLOOKUP(UPPER(TRIM($AE264)),Config!$A$6:$D$8,2,FALSE),IFERROR(VLOOKUP(IF(LEFT(UPPER(TRIM($AE264)),5)="SUPER","SUPER SALUD",IF(LEFT(UPPER(TRIM($AE264)),8)="SECRETAR","SECRETARIA DE SALUD",IF(LEFT(UPPER(TRIM($AE264)),4)="SEDE","SEDE",UPPER(TRIM($AE264))))),Config!$A$6:$D$8,2,FALSE),"⚠")))))</f>
        <v/>
      </c>
      <c r="AG251" s="30">
        <f>IF($AA264="","",IF(LEFT(UPPER(TRIM($AA264)),8)="FELICITA","N/A",IF($AE264="","",IFERROR(VLOOKUP(UPPER(TRIM($AE264)),Config!$A$6:$D$8,3,FALSE),IFERROR(VLOOKUP(IF(LEFT(UPPER(TRIM($AE264)),5)="SUPER","SUPER SALUD",IF(LEFT(UPPER(TRIM($AE264)),8)="SECRETAR","SECRETARIA DE SALUD",IF(LEFT(UPPER(TRIM($AE264)),4)="SEDE","SEDE",UPPER(TRIM($AE264))))),Config!$A$6:$D$8,3,FALSE),"")))))</f>
        <v/>
      </c>
      <c r="AH251" s="39">
        <f>IF(OR($E264="",NOT(ISNUMBER($E264)),$AF264="",$AF264="N/A",NOT(ISNUMBER($AF264))),"",IF($AG264="Hábiles",WORKDAY(INT($E264),$AF264,Config!$F$6:$F$39),INT($E264)+$AF264))</f>
        <v/>
      </c>
      <c r="AI251" s="30">
        <f>IF($E264="","",IF(LEFT(UPPER(TRIM($AA264)),8)="FELICITA","⭐ Felicitación",IF(NOT(ISNUMBER($E264)),"⚠ Revisar fecha",IF(UPPER(TRIM($AK264))="RESPONDIDA - CERRADA","✅ Cerrada",IF($AE264="","⚠ Falta entidad",IF($AH264="","⚠ Revisar término",IF(TODAY()&gt;$AH264,"🔴 Vencida",IF($AH264-TODAY()&lt;=Config!$B$12,"🟡 Próxima a vencer","🟢 En término"))))))))</f>
        <v/>
      </c>
      <c r="AJ251" s="42">
        <f>IF(OR($E264="",NOT(ISNUMBER($E264))),"",IF(ISNUMBER($AS264),MAX(0,INT($AS264)-INT($E264)),MAX(0,TODAY()-INT($E264))))</f>
        <v/>
      </c>
      <c r="AK251" s="30" t="n"/>
      <c r="AL251" s="30" t="n"/>
      <c r="AM251" s="30" t="n"/>
      <c r="AN251" s="39" t="n"/>
      <c r="AO251" s="30" t="n"/>
      <c r="AP251" s="30" t="n"/>
      <c r="AQ251" s="39" t="n"/>
      <c r="AR251" s="30" t="n"/>
      <c r="AS251" s="39" t="n"/>
      <c r="AT251" s="30">
        <f>IF(OR($AS264="",NOT(ISNUMBER($AS264)),$AH264=""),"",IF(INT($AS264)&lt;=$AH264,"A tiempo","Fuera de término"))</f>
        <v/>
      </c>
      <c r="AU251" s="40" t="n"/>
      <c r="AV251" s="40" t="n"/>
      <c r="AW251" s="40" t="n"/>
      <c r="AX251" s="40" t="n"/>
      <c r="AY251" s="30" t="n"/>
      <c r="AZ251" s="30" t="n"/>
      <c r="BA251" s="30" t="n"/>
    </row>
    <row r="252" ht="15.75" customHeight="1" s="57">
      <c r="A252" s="29" t="n"/>
      <c r="B252" s="30" t="n"/>
      <c r="C252" s="39" t="n"/>
      <c r="D252" s="39" t="n"/>
      <c r="E252" s="39" t="n"/>
      <c r="F252" s="40" t="n"/>
      <c r="G252" s="30" t="n"/>
      <c r="H252" s="30" t="n"/>
      <c r="I252" s="30" t="n"/>
      <c r="J252" s="30" t="n"/>
      <c r="K252" s="30" t="n"/>
      <c r="L252" s="30" t="n"/>
      <c r="M252" s="30" t="n"/>
      <c r="N252" s="30" t="n"/>
      <c r="O252" s="30" t="n"/>
      <c r="P252" s="30" t="n"/>
      <c r="Q252" s="30" t="n"/>
      <c r="R252" s="30" t="n"/>
      <c r="S252" s="30" t="n"/>
      <c r="T252" s="30" t="n"/>
      <c r="U252" s="30" t="n"/>
      <c r="V252" s="30" t="n"/>
      <c r="W252" s="30" t="n"/>
      <c r="X252" s="30" t="n"/>
      <c r="Y252" s="30" t="n"/>
      <c r="Z252" s="30" t="n"/>
      <c r="AA252" s="30" t="n"/>
      <c r="AB252" s="30" t="n"/>
      <c r="AC252" s="30" t="n"/>
      <c r="AD252" s="41" t="n"/>
      <c r="AE252" s="30" t="n"/>
      <c r="AF252" s="42">
        <f>IF($AA265="","",IF(LEFT(UPPER(TRIM($AA265)),8)="FELICITA","N/A",IF($AE265="","",IFERROR(VLOOKUP(UPPER(TRIM($AE265)),Config!$A$6:$D$8,2,FALSE),IFERROR(VLOOKUP(IF(LEFT(UPPER(TRIM($AE265)),5)="SUPER","SUPER SALUD",IF(LEFT(UPPER(TRIM($AE265)),8)="SECRETAR","SECRETARIA DE SALUD",IF(LEFT(UPPER(TRIM($AE265)),4)="SEDE","SEDE",UPPER(TRIM($AE265))))),Config!$A$6:$D$8,2,FALSE),"⚠")))))</f>
        <v/>
      </c>
      <c r="AG252" s="30">
        <f>IF($AA265="","",IF(LEFT(UPPER(TRIM($AA265)),8)="FELICITA","N/A",IF($AE265="","",IFERROR(VLOOKUP(UPPER(TRIM($AE265)),Config!$A$6:$D$8,3,FALSE),IFERROR(VLOOKUP(IF(LEFT(UPPER(TRIM($AE265)),5)="SUPER","SUPER SALUD",IF(LEFT(UPPER(TRIM($AE265)),8)="SECRETAR","SECRETARIA DE SALUD",IF(LEFT(UPPER(TRIM($AE265)),4)="SEDE","SEDE",UPPER(TRIM($AE265))))),Config!$A$6:$D$8,3,FALSE),"")))))</f>
        <v/>
      </c>
      <c r="AH252" s="39">
        <f>IF(OR($E265="",NOT(ISNUMBER($E265)),$AF265="",$AF265="N/A",NOT(ISNUMBER($AF265))),"",IF($AG265="Hábiles",WORKDAY(INT($E265),$AF265,Config!$F$6:$F$39),INT($E265)+$AF265))</f>
        <v/>
      </c>
      <c r="AI252" s="30">
        <f>IF($E265="","",IF(LEFT(UPPER(TRIM($AA265)),8)="FELICITA","⭐ Felicitación",IF(NOT(ISNUMBER($E265)),"⚠ Revisar fecha",IF(UPPER(TRIM($AK265))="RESPONDIDA - CERRADA","✅ Cerrada",IF($AE265="","⚠ Falta entidad",IF($AH265="","⚠ Revisar término",IF(TODAY()&gt;$AH265,"🔴 Vencida",IF($AH265-TODAY()&lt;=Config!$B$12,"🟡 Próxima a vencer","🟢 En término"))))))))</f>
        <v/>
      </c>
      <c r="AJ252" s="42">
        <f>IF(OR($E265="",NOT(ISNUMBER($E265))),"",IF(ISNUMBER($AS265),MAX(0,INT($AS265)-INT($E265)),MAX(0,TODAY()-INT($E265))))</f>
        <v/>
      </c>
      <c r="AK252" s="30" t="n"/>
      <c r="AL252" s="30" t="n"/>
      <c r="AM252" s="30" t="n"/>
      <c r="AN252" s="39" t="n"/>
      <c r="AO252" s="30" t="n"/>
      <c r="AP252" s="30" t="n"/>
      <c r="AQ252" s="39" t="n"/>
      <c r="AR252" s="30" t="n"/>
      <c r="AS252" s="39" t="n"/>
      <c r="AT252" s="30">
        <f>IF(OR($AS265="",NOT(ISNUMBER($AS265)),$AH265=""),"",IF(INT($AS265)&lt;=$AH265,"A tiempo","Fuera de término"))</f>
        <v/>
      </c>
      <c r="AU252" s="40" t="n"/>
      <c r="AV252" s="40" t="n"/>
      <c r="AW252" s="40" t="n"/>
      <c r="AX252" s="40" t="n"/>
      <c r="AY252" s="30" t="n"/>
      <c r="AZ252" s="30" t="n"/>
      <c r="BA252" s="30" t="n"/>
    </row>
    <row r="253" ht="15.75" customHeight="1" s="57">
      <c r="A253" s="29" t="n"/>
      <c r="B253" s="30" t="n"/>
      <c r="C253" s="39" t="n"/>
      <c r="D253" s="39" t="n"/>
      <c r="E253" s="39" t="n"/>
      <c r="F253" s="40" t="n"/>
      <c r="G253" s="30" t="n"/>
      <c r="H253" s="30" t="n"/>
      <c r="I253" s="30" t="n"/>
      <c r="J253" s="30" t="n"/>
      <c r="K253" s="30" t="n"/>
      <c r="L253" s="30" t="n"/>
      <c r="M253" s="30" t="n"/>
      <c r="N253" s="30" t="n"/>
      <c r="O253" s="30" t="n"/>
      <c r="P253" s="30" t="n"/>
      <c r="Q253" s="30" t="n"/>
      <c r="R253" s="30" t="n"/>
      <c r="S253" s="30" t="n"/>
      <c r="T253" s="30" t="n"/>
      <c r="U253" s="30" t="n"/>
      <c r="V253" s="30" t="n"/>
      <c r="W253" s="30" t="n"/>
      <c r="X253" s="30" t="n"/>
      <c r="Y253" s="30" t="n"/>
      <c r="Z253" s="30" t="n"/>
      <c r="AA253" s="30" t="n"/>
      <c r="AB253" s="30" t="n"/>
      <c r="AC253" s="30" t="n"/>
      <c r="AD253" s="41" t="n"/>
      <c r="AE253" s="30" t="n"/>
      <c r="AF253" s="42">
        <f>IF($AA266="","",IF(LEFT(UPPER(TRIM($AA266)),8)="FELICITA","N/A",IF($AE266="","",IFERROR(VLOOKUP(UPPER(TRIM($AE266)),Config!$A$6:$D$8,2,FALSE),IFERROR(VLOOKUP(IF(LEFT(UPPER(TRIM($AE266)),5)="SUPER","SUPER SALUD",IF(LEFT(UPPER(TRIM($AE266)),8)="SECRETAR","SECRETARIA DE SALUD",IF(LEFT(UPPER(TRIM($AE266)),4)="SEDE","SEDE",UPPER(TRIM($AE266))))),Config!$A$6:$D$8,2,FALSE),"⚠")))))</f>
        <v/>
      </c>
      <c r="AG253" s="30">
        <f>IF($AA266="","",IF(LEFT(UPPER(TRIM($AA266)),8)="FELICITA","N/A",IF($AE266="","",IFERROR(VLOOKUP(UPPER(TRIM($AE266)),Config!$A$6:$D$8,3,FALSE),IFERROR(VLOOKUP(IF(LEFT(UPPER(TRIM($AE266)),5)="SUPER","SUPER SALUD",IF(LEFT(UPPER(TRIM($AE266)),8)="SECRETAR","SECRETARIA DE SALUD",IF(LEFT(UPPER(TRIM($AE266)),4)="SEDE","SEDE",UPPER(TRIM($AE266))))),Config!$A$6:$D$8,3,FALSE),"")))))</f>
        <v/>
      </c>
      <c r="AH253" s="39">
        <f>IF(OR($E266="",NOT(ISNUMBER($E266)),$AF266="",$AF266="N/A",NOT(ISNUMBER($AF266))),"",IF($AG266="Hábiles",WORKDAY(INT($E266),$AF266,Config!$F$6:$F$39),INT($E266)+$AF266))</f>
        <v/>
      </c>
      <c r="AI253" s="30">
        <f>IF($E266="","",IF(LEFT(UPPER(TRIM($AA266)),8)="FELICITA","⭐ Felicitación",IF(NOT(ISNUMBER($E266)),"⚠ Revisar fecha",IF(UPPER(TRIM($AK266))="RESPONDIDA - CERRADA","✅ Cerrada",IF($AE266="","⚠ Falta entidad",IF($AH266="","⚠ Revisar término",IF(TODAY()&gt;$AH266,"🔴 Vencida",IF($AH266-TODAY()&lt;=Config!$B$12,"🟡 Próxima a vencer","🟢 En término"))))))))</f>
        <v/>
      </c>
      <c r="AJ253" s="42">
        <f>IF(OR($E266="",NOT(ISNUMBER($E266))),"",IF(ISNUMBER($AS266),MAX(0,INT($AS266)-INT($E266)),MAX(0,TODAY()-INT($E266))))</f>
        <v/>
      </c>
      <c r="AK253" s="30" t="n"/>
      <c r="AL253" s="30" t="n"/>
      <c r="AM253" s="30" t="n"/>
      <c r="AN253" s="39" t="n"/>
      <c r="AO253" s="30" t="n"/>
      <c r="AP253" s="30" t="n"/>
      <c r="AQ253" s="39" t="n"/>
      <c r="AR253" s="30" t="n"/>
      <c r="AS253" s="39" t="n"/>
      <c r="AT253" s="30">
        <f>IF(OR($AS266="",NOT(ISNUMBER($AS266)),$AH266=""),"",IF(INT($AS266)&lt;=$AH266,"A tiempo","Fuera de término"))</f>
        <v/>
      </c>
      <c r="AU253" s="40" t="n"/>
      <c r="AV253" s="40" t="n"/>
      <c r="AW253" s="40" t="n"/>
      <c r="AX253" s="40" t="n"/>
      <c r="AY253" s="30" t="n"/>
      <c r="AZ253" s="30" t="n"/>
      <c r="BA253" s="30" t="n"/>
    </row>
    <row r="254" ht="15.75" customHeight="1" s="57">
      <c r="A254" s="29" t="n"/>
      <c r="B254" s="30" t="n"/>
      <c r="C254" s="39" t="n"/>
      <c r="D254" s="39" t="n"/>
      <c r="E254" s="39" t="n"/>
      <c r="F254" s="40" t="n"/>
      <c r="G254" s="30" t="n"/>
      <c r="H254" s="30" t="n"/>
      <c r="I254" s="30" t="n"/>
      <c r="J254" s="30" t="n"/>
      <c r="K254" s="30" t="n"/>
      <c r="L254" s="30" t="n"/>
      <c r="M254" s="30" t="n"/>
      <c r="N254" s="30" t="n"/>
      <c r="O254" s="30" t="n"/>
      <c r="P254" s="30" t="n"/>
      <c r="Q254" s="30" t="n"/>
      <c r="R254" s="30" t="n"/>
      <c r="S254" s="30" t="n"/>
      <c r="T254" s="30" t="n"/>
      <c r="U254" s="30" t="n"/>
      <c r="V254" s="30" t="n"/>
      <c r="W254" s="30" t="n"/>
      <c r="X254" s="30" t="n"/>
      <c r="Y254" s="30" t="n"/>
      <c r="Z254" s="30" t="n"/>
      <c r="AA254" s="30" t="n"/>
      <c r="AB254" s="30" t="n"/>
      <c r="AC254" s="30" t="n"/>
      <c r="AD254" s="41" t="n"/>
      <c r="AE254" s="30" t="n"/>
      <c r="AF254" s="42">
        <f>IF($AA267="","",IF(LEFT(UPPER(TRIM($AA267)),8)="FELICITA","N/A",IF($AE267="","",IFERROR(VLOOKUP(UPPER(TRIM($AE267)),Config!$A$6:$D$8,2,FALSE),IFERROR(VLOOKUP(IF(LEFT(UPPER(TRIM($AE267)),5)="SUPER","SUPER SALUD",IF(LEFT(UPPER(TRIM($AE267)),8)="SECRETAR","SECRETARIA DE SALUD",IF(LEFT(UPPER(TRIM($AE267)),4)="SEDE","SEDE",UPPER(TRIM($AE267))))),Config!$A$6:$D$8,2,FALSE),"⚠")))))</f>
        <v/>
      </c>
      <c r="AG254" s="30">
        <f>IF($AA267="","",IF(LEFT(UPPER(TRIM($AA267)),8)="FELICITA","N/A",IF($AE267="","",IFERROR(VLOOKUP(UPPER(TRIM($AE267)),Config!$A$6:$D$8,3,FALSE),IFERROR(VLOOKUP(IF(LEFT(UPPER(TRIM($AE267)),5)="SUPER","SUPER SALUD",IF(LEFT(UPPER(TRIM($AE267)),8)="SECRETAR","SECRETARIA DE SALUD",IF(LEFT(UPPER(TRIM($AE267)),4)="SEDE","SEDE",UPPER(TRIM($AE267))))),Config!$A$6:$D$8,3,FALSE),"")))))</f>
        <v/>
      </c>
      <c r="AH254" s="39">
        <f>IF(OR($E267="",NOT(ISNUMBER($E267)),$AF267="",$AF267="N/A",NOT(ISNUMBER($AF267))),"",IF($AG267="Hábiles",WORKDAY(INT($E267),$AF267,Config!$F$6:$F$39),INT($E267)+$AF267))</f>
        <v/>
      </c>
      <c r="AI254" s="30">
        <f>IF($E267="","",IF(LEFT(UPPER(TRIM($AA267)),8)="FELICITA","⭐ Felicitación",IF(NOT(ISNUMBER($E267)),"⚠ Revisar fecha",IF(UPPER(TRIM($AK267))="RESPONDIDA - CERRADA","✅ Cerrada",IF($AE267="","⚠ Falta entidad",IF($AH267="","⚠ Revisar término",IF(TODAY()&gt;$AH267,"🔴 Vencida",IF($AH267-TODAY()&lt;=Config!$B$12,"🟡 Próxima a vencer","🟢 En término"))))))))</f>
        <v/>
      </c>
      <c r="AJ254" s="42">
        <f>IF(OR($E267="",NOT(ISNUMBER($E267))),"",IF(ISNUMBER($AS267),MAX(0,INT($AS267)-INT($E267)),MAX(0,TODAY()-INT($E267))))</f>
        <v/>
      </c>
      <c r="AK254" s="30" t="n"/>
      <c r="AL254" s="30" t="n"/>
      <c r="AM254" s="30" t="n"/>
      <c r="AN254" s="39" t="n"/>
      <c r="AO254" s="30" t="n"/>
      <c r="AP254" s="30" t="n"/>
      <c r="AQ254" s="39" t="n"/>
      <c r="AR254" s="30" t="n"/>
      <c r="AS254" s="39" t="n"/>
      <c r="AT254" s="30">
        <f>IF(OR($AS267="",NOT(ISNUMBER($AS267)),$AH267=""),"",IF(INT($AS267)&lt;=$AH267,"A tiempo","Fuera de término"))</f>
        <v/>
      </c>
      <c r="AU254" s="40" t="n"/>
      <c r="AV254" s="40" t="n"/>
      <c r="AW254" s="40" t="n"/>
      <c r="AX254" s="40" t="n"/>
      <c r="AY254" s="30" t="n"/>
      <c r="AZ254" s="30" t="n"/>
      <c r="BA254" s="30" t="n"/>
    </row>
    <row r="255" ht="15.75" customHeight="1" s="57">
      <c r="A255" s="29" t="n"/>
      <c r="B255" s="30" t="n"/>
      <c r="C255" s="39" t="n"/>
      <c r="D255" s="39" t="n"/>
      <c r="E255" s="39" t="n"/>
      <c r="F255" s="40" t="n"/>
      <c r="G255" s="30" t="n"/>
      <c r="H255" s="30" t="n"/>
      <c r="I255" s="30" t="n"/>
      <c r="J255" s="30" t="n"/>
      <c r="K255" s="30" t="n"/>
      <c r="L255" s="30" t="n"/>
      <c r="M255" s="30" t="n"/>
      <c r="N255" s="30" t="n"/>
      <c r="O255" s="30" t="n"/>
      <c r="P255" s="30" t="n"/>
      <c r="Q255" s="30" t="n"/>
      <c r="R255" s="30" t="n"/>
      <c r="S255" s="30" t="n"/>
      <c r="T255" s="30" t="n"/>
      <c r="U255" s="30" t="n"/>
      <c r="V255" s="30" t="n"/>
      <c r="W255" s="30" t="n"/>
      <c r="X255" s="30" t="n"/>
      <c r="Y255" s="30" t="n"/>
      <c r="Z255" s="30" t="n"/>
      <c r="AA255" s="30" t="n"/>
      <c r="AB255" s="30" t="n"/>
      <c r="AC255" s="30" t="n"/>
      <c r="AD255" s="41" t="n"/>
      <c r="AE255" s="30" t="n"/>
      <c r="AF255" s="42">
        <f>IF($AA268="","",IF(LEFT(UPPER(TRIM($AA268)),8)="FELICITA","N/A",IF($AE268="","",IFERROR(VLOOKUP(UPPER(TRIM($AE268)),Config!$A$6:$D$8,2,FALSE),IFERROR(VLOOKUP(IF(LEFT(UPPER(TRIM($AE268)),5)="SUPER","SUPER SALUD",IF(LEFT(UPPER(TRIM($AE268)),8)="SECRETAR","SECRETARIA DE SALUD",IF(LEFT(UPPER(TRIM($AE268)),4)="SEDE","SEDE",UPPER(TRIM($AE268))))),Config!$A$6:$D$8,2,FALSE),"⚠")))))</f>
        <v/>
      </c>
      <c r="AG255" s="30">
        <f>IF($AA268="","",IF(LEFT(UPPER(TRIM($AA268)),8)="FELICITA","N/A",IF($AE268="","",IFERROR(VLOOKUP(UPPER(TRIM($AE268)),Config!$A$6:$D$8,3,FALSE),IFERROR(VLOOKUP(IF(LEFT(UPPER(TRIM($AE268)),5)="SUPER","SUPER SALUD",IF(LEFT(UPPER(TRIM($AE268)),8)="SECRETAR","SECRETARIA DE SALUD",IF(LEFT(UPPER(TRIM($AE268)),4)="SEDE","SEDE",UPPER(TRIM($AE268))))),Config!$A$6:$D$8,3,FALSE),"")))))</f>
        <v/>
      </c>
      <c r="AH255" s="39">
        <f>IF(OR($E268="",NOT(ISNUMBER($E268)),$AF268="",$AF268="N/A",NOT(ISNUMBER($AF268))),"",IF($AG268="Hábiles",WORKDAY(INT($E268),$AF268,Config!$F$6:$F$39),INT($E268)+$AF268))</f>
        <v/>
      </c>
      <c r="AI255" s="30">
        <f>IF($E268="","",IF(LEFT(UPPER(TRIM($AA268)),8)="FELICITA","⭐ Felicitación",IF(NOT(ISNUMBER($E268)),"⚠ Revisar fecha",IF(UPPER(TRIM($AK268))="RESPONDIDA - CERRADA","✅ Cerrada",IF($AE268="","⚠ Falta entidad",IF($AH268="","⚠ Revisar término",IF(TODAY()&gt;$AH268,"🔴 Vencida",IF($AH268-TODAY()&lt;=Config!$B$12,"🟡 Próxima a vencer","🟢 En término"))))))))</f>
        <v/>
      </c>
      <c r="AJ255" s="42">
        <f>IF(OR($E268="",NOT(ISNUMBER($E268))),"",IF(ISNUMBER($AS268),MAX(0,INT($AS268)-INT($E268)),MAX(0,TODAY()-INT($E268))))</f>
        <v/>
      </c>
      <c r="AK255" s="30" t="n"/>
      <c r="AL255" s="30" t="n"/>
      <c r="AM255" s="30" t="n"/>
      <c r="AN255" s="39" t="n"/>
      <c r="AO255" s="30" t="n"/>
      <c r="AP255" s="30" t="n"/>
      <c r="AQ255" s="39" t="n"/>
      <c r="AR255" s="30" t="n"/>
      <c r="AS255" s="39" t="n"/>
      <c r="AT255" s="30">
        <f>IF(OR($AS268="",NOT(ISNUMBER($AS268)),$AH268=""),"",IF(INT($AS268)&lt;=$AH268,"A tiempo","Fuera de término"))</f>
        <v/>
      </c>
      <c r="AU255" s="40" t="n"/>
      <c r="AV255" s="40" t="n"/>
      <c r="AW255" s="40" t="n"/>
      <c r="AX255" s="40" t="n"/>
      <c r="AY255" s="30" t="n"/>
      <c r="AZ255" s="30" t="n"/>
      <c r="BA255" s="30" t="n"/>
    </row>
    <row r="256" ht="15.75" customHeight="1" s="57">
      <c r="A256" s="29" t="n"/>
      <c r="B256" s="30" t="n"/>
      <c r="C256" s="39" t="n"/>
      <c r="D256" s="39" t="n"/>
      <c r="E256" s="39" t="n"/>
      <c r="F256" s="40" t="n"/>
      <c r="G256" s="30" t="n"/>
      <c r="H256" s="30" t="n"/>
      <c r="I256" s="30" t="n"/>
      <c r="J256" s="30" t="n"/>
      <c r="K256" s="30" t="n"/>
      <c r="L256" s="30" t="n"/>
      <c r="M256" s="30" t="n"/>
      <c r="N256" s="30" t="n"/>
      <c r="O256" s="30" t="n"/>
      <c r="P256" s="30" t="n"/>
      <c r="Q256" s="30" t="n"/>
      <c r="R256" s="30" t="n"/>
      <c r="S256" s="30" t="n"/>
      <c r="T256" s="30" t="n"/>
      <c r="U256" s="30" t="n"/>
      <c r="V256" s="30" t="n"/>
      <c r="W256" s="30" t="n"/>
      <c r="X256" s="30" t="n"/>
      <c r="Y256" s="30" t="n"/>
      <c r="Z256" s="30" t="n"/>
      <c r="AA256" s="30" t="n"/>
      <c r="AB256" s="30" t="n"/>
      <c r="AC256" s="30" t="n"/>
      <c r="AD256" s="41" t="n"/>
      <c r="AE256" s="30" t="n"/>
      <c r="AF256" s="42">
        <f>IF($AA269="","",IF(LEFT(UPPER(TRIM($AA269)),8)="FELICITA","N/A",IF($AE269="","",IFERROR(VLOOKUP(UPPER(TRIM($AE269)),Config!$A$6:$D$8,2,FALSE),IFERROR(VLOOKUP(IF(LEFT(UPPER(TRIM($AE269)),5)="SUPER","SUPER SALUD",IF(LEFT(UPPER(TRIM($AE269)),8)="SECRETAR","SECRETARIA DE SALUD",IF(LEFT(UPPER(TRIM($AE269)),4)="SEDE","SEDE",UPPER(TRIM($AE269))))),Config!$A$6:$D$8,2,FALSE),"⚠")))))</f>
        <v/>
      </c>
      <c r="AG256" s="30">
        <f>IF($AA269="","",IF(LEFT(UPPER(TRIM($AA269)),8)="FELICITA","N/A",IF($AE269="","",IFERROR(VLOOKUP(UPPER(TRIM($AE269)),Config!$A$6:$D$8,3,FALSE),IFERROR(VLOOKUP(IF(LEFT(UPPER(TRIM($AE269)),5)="SUPER","SUPER SALUD",IF(LEFT(UPPER(TRIM($AE269)),8)="SECRETAR","SECRETARIA DE SALUD",IF(LEFT(UPPER(TRIM($AE269)),4)="SEDE","SEDE",UPPER(TRIM($AE269))))),Config!$A$6:$D$8,3,FALSE),"")))))</f>
        <v/>
      </c>
      <c r="AH256" s="39">
        <f>IF(OR($E269="",NOT(ISNUMBER($E269)),$AF269="",$AF269="N/A",NOT(ISNUMBER($AF269))),"",IF($AG269="Hábiles",WORKDAY(INT($E269),$AF269,Config!$F$6:$F$39),INT($E269)+$AF269))</f>
        <v/>
      </c>
      <c r="AI256" s="30">
        <f>IF($E269="","",IF(LEFT(UPPER(TRIM($AA269)),8)="FELICITA","⭐ Felicitación",IF(NOT(ISNUMBER($E269)),"⚠ Revisar fecha",IF(UPPER(TRIM($AK269))="RESPONDIDA - CERRADA","✅ Cerrada",IF($AE269="","⚠ Falta entidad",IF($AH269="","⚠ Revisar término",IF(TODAY()&gt;$AH269,"🔴 Vencida",IF($AH269-TODAY()&lt;=Config!$B$12,"🟡 Próxima a vencer","🟢 En término"))))))))</f>
        <v/>
      </c>
      <c r="AJ256" s="42">
        <f>IF(OR($E269="",NOT(ISNUMBER($E269))),"",IF(ISNUMBER($AS269),MAX(0,INT($AS269)-INT($E269)),MAX(0,TODAY()-INT($E269))))</f>
        <v/>
      </c>
      <c r="AK256" s="30" t="n"/>
      <c r="AL256" s="30" t="n"/>
      <c r="AM256" s="30" t="n"/>
      <c r="AN256" s="39" t="n"/>
      <c r="AO256" s="30" t="n"/>
      <c r="AP256" s="30" t="n"/>
      <c r="AQ256" s="39" t="n"/>
      <c r="AR256" s="30" t="n"/>
      <c r="AS256" s="39" t="n"/>
      <c r="AT256" s="30">
        <f>IF(OR($AS269="",NOT(ISNUMBER($AS269)),$AH269=""),"",IF(INT($AS269)&lt;=$AH269,"A tiempo","Fuera de término"))</f>
        <v/>
      </c>
      <c r="AU256" s="40" t="n"/>
      <c r="AV256" s="40" t="n"/>
      <c r="AW256" s="40" t="n"/>
      <c r="AX256" s="40" t="n"/>
      <c r="AY256" s="30" t="n"/>
      <c r="AZ256" s="30" t="n"/>
      <c r="BA256" s="30" t="n"/>
    </row>
    <row r="257" ht="15.75" customHeight="1" s="57">
      <c r="A257" s="29" t="n"/>
      <c r="B257" s="30" t="n"/>
      <c r="C257" s="39" t="n"/>
      <c r="D257" s="39" t="n"/>
      <c r="E257" s="39" t="n"/>
      <c r="F257" s="40" t="n"/>
      <c r="G257" s="30" t="n"/>
      <c r="H257" s="30" t="n"/>
      <c r="I257" s="30" t="n"/>
      <c r="J257" s="30" t="n"/>
      <c r="K257" s="30" t="n"/>
      <c r="L257" s="30" t="n"/>
      <c r="M257" s="30" t="n"/>
      <c r="N257" s="30" t="n"/>
      <c r="O257" s="30" t="n"/>
      <c r="P257" s="30" t="n"/>
      <c r="Q257" s="30" t="n"/>
      <c r="R257" s="30" t="n"/>
      <c r="S257" s="30" t="n"/>
      <c r="T257" s="30" t="n"/>
      <c r="U257" s="30" t="n"/>
      <c r="V257" s="30" t="n"/>
      <c r="W257" s="30" t="n"/>
      <c r="X257" s="30" t="n"/>
      <c r="Y257" s="30" t="n"/>
      <c r="Z257" s="30" t="n"/>
      <c r="AA257" s="30" t="n"/>
      <c r="AB257" s="30" t="n"/>
      <c r="AC257" s="30" t="n"/>
      <c r="AD257" s="41" t="n"/>
      <c r="AE257" s="30" t="n"/>
      <c r="AF257" s="42">
        <f>IF($AA270="","",IF(LEFT(UPPER(TRIM($AA270)),8)="FELICITA","N/A",IF($AE270="","",IFERROR(VLOOKUP(UPPER(TRIM($AE270)),Config!$A$6:$D$8,2,FALSE),IFERROR(VLOOKUP(IF(LEFT(UPPER(TRIM($AE270)),5)="SUPER","SUPER SALUD",IF(LEFT(UPPER(TRIM($AE270)),8)="SECRETAR","SECRETARIA DE SALUD",IF(LEFT(UPPER(TRIM($AE270)),4)="SEDE","SEDE",UPPER(TRIM($AE270))))),Config!$A$6:$D$8,2,FALSE),"⚠")))))</f>
        <v/>
      </c>
      <c r="AG257" s="30">
        <f>IF($AA270="","",IF(LEFT(UPPER(TRIM($AA270)),8)="FELICITA","N/A",IF($AE270="","",IFERROR(VLOOKUP(UPPER(TRIM($AE270)),Config!$A$6:$D$8,3,FALSE),IFERROR(VLOOKUP(IF(LEFT(UPPER(TRIM($AE270)),5)="SUPER","SUPER SALUD",IF(LEFT(UPPER(TRIM($AE270)),8)="SECRETAR","SECRETARIA DE SALUD",IF(LEFT(UPPER(TRIM($AE270)),4)="SEDE","SEDE",UPPER(TRIM($AE270))))),Config!$A$6:$D$8,3,FALSE),"")))))</f>
        <v/>
      </c>
      <c r="AH257" s="39">
        <f>IF(OR($E270="",NOT(ISNUMBER($E270)),$AF270="",$AF270="N/A",NOT(ISNUMBER($AF270))),"",IF($AG270="Hábiles",WORKDAY(INT($E270),$AF270,Config!$F$6:$F$39),INT($E270)+$AF270))</f>
        <v/>
      </c>
      <c r="AI257" s="30">
        <f>IF($E270="","",IF(LEFT(UPPER(TRIM($AA270)),8)="FELICITA","⭐ Felicitación",IF(NOT(ISNUMBER($E270)),"⚠ Revisar fecha",IF(UPPER(TRIM($AK270))="RESPONDIDA - CERRADA","✅ Cerrada",IF($AE270="","⚠ Falta entidad",IF($AH270="","⚠ Revisar término",IF(TODAY()&gt;$AH270,"🔴 Vencida",IF($AH270-TODAY()&lt;=Config!$B$12,"🟡 Próxima a vencer","🟢 En término"))))))))</f>
        <v/>
      </c>
      <c r="AJ257" s="42">
        <f>IF(OR($E270="",NOT(ISNUMBER($E270))),"",IF(ISNUMBER($AS270),MAX(0,INT($AS270)-INT($E270)),MAX(0,TODAY()-INT($E270))))</f>
        <v/>
      </c>
      <c r="AK257" s="30" t="n"/>
      <c r="AL257" s="30" t="n"/>
      <c r="AM257" s="30" t="n"/>
      <c r="AN257" s="39" t="n"/>
      <c r="AO257" s="30" t="n"/>
      <c r="AP257" s="30" t="n"/>
      <c r="AQ257" s="39" t="n"/>
      <c r="AR257" s="30" t="n"/>
      <c r="AS257" s="39" t="n"/>
      <c r="AT257" s="30">
        <f>IF(OR($AS270="",NOT(ISNUMBER($AS270)),$AH270=""),"",IF(INT($AS270)&lt;=$AH270,"A tiempo","Fuera de término"))</f>
        <v/>
      </c>
      <c r="AU257" s="40" t="n"/>
      <c r="AV257" s="40" t="n"/>
      <c r="AW257" s="40" t="n"/>
      <c r="AX257" s="40" t="n"/>
      <c r="AY257" s="30" t="n"/>
      <c r="AZ257" s="30" t="n"/>
      <c r="BA257" s="30" t="n"/>
    </row>
    <row r="258" ht="15.75" customHeight="1" s="57">
      <c r="A258" s="29" t="n"/>
      <c r="B258" s="30" t="n"/>
      <c r="C258" s="39" t="n"/>
      <c r="D258" s="39" t="n"/>
      <c r="E258" s="39" t="n"/>
      <c r="F258" s="40" t="n"/>
      <c r="G258" s="30" t="n"/>
      <c r="H258" s="30" t="n"/>
      <c r="I258" s="30" t="n"/>
      <c r="J258" s="30" t="n"/>
      <c r="K258" s="30" t="n"/>
      <c r="L258" s="30" t="n"/>
      <c r="M258" s="30" t="n"/>
      <c r="N258" s="30" t="n"/>
      <c r="O258" s="30" t="n"/>
      <c r="P258" s="30" t="n"/>
      <c r="Q258" s="30" t="n"/>
      <c r="R258" s="30" t="n"/>
      <c r="S258" s="30" t="n"/>
      <c r="T258" s="30" t="n"/>
      <c r="U258" s="30" t="n"/>
      <c r="V258" s="30" t="n"/>
      <c r="W258" s="30" t="n"/>
      <c r="X258" s="30" t="n"/>
      <c r="Y258" s="30" t="n"/>
      <c r="Z258" s="30" t="n"/>
      <c r="AA258" s="30" t="n"/>
      <c r="AB258" s="30" t="n"/>
      <c r="AC258" s="30" t="n"/>
      <c r="AD258" s="41" t="n"/>
      <c r="AE258" s="30" t="n"/>
      <c r="AF258" s="42">
        <f>IF($AA271="","",IF(LEFT(UPPER(TRIM($AA271)),8)="FELICITA","N/A",IF($AE271="","",IFERROR(VLOOKUP(UPPER(TRIM($AE271)),Config!$A$6:$D$8,2,FALSE),IFERROR(VLOOKUP(IF(LEFT(UPPER(TRIM($AE271)),5)="SUPER","SUPER SALUD",IF(LEFT(UPPER(TRIM($AE271)),8)="SECRETAR","SECRETARIA DE SALUD",IF(LEFT(UPPER(TRIM($AE271)),4)="SEDE","SEDE",UPPER(TRIM($AE271))))),Config!$A$6:$D$8,2,FALSE),"⚠")))))</f>
        <v/>
      </c>
      <c r="AG258" s="30">
        <f>IF($AA271="","",IF(LEFT(UPPER(TRIM($AA271)),8)="FELICITA","N/A",IF($AE271="","",IFERROR(VLOOKUP(UPPER(TRIM($AE271)),Config!$A$6:$D$8,3,FALSE),IFERROR(VLOOKUP(IF(LEFT(UPPER(TRIM($AE271)),5)="SUPER","SUPER SALUD",IF(LEFT(UPPER(TRIM($AE271)),8)="SECRETAR","SECRETARIA DE SALUD",IF(LEFT(UPPER(TRIM($AE271)),4)="SEDE","SEDE",UPPER(TRIM($AE271))))),Config!$A$6:$D$8,3,FALSE),"")))))</f>
        <v/>
      </c>
      <c r="AH258" s="39">
        <f>IF(OR($E271="",NOT(ISNUMBER($E271)),$AF271="",$AF271="N/A",NOT(ISNUMBER($AF271))),"",IF($AG271="Hábiles",WORKDAY(INT($E271),$AF271,Config!$F$6:$F$39),INT($E271)+$AF271))</f>
        <v/>
      </c>
      <c r="AI258" s="30">
        <f>IF($E271="","",IF(LEFT(UPPER(TRIM($AA271)),8)="FELICITA","⭐ Felicitación",IF(NOT(ISNUMBER($E271)),"⚠ Revisar fecha",IF(UPPER(TRIM($AK271))="RESPONDIDA - CERRADA","✅ Cerrada",IF($AE271="","⚠ Falta entidad",IF($AH271="","⚠ Revisar término",IF(TODAY()&gt;$AH271,"🔴 Vencida",IF($AH271-TODAY()&lt;=Config!$B$12,"🟡 Próxima a vencer","🟢 En término"))))))))</f>
        <v/>
      </c>
      <c r="AJ258" s="42">
        <f>IF(OR($E271="",NOT(ISNUMBER($E271))),"",IF(ISNUMBER($AS271),MAX(0,INT($AS271)-INT($E271)),MAX(0,TODAY()-INT($E271))))</f>
        <v/>
      </c>
      <c r="AK258" s="30" t="n"/>
      <c r="AL258" s="30" t="n"/>
      <c r="AM258" s="30" t="n"/>
      <c r="AN258" s="39" t="n"/>
      <c r="AO258" s="30" t="n"/>
      <c r="AP258" s="30" t="n"/>
      <c r="AQ258" s="39" t="n"/>
      <c r="AR258" s="30" t="n"/>
      <c r="AS258" s="39" t="n"/>
      <c r="AT258" s="30">
        <f>IF(OR($AS271="",NOT(ISNUMBER($AS271)),$AH271=""),"",IF(INT($AS271)&lt;=$AH271,"A tiempo","Fuera de término"))</f>
        <v/>
      </c>
      <c r="AU258" s="40" t="n"/>
      <c r="AV258" s="40" t="n"/>
      <c r="AW258" s="40" t="n"/>
      <c r="AX258" s="40" t="n"/>
      <c r="AY258" s="30" t="n"/>
      <c r="AZ258" s="30" t="n"/>
      <c r="BA258" s="30" t="n"/>
    </row>
    <row r="259" ht="15.75" customHeight="1" s="57">
      <c r="A259" s="29" t="n"/>
      <c r="B259" s="30" t="n"/>
      <c r="C259" s="39" t="n"/>
      <c r="D259" s="39" t="n"/>
      <c r="E259" s="39" t="n"/>
      <c r="F259" s="40" t="n"/>
      <c r="G259" s="30" t="n"/>
      <c r="H259" s="30" t="n"/>
      <c r="I259" s="30" t="n"/>
      <c r="J259" s="30" t="n"/>
      <c r="K259" s="30" t="n"/>
      <c r="L259" s="30" t="n"/>
      <c r="M259" s="30" t="n"/>
      <c r="N259" s="30" t="n"/>
      <c r="O259" s="30" t="n"/>
      <c r="P259" s="30" t="n"/>
      <c r="Q259" s="30" t="n"/>
      <c r="R259" s="30" t="n"/>
      <c r="S259" s="30" t="n"/>
      <c r="T259" s="30" t="n"/>
      <c r="U259" s="30" t="n"/>
      <c r="V259" s="30" t="n"/>
      <c r="W259" s="30" t="n"/>
      <c r="X259" s="30" t="n"/>
      <c r="Y259" s="30" t="n"/>
      <c r="Z259" s="30" t="n"/>
      <c r="AA259" s="30" t="n"/>
      <c r="AB259" s="30" t="n"/>
      <c r="AC259" s="30" t="n"/>
      <c r="AD259" s="41" t="n"/>
      <c r="AE259" s="30" t="n"/>
      <c r="AF259" s="42">
        <f>IF($AA272="","",IF(LEFT(UPPER(TRIM($AA272)),8)="FELICITA","N/A",IF($AE272="","",IFERROR(VLOOKUP(UPPER(TRIM($AE272)),Config!$A$6:$D$8,2,FALSE),IFERROR(VLOOKUP(IF(LEFT(UPPER(TRIM($AE272)),5)="SUPER","SUPER SALUD",IF(LEFT(UPPER(TRIM($AE272)),8)="SECRETAR","SECRETARIA DE SALUD",IF(LEFT(UPPER(TRIM($AE272)),4)="SEDE","SEDE",UPPER(TRIM($AE272))))),Config!$A$6:$D$8,2,FALSE),"⚠")))))</f>
        <v/>
      </c>
      <c r="AG259" s="30">
        <f>IF($AA272="","",IF(LEFT(UPPER(TRIM($AA272)),8)="FELICITA","N/A",IF($AE272="","",IFERROR(VLOOKUP(UPPER(TRIM($AE272)),Config!$A$6:$D$8,3,FALSE),IFERROR(VLOOKUP(IF(LEFT(UPPER(TRIM($AE272)),5)="SUPER","SUPER SALUD",IF(LEFT(UPPER(TRIM($AE272)),8)="SECRETAR","SECRETARIA DE SALUD",IF(LEFT(UPPER(TRIM($AE272)),4)="SEDE","SEDE",UPPER(TRIM($AE272))))),Config!$A$6:$D$8,3,FALSE),"")))))</f>
        <v/>
      </c>
      <c r="AH259" s="39">
        <f>IF(OR($E272="",NOT(ISNUMBER($E272)),$AF272="",$AF272="N/A",NOT(ISNUMBER($AF272))),"",IF($AG272="Hábiles",WORKDAY(INT($E272),$AF272,Config!$F$6:$F$39),INT($E272)+$AF272))</f>
        <v/>
      </c>
      <c r="AI259" s="30">
        <f>IF($E272="","",IF(LEFT(UPPER(TRIM($AA272)),8)="FELICITA","⭐ Felicitación",IF(NOT(ISNUMBER($E272)),"⚠ Revisar fecha",IF(UPPER(TRIM($AK272))="RESPONDIDA - CERRADA","✅ Cerrada",IF($AE272="","⚠ Falta entidad",IF($AH272="","⚠ Revisar término",IF(TODAY()&gt;$AH272,"🔴 Vencida",IF($AH272-TODAY()&lt;=Config!$B$12,"🟡 Próxima a vencer","🟢 En término"))))))))</f>
        <v/>
      </c>
      <c r="AJ259" s="42">
        <f>IF(OR($E272="",NOT(ISNUMBER($E272))),"",IF(ISNUMBER($AS272),MAX(0,INT($AS272)-INT($E272)),MAX(0,TODAY()-INT($E272))))</f>
        <v/>
      </c>
      <c r="AK259" s="30" t="n"/>
      <c r="AL259" s="30" t="n"/>
      <c r="AM259" s="30" t="n"/>
      <c r="AN259" s="39" t="n"/>
      <c r="AO259" s="30" t="n"/>
      <c r="AP259" s="30" t="n"/>
      <c r="AQ259" s="39" t="n"/>
      <c r="AR259" s="30" t="n"/>
      <c r="AS259" s="39" t="n"/>
      <c r="AT259" s="30">
        <f>IF(OR($AS272="",NOT(ISNUMBER($AS272)),$AH272=""),"",IF(INT($AS272)&lt;=$AH272,"A tiempo","Fuera de término"))</f>
        <v/>
      </c>
      <c r="AU259" s="40" t="n"/>
      <c r="AV259" s="40" t="n"/>
      <c r="AW259" s="40" t="n"/>
      <c r="AX259" s="40" t="n"/>
      <c r="AY259" s="30" t="n"/>
      <c r="AZ259" s="30" t="n"/>
      <c r="BA259" s="30" t="n"/>
    </row>
    <row r="260" ht="15.75" customHeight="1" s="57">
      <c r="A260" s="29" t="n"/>
      <c r="B260" s="30" t="n"/>
      <c r="C260" s="39" t="n"/>
      <c r="D260" s="39" t="n"/>
      <c r="E260" s="39" t="n"/>
      <c r="F260" s="40" t="n"/>
      <c r="G260" s="30" t="n"/>
      <c r="H260" s="30" t="n"/>
      <c r="I260" s="30" t="n"/>
      <c r="J260" s="30" t="n"/>
      <c r="K260" s="30" t="n"/>
      <c r="L260" s="30" t="n"/>
      <c r="M260" s="30" t="n"/>
      <c r="N260" s="30" t="n"/>
      <c r="O260" s="30" t="n"/>
      <c r="P260" s="30" t="n"/>
      <c r="Q260" s="30" t="n"/>
      <c r="R260" s="30" t="n"/>
      <c r="S260" s="30" t="n"/>
      <c r="T260" s="30" t="n"/>
      <c r="U260" s="30" t="n"/>
      <c r="V260" s="30" t="n"/>
      <c r="W260" s="30" t="n"/>
      <c r="X260" s="30" t="n"/>
      <c r="Y260" s="30" t="n"/>
      <c r="Z260" s="30" t="n"/>
      <c r="AA260" s="30" t="n"/>
      <c r="AB260" s="30" t="n"/>
      <c r="AC260" s="30" t="n"/>
      <c r="AD260" s="41" t="n"/>
      <c r="AE260" s="30" t="n"/>
      <c r="AF260" s="42">
        <f>IF($AA273="","",IF(LEFT(UPPER(TRIM($AA273)),8)="FELICITA","N/A",IF($AE273="","",IFERROR(VLOOKUP(UPPER(TRIM($AE273)),Config!$A$6:$D$8,2,FALSE),IFERROR(VLOOKUP(IF(LEFT(UPPER(TRIM($AE273)),5)="SUPER","SUPER SALUD",IF(LEFT(UPPER(TRIM($AE273)),8)="SECRETAR","SECRETARIA DE SALUD",IF(LEFT(UPPER(TRIM($AE273)),4)="SEDE","SEDE",UPPER(TRIM($AE273))))),Config!$A$6:$D$8,2,FALSE),"⚠")))))</f>
        <v/>
      </c>
      <c r="AG260" s="30">
        <f>IF($AA273="","",IF(LEFT(UPPER(TRIM($AA273)),8)="FELICITA","N/A",IF($AE273="","",IFERROR(VLOOKUP(UPPER(TRIM($AE273)),Config!$A$6:$D$8,3,FALSE),IFERROR(VLOOKUP(IF(LEFT(UPPER(TRIM($AE273)),5)="SUPER","SUPER SALUD",IF(LEFT(UPPER(TRIM($AE273)),8)="SECRETAR","SECRETARIA DE SALUD",IF(LEFT(UPPER(TRIM($AE273)),4)="SEDE","SEDE",UPPER(TRIM($AE273))))),Config!$A$6:$D$8,3,FALSE),"")))))</f>
        <v/>
      </c>
      <c r="AH260" s="39">
        <f>IF(OR($E273="",NOT(ISNUMBER($E273)),$AF273="",$AF273="N/A",NOT(ISNUMBER($AF273))),"",IF($AG273="Hábiles",WORKDAY(INT($E273),$AF273,Config!$F$6:$F$39),INT($E273)+$AF273))</f>
        <v/>
      </c>
      <c r="AI260" s="30">
        <f>IF($E273="","",IF(LEFT(UPPER(TRIM($AA273)),8)="FELICITA","⭐ Felicitación",IF(NOT(ISNUMBER($E273)),"⚠ Revisar fecha",IF(UPPER(TRIM($AK273))="RESPONDIDA - CERRADA","✅ Cerrada",IF($AE273="","⚠ Falta entidad",IF($AH273="","⚠ Revisar término",IF(TODAY()&gt;$AH273,"🔴 Vencida",IF($AH273-TODAY()&lt;=Config!$B$12,"🟡 Próxima a vencer","🟢 En término"))))))))</f>
        <v/>
      </c>
      <c r="AJ260" s="42">
        <f>IF(OR($E273="",NOT(ISNUMBER($E273))),"",IF(ISNUMBER($AS273),MAX(0,INT($AS273)-INT($E273)),MAX(0,TODAY()-INT($E273))))</f>
        <v/>
      </c>
      <c r="AK260" s="30" t="n"/>
      <c r="AL260" s="30" t="n"/>
      <c r="AM260" s="30" t="n"/>
      <c r="AN260" s="39" t="n"/>
      <c r="AO260" s="30" t="n"/>
      <c r="AP260" s="30" t="n"/>
      <c r="AQ260" s="39" t="n"/>
      <c r="AR260" s="30" t="n"/>
      <c r="AS260" s="39" t="n"/>
      <c r="AT260" s="30">
        <f>IF(OR($AS273="",NOT(ISNUMBER($AS273)),$AH273=""),"",IF(INT($AS273)&lt;=$AH273,"A tiempo","Fuera de término"))</f>
        <v/>
      </c>
      <c r="AU260" s="40" t="n"/>
      <c r="AV260" s="40" t="n"/>
      <c r="AW260" s="40" t="n"/>
      <c r="AX260" s="40" t="n"/>
      <c r="AY260" s="30" t="n"/>
      <c r="AZ260" s="30" t="n"/>
      <c r="BA260" s="30" t="n"/>
    </row>
    <row r="261" ht="15.75" customHeight="1" s="57">
      <c r="A261" s="29" t="n"/>
      <c r="B261" s="30" t="n"/>
      <c r="C261" s="39" t="n"/>
      <c r="D261" s="39" t="n"/>
      <c r="E261" s="39" t="n"/>
      <c r="F261" s="40" t="n"/>
      <c r="G261" s="30" t="n"/>
      <c r="H261" s="30" t="n"/>
      <c r="I261" s="30" t="n"/>
      <c r="J261" s="30" t="n"/>
      <c r="K261" s="30" t="n"/>
      <c r="L261" s="30" t="n"/>
      <c r="M261" s="30" t="n"/>
      <c r="N261" s="30" t="n"/>
      <c r="O261" s="30" t="n"/>
      <c r="P261" s="30" t="n"/>
      <c r="Q261" s="30" t="n"/>
      <c r="R261" s="30" t="n"/>
      <c r="S261" s="30" t="n"/>
      <c r="T261" s="30" t="n"/>
      <c r="U261" s="30" t="n"/>
      <c r="V261" s="30" t="n"/>
      <c r="W261" s="30" t="n"/>
      <c r="X261" s="30" t="n"/>
      <c r="Y261" s="30" t="n"/>
      <c r="Z261" s="30" t="n"/>
      <c r="AA261" s="30" t="n"/>
      <c r="AB261" s="30" t="n"/>
      <c r="AC261" s="30" t="n"/>
      <c r="AD261" s="41" t="n"/>
      <c r="AE261" s="30" t="n"/>
      <c r="AF261" s="42">
        <f>IF($AA274="","",IF(LEFT(UPPER(TRIM($AA274)),8)="FELICITA","N/A",IF($AE274="","",IFERROR(VLOOKUP(UPPER(TRIM($AE274)),Config!$A$6:$D$8,2,FALSE),IFERROR(VLOOKUP(IF(LEFT(UPPER(TRIM($AE274)),5)="SUPER","SUPER SALUD",IF(LEFT(UPPER(TRIM($AE274)),8)="SECRETAR","SECRETARIA DE SALUD",IF(LEFT(UPPER(TRIM($AE274)),4)="SEDE","SEDE",UPPER(TRIM($AE274))))),Config!$A$6:$D$8,2,FALSE),"⚠")))))</f>
        <v/>
      </c>
      <c r="AG261" s="30">
        <f>IF($AA274="","",IF(LEFT(UPPER(TRIM($AA274)),8)="FELICITA","N/A",IF($AE274="","",IFERROR(VLOOKUP(UPPER(TRIM($AE274)),Config!$A$6:$D$8,3,FALSE),IFERROR(VLOOKUP(IF(LEFT(UPPER(TRIM($AE274)),5)="SUPER","SUPER SALUD",IF(LEFT(UPPER(TRIM($AE274)),8)="SECRETAR","SECRETARIA DE SALUD",IF(LEFT(UPPER(TRIM($AE274)),4)="SEDE","SEDE",UPPER(TRIM($AE274))))),Config!$A$6:$D$8,3,FALSE),"")))))</f>
        <v/>
      </c>
      <c r="AH261" s="39">
        <f>IF(OR($E274="",NOT(ISNUMBER($E274)),$AF274="",$AF274="N/A",NOT(ISNUMBER($AF274))),"",IF($AG274="Hábiles",WORKDAY(INT($E274),$AF274,Config!$F$6:$F$39),INT($E274)+$AF274))</f>
        <v/>
      </c>
      <c r="AI261" s="30">
        <f>IF($E274="","",IF(LEFT(UPPER(TRIM($AA274)),8)="FELICITA","⭐ Felicitación",IF(NOT(ISNUMBER($E274)),"⚠ Revisar fecha",IF(UPPER(TRIM($AK274))="RESPONDIDA - CERRADA","✅ Cerrada",IF($AE274="","⚠ Falta entidad",IF($AH274="","⚠ Revisar término",IF(TODAY()&gt;$AH274,"🔴 Vencida",IF($AH274-TODAY()&lt;=Config!$B$12,"🟡 Próxima a vencer","🟢 En término"))))))))</f>
        <v/>
      </c>
      <c r="AJ261" s="42">
        <f>IF(OR($E274="",NOT(ISNUMBER($E274))),"",IF(ISNUMBER($AS274),MAX(0,INT($AS274)-INT($E274)),MAX(0,TODAY()-INT($E274))))</f>
        <v/>
      </c>
      <c r="AK261" s="30" t="n"/>
      <c r="AL261" s="30" t="n"/>
      <c r="AM261" s="30" t="n"/>
      <c r="AN261" s="39" t="n"/>
      <c r="AO261" s="30" t="n"/>
      <c r="AP261" s="30" t="n"/>
      <c r="AQ261" s="39" t="n"/>
      <c r="AR261" s="30" t="n"/>
      <c r="AS261" s="39" t="n"/>
      <c r="AT261" s="30">
        <f>IF(OR($AS274="",NOT(ISNUMBER($AS274)),$AH274=""),"",IF(INT($AS274)&lt;=$AH274,"A tiempo","Fuera de término"))</f>
        <v/>
      </c>
      <c r="AU261" s="40" t="n"/>
      <c r="AV261" s="40" t="n"/>
      <c r="AW261" s="40" t="n"/>
      <c r="AX261" s="40" t="n"/>
      <c r="AY261" s="30" t="n"/>
      <c r="AZ261" s="30" t="n"/>
      <c r="BA261" s="30" t="n"/>
    </row>
    <row r="262" ht="15.75" customHeight="1" s="57">
      <c r="A262" s="29" t="n"/>
      <c r="B262" s="30" t="n"/>
      <c r="C262" s="39" t="n"/>
      <c r="D262" s="39" t="n"/>
      <c r="E262" s="39" t="n"/>
      <c r="F262" s="40" t="n"/>
      <c r="G262" s="30" t="n"/>
      <c r="H262" s="30" t="n"/>
      <c r="I262" s="30" t="n"/>
      <c r="J262" s="30" t="n"/>
      <c r="K262" s="30" t="n"/>
      <c r="L262" s="30" t="n"/>
      <c r="M262" s="30" t="n"/>
      <c r="N262" s="30" t="n"/>
      <c r="O262" s="30" t="n"/>
      <c r="P262" s="30" t="n"/>
      <c r="Q262" s="30" t="n"/>
      <c r="R262" s="30" t="n"/>
      <c r="S262" s="30" t="n"/>
      <c r="T262" s="30" t="n"/>
      <c r="U262" s="30" t="n"/>
      <c r="V262" s="30" t="n"/>
      <c r="W262" s="30" t="n"/>
      <c r="X262" s="30" t="n"/>
      <c r="Y262" s="30" t="n"/>
      <c r="Z262" s="30" t="n"/>
      <c r="AA262" s="30" t="n"/>
      <c r="AB262" s="30" t="n"/>
      <c r="AC262" s="30" t="n"/>
      <c r="AD262" s="41" t="n"/>
      <c r="AE262" s="30" t="n"/>
      <c r="AF262" s="42">
        <f>IF($AA275="","",IF(LEFT(UPPER(TRIM($AA275)),8)="FELICITA","N/A",IF($AE275="","",IFERROR(VLOOKUP(UPPER(TRIM($AE275)),Config!$A$6:$D$8,2,FALSE),IFERROR(VLOOKUP(IF(LEFT(UPPER(TRIM($AE275)),5)="SUPER","SUPER SALUD",IF(LEFT(UPPER(TRIM($AE275)),8)="SECRETAR","SECRETARIA DE SALUD",IF(LEFT(UPPER(TRIM($AE275)),4)="SEDE","SEDE",UPPER(TRIM($AE275))))),Config!$A$6:$D$8,2,FALSE),"⚠")))))</f>
        <v/>
      </c>
      <c r="AG262" s="30">
        <f>IF($AA275="","",IF(LEFT(UPPER(TRIM($AA275)),8)="FELICITA","N/A",IF($AE275="","",IFERROR(VLOOKUP(UPPER(TRIM($AE275)),Config!$A$6:$D$8,3,FALSE),IFERROR(VLOOKUP(IF(LEFT(UPPER(TRIM($AE275)),5)="SUPER","SUPER SALUD",IF(LEFT(UPPER(TRIM($AE275)),8)="SECRETAR","SECRETARIA DE SALUD",IF(LEFT(UPPER(TRIM($AE275)),4)="SEDE","SEDE",UPPER(TRIM($AE275))))),Config!$A$6:$D$8,3,FALSE),"")))))</f>
        <v/>
      </c>
      <c r="AH262" s="39">
        <f>IF(OR($E275="",NOT(ISNUMBER($E275)),$AF275="",$AF275="N/A",NOT(ISNUMBER($AF275))),"",IF($AG275="Hábiles",WORKDAY(INT($E275),$AF275,Config!$F$6:$F$39),INT($E275)+$AF275))</f>
        <v/>
      </c>
      <c r="AI262" s="30">
        <f>IF($E275="","",IF(LEFT(UPPER(TRIM($AA275)),8)="FELICITA","⭐ Felicitación",IF(NOT(ISNUMBER($E275)),"⚠ Revisar fecha",IF(UPPER(TRIM($AK275))="RESPONDIDA - CERRADA","✅ Cerrada",IF($AE275="","⚠ Falta entidad",IF($AH275="","⚠ Revisar término",IF(TODAY()&gt;$AH275,"🔴 Vencida",IF($AH275-TODAY()&lt;=Config!$B$12,"🟡 Próxima a vencer","🟢 En término"))))))))</f>
        <v/>
      </c>
      <c r="AJ262" s="42">
        <f>IF(OR($E275="",NOT(ISNUMBER($E275))),"",IF(ISNUMBER($AS275),MAX(0,INT($AS275)-INT($E275)),MAX(0,TODAY()-INT($E275))))</f>
        <v/>
      </c>
      <c r="AK262" s="30" t="n"/>
      <c r="AL262" s="30" t="n"/>
      <c r="AM262" s="30" t="n"/>
      <c r="AN262" s="39" t="n"/>
      <c r="AO262" s="30" t="n"/>
      <c r="AP262" s="30" t="n"/>
      <c r="AQ262" s="39" t="n"/>
      <c r="AR262" s="30" t="n"/>
      <c r="AS262" s="39" t="n"/>
      <c r="AT262" s="30">
        <f>IF(OR($AS275="",NOT(ISNUMBER($AS275)),$AH275=""),"",IF(INT($AS275)&lt;=$AH275,"A tiempo","Fuera de término"))</f>
        <v/>
      </c>
      <c r="AU262" s="40" t="n"/>
      <c r="AV262" s="40" t="n"/>
      <c r="AW262" s="40" t="n"/>
      <c r="AX262" s="40" t="n"/>
      <c r="AY262" s="30" t="n"/>
      <c r="AZ262" s="30" t="n"/>
      <c r="BA262" s="30" t="n"/>
    </row>
    <row r="263" ht="15.75" customHeight="1" s="57">
      <c r="A263" s="29" t="n"/>
      <c r="B263" s="30" t="n"/>
      <c r="C263" s="39" t="n"/>
      <c r="D263" s="39" t="n"/>
      <c r="E263" s="39" t="n"/>
      <c r="F263" s="40" t="n"/>
      <c r="G263" s="30" t="n"/>
      <c r="H263" s="30" t="n"/>
      <c r="I263" s="30" t="n"/>
      <c r="J263" s="30" t="n"/>
      <c r="K263" s="30" t="n"/>
      <c r="L263" s="30" t="n"/>
      <c r="M263" s="30" t="n"/>
      <c r="N263" s="30" t="n"/>
      <c r="O263" s="30" t="n"/>
      <c r="P263" s="30" t="n"/>
      <c r="Q263" s="30" t="n"/>
      <c r="R263" s="30" t="n"/>
      <c r="S263" s="30" t="n"/>
      <c r="T263" s="30" t="n"/>
      <c r="U263" s="30" t="n"/>
      <c r="V263" s="30" t="n"/>
      <c r="W263" s="30" t="n"/>
      <c r="X263" s="30" t="n"/>
      <c r="Y263" s="30" t="n"/>
      <c r="Z263" s="30" t="n"/>
      <c r="AA263" s="30" t="n"/>
      <c r="AB263" s="30" t="n"/>
      <c r="AC263" s="30" t="n"/>
      <c r="AD263" s="41" t="n"/>
      <c r="AE263" s="30" t="n"/>
      <c r="AF263" s="42">
        <f>IF($AA276="","",IF(LEFT(UPPER(TRIM($AA276)),8)="FELICITA","N/A",IF($AE276="","",IFERROR(VLOOKUP(UPPER(TRIM($AE276)),Config!$A$6:$D$8,2,FALSE),IFERROR(VLOOKUP(IF(LEFT(UPPER(TRIM($AE276)),5)="SUPER","SUPER SALUD",IF(LEFT(UPPER(TRIM($AE276)),8)="SECRETAR","SECRETARIA DE SALUD",IF(LEFT(UPPER(TRIM($AE276)),4)="SEDE","SEDE",UPPER(TRIM($AE276))))),Config!$A$6:$D$8,2,FALSE),"⚠")))))</f>
        <v/>
      </c>
      <c r="AG263" s="30">
        <f>IF($AA276="","",IF(LEFT(UPPER(TRIM($AA276)),8)="FELICITA","N/A",IF($AE276="","",IFERROR(VLOOKUP(UPPER(TRIM($AE276)),Config!$A$6:$D$8,3,FALSE),IFERROR(VLOOKUP(IF(LEFT(UPPER(TRIM($AE276)),5)="SUPER","SUPER SALUD",IF(LEFT(UPPER(TRIM($AE276)),8)="SECRETAR","SECRETARIA DE SALUD",IF(LEFT(UPPER(TRIM($AE276)),4)="SEDE","SEDE",UPPER(TRIM($AE276))))),Config!$A$6:$D$8,3,FALSE),"")))))</f>
        <v/>
      </c>
      <c r="AH263" s="39">
        <f>IF(OR($E276="",NOT(ISNUMBER($E276)),$AF276="",$AF276="N/A",NOT(ISNUMBER($AF276))),"",IF($AG276="Hábiles",WORKDAY(INT($E276),$AF276,Config!$F$6:$F$39),INT($E276)+$AF276))</f>
        <v/>
      </c>
      <c r="AI263" s="30">
        <f>IF($E276="","",IF(LEFT(UPPER(TRIM($AA276)),8)="FELICITA","⭐ Felicitación",IF(NOT(ISNUMBER($E276)),"⚠ Revisar fecha",IF(UPPER(TRIM($AK276))="RESPONDIDA - CERRADA","✅ Cerrada",IF($AE276="","⚠ Falta entidad",IF($AH276="","⚠ Revisar término",IF(TODAY()&gt;$AH276,"🔴 Vencida",IF($AH276-TODAY()&lt;=Config!$B$12,"🟡 Próxima a vencer","🟢 En término"))))))))</f>
        <v/>
      </c>
      <c r="AJ263" s="42">
        <f>IF(OR($E276="",NOT(ISNUMBER($E276))),"",IF(ISNUMBER($AS276),MAX(0,INT($AS276)-INT($E276)),MAX(0,TODAY()-INT($E276))))</f>
        <v/>
      </c>
      <c r="AK263" s="30" t="n"/>
      <c r="AL263" s="30" t="n"/>
      <c r="AM263" s="30" t="n"/>
      <c r="AN263" s="39" t="n"/>
      <c r="AO263" s="30" t="n"/>
      <c r="AP263" s="30" t="n"/>
      <c r="AQ263" s="39" t="n"/>
      <c r="AR263" s="30" t="n"/>
      <c r="AS263" s="39" t="n"/>
      <c r="AT263" s="30">
        <f>IF(OR($AS276="",NOT(ISNUMBER($AS276)),$AH276=""),"",IF(INT($AS276)&lt;=$AH276,"A tiempo","Fuera de término"))</f>
        <v/>
      </c>
      <c r="AU263" s="40" t="n"/>
      <c r="AV263" s="40" t="n"/>
      <c r="AW263" s="40" t="n"/>
      <c r="AX263" s="40" t="n"/>
      <c r="AY263" s="30" t="n"/>
      <c r="AZ263" s="30" t="n"/>
      <c r="BA263" s="30" t="n"/>
    </row>
    <row r="264" ht="15.75" customHeight="1" s="57">
      <c r="A264" s="29" t="n"/>
      <c r="B264" s="30" t="n"/>
      <c r="C264" s="39" t="n"/>
      <c r="D264" s="39" t="n"/>
      <c r="E264" s="39" t="n"/>
      <c r="F264" s="40" t="n"/>
      <c r="G264" s="30" t="n"/>
      <c r="H264" s="30" t="n"/>
      <c r="I264" s="30" t="n"/>
      <c r="J264" s="30" t="n"/>
      <c r="K264" s="30" t="n"/>
      <c r="L264" s="30" t="n"/>
      <c r="M264" s="30" t="n"/>
      <c r="N264" s="30" t="n"/>
      <c r="O264" s="30" t="n"/>
      <c r="P264" s="30" t="n"/>
      <c r="Q264" s="30" t="n"/>
      <c r="R264" s="30" t="n"/>
      <c r="S264" s="30" t="n"/>
      <c r="T264" s="30" t="n"/>
      <c r="U264" s="30" t="n"/>
      <c r="V264" s="30" t="n"/>
      <c r="W264" s="30" t="n"/>
      <c r="X264" s="30" t="n"/>
      <c r="Y264" s="30" t="n"/>
      <c r="Z264" s="30" t="n"/>
      <c r="AA264" s="30" t="n"/>
      <c r="AB264" s="30" t="n"/>
      <c r="AC264" s="30" t="n"/>
      <c r="AD264" s="41" t="n"/>
      <c r="AE264" s="30" t="n"/>
      <c r="AF264" s="42">
        <f>IF($AA277="","",IF(LEFT(UPPER(TRIM($AA277)),8)="FELICITA","N/A",IF($AE277="","",IFERROR(VLOOKUP(UPPER(TRIM($AE277)),Config!$A$6:$D$8,2,FALSE),IFERROR(VLOOKUP(IF(LEFT(UPPER(TRIM($AE277)),5)="SUPER","SUPER SALUD",IF(LEFT(UPPER(TRIM($AE277)),8)="SECRETAR","SECRETARIA DE SALUD",IF(LEFT(UPPER(TRIM($AE277)),4)="SEDE","SEDE",UPPER(TRIM($AE277))))),Config!$A$6:$D$8,2,FALSE),"⚠")))))</f>
        <v/>
      </c>
      <c r="AG264" s="30">
        <f>IF($AA277="","",IF(LEFT(UPPER(TRIM($AA277)),8)="FELICITA","N/A",IF($AE277="","",IFERROR(VLOOKUP(UPPER(TRIM($AE277)),Config!$A$6:$D$8,3,FALSE),IFERROR(VLOOKUP(IF(LEFT(UPPER(TRIM($AE277)),5)="SUPER","SUPER SALUD",IF(LEFT(UPPER(TRIM($AE277)),8)="SECRETAR","SECRETARIA DE SALUD",IF(LEFT(UPPER(TRIM($AE277)),4)="SEDE","SEDE",UPPER(TRIM($AE277))))),Config!$A$6:$D$8,3,FALSE),"")))))</f>
        <v/>
      </c>
      <c r="AH264" s="39">
        <f>IF(OR($E277="",NOT(ISNUMBER($E277)),$AF277="",$AF277="N/A",NOT(ISNUMBER($AF277))),"",IF($AG277="Hábiles",WORKDAY(INT($E277),$AF277,Config!$F$6:$F$39),INT($E277)+$AF277))</f>
        <v/>
      </c>
      <c r="AI264" s="30">
        <f>IF($E277="","",IF(LEFT(UPPER(TRIM($AA277)),8)="FELICITA","⭐ Felicitación",IF(NOT(ISNUMBER($E277)),"⚠ Revisar fecha",IF(UPPER(TRIM($AK277))="RESPONDIDA - CERRADA","✅ Cerrada",IF($AE277="","⚠ Falta entidad",IF($AH277="","⚠ Revisar término",IF(TODAY()&gt;$AH277,"🔴 Vencida",IF($AH277-TODAY()&lt;=Config!$B$12,"🟡 Próxima a vencer","🟢 En término"))))))))</f>
        <v/>
      </c>
      <c r="AJ264" s="42">
        <f>IF(OR($E277="",NOT(ISNUMBER($E277))),"",IF(ISNUMBER($AS277),MAX(0,INT($AS277)-INT($E277)),MAX(0,TODAY()-INT($E277))))</f>
        <v/>
      </c>
      <c r="AK264" s="30" t="n"/>
      <c r="AL264" s="30" t="n"/>
      <c r="AM264" s="30" t="n"/>
      <c r="AN264" s="39" t="n"/>
      <c r="AO264" s="30" t="n"/>
      <c r="AP264" s="30" t="n"/>
      <c r="AQ264" s="39" t="n"/>
      <c r="AR264" s="30" t="n"/>
      <c r="AS264" s="39" t="n"/>
      <c r="AT264" s="30">
        <f>IF(OR($AS277="",NOT(ISNUMBER($AS277)),$AH277=""),"",IF(INT($AS277)&lt;=$AH277,"A tiempo","Fuera de término"))</f>
        <v/>
      </c>
      <c r="AU264" s="40" t="n"/>
      <c r="AV264" s="40" t="n"/>
      <c r="AW264" s="40" t="n"/>
      <c r="AX264" s="40" t="n"/>
      <c r="AY264" s="30" t="n"/>
      <c r="AZ264" s="30" t="n"/>
      <c r="BA264" s="30" t="n"/>
    </row>
    <row r="265" ht="15.75" customHeight="1" s="57">
      <c r="A265" s="29" t="n"/>
      <c r="B265" s="30" t="n"/>
      <c r="C265" s="39" t="n"/>
      <c r="D265" s="39" t="n"/>
      <c r="E265" s="39" t="n"/>
      <c r="F265" s="40" t="n"/>
      <c r="G265" s="30" t="n"/>
      <c r="H265" s="30" t="n"/>
      <c r="I265" s="30" t="n"/>
      <c r="J265" s="30" t="n"/>
      <c r="K265" s="30" t="n"/>
      <c r="L265" s="30" t="n"/>
      <c r="M265" s="30" t="n"/>
      <c r="N265" s="30" t="n"/>
      <c r="O265" s="30" t="n"/>
      <c r="P265" s="30" t="n"/>
      <c r="Q265" s="30" t="n"/>
      <c r="R265" s="30" t="n"/>
      <c r="S265" s="30" t="n"/>
      <c r="T265" s="30" t="n"/>
      <c r="U265" s="30" t="n"/>
      <c r="V265" s="30" t="n"/>
      <c r="W265" s="30" t="n"/>
      <c r="X265" s="30" t="n"/>
      <c r="Y265" s="30" t="n"/>
      <c r="Z265" s="30" t="n"/>
      <c r="AA265" s="30" t="n"/>
      <c r="AB265" s="30" t="n"/>
      <c r="AC265" s="30" t="n"/>
      <c r="AD265" s="41" t="n"/>
      <c r="AE265" s="30" t="n"/>
      <c r="AF265" s="42">
        <f>IF($AA278="","",IF(LEFT(UPPER(TRIM($AA278)),8)="FELICITA","N/A",IF($AE278="","",IFERROR(VLOOKUP(UPPER(TRIM($AE278)),Config!$A$6:$D$8,2,FALSE),IFERROR(VLOOKUP(IF(LEFT(UPPER(TRIM($AE278)),5)="SUPER","SUPER SALUD",IF(LEFT(UPPER(TRIM($AE278)),8)="SECRETAR","SECRETARIA DE SALUD",IF(LEFT(UPPER(TRIM($AE278)),4)="SEDE","SEDE",UPPER(TRIM($AE278))))),Config!$A$6:$D$8,2,FALSE),"⚠")))))</f>
        <v/>
      </c>
      <c r="AG265" s="30">
        <f>IF($AA278="","",IF(LEFT(UPPER(TRIM($AA278)),8)="FELICITA","N/A",IF($AE278="","",IFERROR(VLOOKUP(UPPER(TRIM($AE278)),Config!$A$6:$D$8,3,FALSE),IFERROR(VLOOKUP(IF(LEFT(UPPER(TRIM($AE278)),5)="SUPER","SUPER SALUD",IF(LEFT(UPPER(TRIM($AE278)),8)="SECRETAR","SECRETARIA DE SALUD",IF(LEFT(UPPER(TRIM($AE278)),4)="SEDE","SEDE",UPPER(TRIM($AE278))))),Config!$A$6:$D$8,3,FALSE),"")))))</f>
        <v/>
      </c>
      <c r="AH265" s="39">
        <f>IF(OR($E278="",NOT(ISNUMBER($E278)),$AF278="",$AF278="N/A",NOT(ISNUMBER($AF278))),"",IF($AG278="Hábiles",WORKDAY(INT($E278),$AF278,Config!$F$6:$F$39),INT($E278)+$AF278))</f>
        <v/>
      </c>
      <c r="AI265" s="30">
        <f>IF($E278="","",IF(LEFT(UPPER(TRIM($AA278)),8)="FELICITA","⭐ Felicitación",IF(NOT(ISNUMBER($E278)),"⚠ Revisar fecha",IF(UPPER(TRIM($AK278))="RESPONDIDA - CERRADA","✅ Cerrada",IF($AE278="","⚠ Falta entidad",IF($AH278="","⚠ Revisar término",IF(TODAY()&gt;$AH278,"🔴 Vencida",IF($AH278-TODAY()&lt;=Config!$B$12,"🟡 Próxima a vencer","🟢 En término"))))))))</f>
        <v/>
      </c>
      <c r="AJ265" s="42">
        <f>IF(OR($E278="",NOT(ISNUMBER($E278))),"",IF(ISNUMBER($AS278),MAX(0,INT($AS278)-INT($E278)),MAX(0,TODAY()-INT($E278))))</f>
        <v/>
      </c>
      <c r="AK265" s="30" t="n"/>
      <c r="AL265" s="30" t="n"/>
      <c r="AM265" s="30" t="n"/>
      <c r="AN265" s="39" t="n"/>
      <c r="AO265" s="30" t="n"/>
      <c r="AP265" s="30" t="n"/>
      <c r="AQ265" s="39" t="n"/>
      <c r="AR265" s="30" t="n"/>
      <c r="AS265" s="39" t="n"/>
      <c r="AT265" s="30">
        <f>IF(OR($AS278="",NOT(ISNUMBER($AS278)),$AH278=""),"",IF(INT($AS278)&lt;=$AH278,"A tiempo","Fuera de término"))</f>
        <v/>
      </c>
      <c r="AU265" s="40" t="n"/>
      <c r="AV265" s="40" t="n"/>
      <c r="AW265" s="40" t="n"/>
      <c r="AX265" s="40" t="n"/>
      <c r="AY265" s="30" t="n"/>
      <c r="AZ265" s="30" t="n"/>
      <c r="BA265" s="30" t="n"/>
    </row>
    <row r="266" ht="15.75" customHeight="1" s="57">
      <c r="A266" s="29" t="n"/>
      <c r="B266" s="30" t="n"/>
      <c r="C266" s="39" t="n"/>
      <c r="D266" s="39" t="n"/>
      <c r="E266" s="39" t="n"/>
      <c r="F266" s="40" t="n"/>
      <c r="G266" s="30" t="n"/>
      <c r="H266" s="30" t="n"/>
      <c r="I266" s="30" t="n"/>
      <c r="J266" s="30" t="n"/>
      <c r="K266" s="30" t="n"/>
      <c r="L266" s="30" t="n"/>
      <c r="M266" s="30" t="n"/>
      <c r="N266" s="30" t="n"/>
      <c r="O266" s="30" t="n"/>
      <c r="P266" s="30" t="n"/>
      <c r="Q266" s="30" t="n"/>
      <c r="R266" s="30" t="n"/>
      <c r="S266" s="30" t="n"/>
      <c r="T266" s="30" t="n"/>
      <c r="U266" s="30" t="n"/>
      <c r="V266" s="30" t="n"/>
      <c r="W266" s="30" t="n"/>
      <c r="X266" s="30" t="n"/>
      <c r="Y266" s="30" t="n"/>
      <c r="Z266" s="30" t="n"/>
      <c r="AA266" s="30" t="n"/>
      <c r="AB266" s="30" t="n"/>
      <c r="AC266" s="30" t="n"/>
      <c r="AD266" s="41" t="n"/>
      <c r="AE266" s="30" t="n"/>
      <c r="AF266" s="42">
        <f>IF($AA279="","",IF(LEFT(UPPER(TRIM($AA279)),8)="FELICITA","N/A",IF($AE279="","",IFERROR(VLOOKUP(UPPER(TRIM($AE279)),Config!$A$6:$D$8,2,FALSE),IFERROR(VLOOKUP(IF(LEFT(UPPER(TRIM($AE279)),5)="SUPER","SUPER SALUD",IF(LEFT(UPPER(TRIM($AE279)),8)="SECRETAR","SECRETARIA DE SALUD",IF(LEFT(UPPER(TRIM($AE279)),4)="SEDE","SEDE",UPPER(TRIM($AE279))))),Config!$A$6:$D$8,2,FALSE),"⚠")))))</f>
        <v/>
      </c>
      <c r="AG266" s="30">
        <f>IF($AA279="","",IF(LEFT(UPPER(TRIM($AA279)),8)="FELICITA","N/A",IF($AE279="","",IFERROR(VLOOKUP(UPPER(TRIM($AE279)),Config!$A$6:$D$8,3,FALSE),IFERROR(VLOOKUP(IF(LEFT(UPPER(TRIM($AE279)),5)="SUPER","SUPER SALUD",IF(LEFT(UPPER(TRIM($AE279)),8)="SECRETAR","SECRETARIA DE SALUD",IF(LEFT(UPPER(TRIM($AE279)),4)="SEDE","SEDE",UPPER(TRIM($AE279))))),Config!$A$6:$D$8,3,FALSE),"")))))</f>
        <v/>
      </c>
      <c r="AH266" s="39">
        <f>IF(OR($E279="",NOT(ISNUMBER($E279)),$AF279="",$AF279="N/A",NOT(ISNUMBER($AF279))),"",IF($AG279="Hábiles",WORKDAY(INT($E279),$AF279,Config!$F$6:$F$39),INT($E279)+$AF279))</f>
        <v/>
      </c>
      <c r="AI266" s="30">
        <f>IF($E279="","",IF(LEFT(UPPER(TRIM($AA279)),8)="FELICITA","⭐ Felicitación",IF(NOT(ISNUMBER($E279)),"⚠ Revisar fecha",IF(UPPER(TRIM($AK279))="RESPONDIDA - CERRADA","✅ Cerrada",IF($AE279="","⚠ Falta entidad",IF($AH279="","⚠ Revisar término",IF(TODAY()&gt;$AH279,"🔴 Vencida",IF($AH279-TODAY()&lt;=Config!$B$12,"🟡 Próxima a vencer","🟢 En término"))))))))</f>
        <v/>
      </c>
      <c r="AJ266" s="42">
        <f>IF(OR($E279="",NOT(ISNUMBER($E279))),"",IF(ISNUMBER($AS279),MAX(0,INT($AS279)-INT($E279)),MAX(0,TODAY()-INT($E279))))</f>
        <v/>
      </c>
      <c r="AK266" s="30" t="n"/>
      <c r="AL266" s="30" t="n"/>
      <c r="AM266" s="30" t="n"/>
      <c r="AN266" s="39" t="n"/>
      <c r="AO266" s="30" t="n"/>
      <c r="AP266" s="30" t="n"/>
      <c r="AQ266" s="39" t="n"/>
      <c r="AR266" s="30" t="n"/>
      <c r="AS266" s="39" t="n"/>
      <c r="AT266" s="30">
        <f>IF(OR($AS279="",NOT(ISNUMBER($AS279)),$AH279=""),"",IF(INT($AS279)&lt;=$AH279,"A tiempo","Fuera de término"))</f>
        <v/>
      </c>
      <c r="AU266" s="40" t="n"/>
      <c r="AV266" s="40" t="n"/>
      <c r="AW266" s="40" t="n"/>
      <c r="AX266" s="40" t="n"/>
      <c r="AY266" s="30" t="n"/>
      <c r="AZ266" s="30" t="n"/>
      <c r="BA266" s="30" t="n"/>
    </row>
    <row r="267" ht="15.75" customHeight="1" s="57">
      <c r="A267" s="29" t="n"/>
      <c r="B267" s="30" t="n"/>
      <c r="C267" s="39" t="n"/>
      <c r="D267" s="39" t="n"/>
      <c r="E267" s="39" t="n"/>
      <c r="F267" s="40" t="n"/>
      <c r="G267" s="30" t="n"/>
      <c r="H267" s="30" t="n"/>
      <c r="I267" s="30" t="n"/>
      <c r="J267" s="30" t="n"/>
      <c r="K267" s="30" t="n"/>
      <c r="L267" s="30" t="n"/>
      <c r="M267" s="30" t="n"/>
      <c r="N267" s="30" t="n"/>
      <c r="O267" s="30" t="n"/>
      <c r="P267" s="30" t="n"/>
      <c r="Q267" s="30" t="n"/>
      <c r="R267" s="30" t="n"/>
      <c r="S267" s="30" t="n"/>
      <c r="T267" s="30" t="n"/>
      <c r="U267" s="30" t="n"/>
      <c r="V267" s="30" t="n"/>
      <c r="W267" s="30" t="n"/>
      <c r="X267" s="30" t="n"/>
      <c r="Y267" s="30" t="n"/>
      <c r="Z267" s="30" t="n"/>
      <c r="AA267" s="30" t="n"/>
      <c r="AB267" s="30" t="n"/>
      <c r="AC267" s="30" t="n"/>
      <c r="AD267" s="41" t="n"/>
      <c r="AE267" s="30" t="n"/>
      <c r="AF267" s="42">
        <f>IF($AA280="","",IF(LEFT(UPPER(TRIM($AA280)),8)="FELICITA","N/A",IF($AE280="","",IFERROR(VLOOKUP(UPPER(TRIM($AE280)),Config!$A$6:$D$8,2,FALSE),IFERROR(VLOOKUP(IF(LEFT(UPPER(TRIM($AE280)),5)="SUPER","SUPER SALUD",IF(LEFT(UPPER(TRIM($AE280)),8)="SECRETAR","SECRETARIA DE SALUD",IF(LEFT(UPPER(TRIM($AE280)),4)="SEDE","SEDE",UPPER(TRIM($AE280))))),Config!$A$6:$D$8,2,FALSE),"⚠")))))</f>
        <v/>
      </c>
      <c r="AG267" s="30">
        <f>IF($AA280="","",IF(LEFT(UPPER(TRIM($AA280)),8)="FELICITA","N/A",IF($AE280="","",IFERROR(VLOOKUP(UPPER(TRIM($AE280)),Config!$A$6:$D$8,3,FALSE),IFERROR(VLOOKUP(IF(LEFT(UPPER(TRIM($AE280)),5)="SUPER","SUPER SALUD",IF(LEFT(UPPER(TRIM($AE280)),8)="SECRETAR","SECRETARIA DE SALUD",IF(LEFT(UPPER(TRIM($AE280)),4)="SEDE","SEDE",UPPER(TRIM($AE280))))),Config!$A$6:$D$8,3,FALSE),"")))))</f>
        <v/>
      </c>
      <c r="AH267" s="39">
        <f>IF(OR($E280="",NOT(ISNUMBER($E280)),$AF280="",$AF280="N/A",NOT(ISNUMBER($AF280))),"",IF($AG280="Hábiles",WORKDAY(INT($E280),$AF280,Config!$F$6:$F$39),INT($E280)+$AF280))</f>
        <v/>
      </c>
      <c r="AI267" s="30">
        <f>IF($E280="","",IF(LEFT(UPPER(TRIM($AA280)),8)="FELICITA","⭐ Felicitación",IF(NOT(ISNUMBER($E280)),"⚠ Revisar fecha",IF(UPPER(TRIM($AK280))="RESPONDIDA - CERRADA","✅ Cerrada",IF($AE280="","⚠ Falta entidad",IF($AH280="","⚠ Revisar término",IF(TODAY()&gt;$AH280,"🔴 Vencida",IF($AH280-TODAY()&lt;=Config!$B$12,"🟡 Próxima a vencer","🟢 En término"))))))))</f>
        <v/>
      </c>
      <c r="AJ267" s="42">
        <f>IF(OR($E280="",NOT(ISNUMBER($E280))),"",IF(ISNUMBER($AS280),MAX(0,INT($AS280)-INT($E280)),MAX(0,TODAY()-INT($E280))))</f>
        <v/>
      </c>
      <c r="AK267" s="30" t="n"/>
      <c r="AL267" s="30" t="n"/>
      <c r="AM267" s="30" t="n"/>
      <c r="AN267" s="39" t="n"/>
      <c r="AO267" s="30" t="n"/>
      <c r="AP267" s="30" t="n"/>
      <c r="AQ267" s="39" t="n"/>
      <c r="AR267" s="30" t="n"/>
      <c r="AS267" s="39" t="n"/>
      <c r="AT267" s="30">
        <f>IF(OR($AS280="",NOT(ISNUMBER($AS280)),$AH280=""),"",IF(INT($AS280)&lt;=$AH280,"A tiempo","Fuera de término"))</f>
        <v/>
      </c>
      <c r="AU267" s="40" t="n"/>
      <c r="AV267" s="40" t="n"/>
      <c r="AW267" s="40" t="n"/>
      <c r="AX267" s="40" t="n"/>
      <c r="AY267" s="30" t="n"/>
      <c r="AZ267" s="30" t="n"/>
      <c r="BA267" s="30" t="n"/>
    </row>
    <row r="268" ht="15.75" customHeight="1" s="57">
      <c r="A268" s="29" t="n"/>
      <c r="B268" s="30" t="n"/>
      <c r="C268" s="39" t="n"/>
      <c r="D268" s="39" t="n"/>
      <c r="E268" s="39" t="n"/>
      <c r="F268" s="40" t="n"/>
      <c r="G268" s="30" t="n"/>
      <c r="H268" s="30" t="n"/>
      <c r="I268" s="30" t="n"/>
      <c r="J268" s="30" t="n"/>
      <c r="K268" s="30" t="n"/>
      <c r="L268" s="30" t="n"/>
      <c r="M268" s="30" t="n"/>
      <c r="N268" s="30" t="n"/>
      <c r="O268" s="30" t="n"/>
      <c r="P268" s="30" t="n"/>
      <c r="Q268" s="30" t="n"/>
      <c r="R268" s="30" t="n"/>
      <c r="S268" s="30" t="n"/>
      <c r="T268" s="30" t="n"/>
      <c r="U268" s="30" t="n"/>
      <c r="V268" s="30" t="n"/>
      <c r="W268" s="30" t="n"/>
      <c r="X268" s="30" t="n"/>
      <c r="Y268" s="30" t="n"/>
      <c r="Z268" s="30" t="n"/>
      <c r="AA268" s="30" t="n"/>
      <c r="AB268" s="30" t="n"/>
      <c r="AC268" s="30" t="n"/>
      <c r="AD268" s="41" t="n"/>
      <c r="AE268" s="30" t="n"/>
      <c r="AF268" s="42">
        <f>IF($AA281="","",IF(LEFT(UPPER(TRIM($AA281)),8)="FELICITA","N/A",IF($AE281="","",IFERROR(VLOOKUP(UPPER(TRIM($AE281)),Config!$A$6:$D$8,2,FALSE),IFERROR(VLOOKUP(IF(LEFT(UPPER(TRIM($AE281)),5)="SUPER","SUPER SALUD",IF(LEFT(UPPER(TRIM($AE281)),8)="SECRETAR","SECRETARIA DE SALUD",IF(LEFT(UPPER(TRIM($AE281)),4)="SEDE","SEDE",UPPER(TRIM($AE281))))),Config!$A$6:$D$8,2,FALSE),"⚠")))))</f>
        <v/>
      </c>
      <c r="AG268" s="30">
        <f>IF($AA281="","",IF(LEFT(UPPER(TRIM($AA281)),8)="FELICITA","N/A",IF($AE281="","",IFERROR(VLOOKUP(UPPER(TRIM($AE281)),Config!$A$6:$D$8,3,FALSE),IFERROR(VLOOKUP(IF(LEFT(UPPER(TRIM($AE281)),5)="SUPER","SUPER SALUD",IF(LEFT(UPPER(TRIM($AE281)),8)="SECRETAR","SECRETARIA DE SALUD",IF(LEFT(UPPER(TRIM($AE281)),4)="SEDE","SEDE",UPPER(TRIM($AE281))))),Config!$A$6:$D$8,3,FALSE),"")))))</f>
        <v/>
      </c>
      <c r="AH268" s="39">
        <f>IF(OR($E281="",NOT(ISNUMBER($E281)),$AF281="",$AF281="N/A",NOT(ISNUMBER($AF281))),"",IF($AG281="Hábiles",WORKDAY(INT($E281),$AF281,Config!$F$6:$F$39),INT($E281)+$AF281))</f>
        <v/>
      </c>
      <c r="AI268" s="30">
        <f>IF($E281="","",IF(LEFT(UPPER(TRIM($AA281)),8)="FELICITA","⭐ Felicitación",IF(NOT(ISNUMBER($E281)),"⚠ Revisar fecha",IF(UPPER(TRIM($AK281))="RESPONDIDA - CERRADA","✅ Cerrada",IF($AE281="","⚠ Falta entidad",IF($AH281="","⚠ Revisar término",IF(TODAY()&gt;$AH281,"🔴 Vencida",IF($AH281-TODAY()&lt;=Config!$B$12,"🟡 Próxima a vencer","🟢 En término"))))))))</f>
        <v/>
      </c>
      <c r="AJ268" s="42">
        <f>IF(OR($E281="",NOT(ISNUMBER($E281))),"",IF(ISNUMBER($AS281),MAX(0,INT($AS281)-INT($E281)),MAX(0,TODAY()-INT($E281))))</f>
        <v/>
      </c>
      <c r="AK268" s="30" t="n"/>
      <c r="AL268" s="30" t="n"/>
      <c r="AM268" s="30" t="n"/>
      <c r="AN268" s="39" t="n"/>
      <c r="AO268" s="30" t="n"/>
      <c r="AP268" s="30" t="n"/>
      <c r="AQ268" s="39" t="n"/>
      <c r="AR268" s="30" t="n"/>
      <c r="AS268" s="39" t="n"/>
      <c r="AT268" s="30">
        <f>IF(OR($AS281="",NOT(ISNUMBER($AS281)),$AH281=""),"",IF(INT($AS281)&lt;=$AH281,"A tiempo","Fuera de término"))</f>
        <v/>
      </c>
      <c r="AU268" s="40" t="n"/>
      <c r="AV268" s="40" t="n"/>
      <c r="AW268" s="40" t="n"/>
      <c r="AX268" s="40" t="n"/>
      <c r="AY268" s="30" t="n"/>
      <c r="AZ268" s="30" t="n"/>
      <c r="BA268" s="30" t="n"/>
    </row>
    <row r="269" ht="15.75" customHeight="1" s="57">
      <c r="A269" s="29" t="n"/>
      <c r="B269" s="30" t="n"/>
      <c r="C269" s="39" t="n"/>
      <c r="D269" s="39" t="n"/>
      <c r="E269" s="39" t="n"/>
      <c r="F269" s="40" t="n"/>
      <c r="G269" s="30" t="n"/>
      <c r="H269" s="30" t="n"/>
      <c r="I269" s="30" t="n"/>
      <c r="J269" s="30" t="n"/>
      <c r="K269" s="30" t="n"/>
      <c r="L269" s="30" t="n"/>
      <c r="M269" s="30" t="n"/>
      <c r="N269" s="30" t="n"/>
      <c r="O269" s="30" t="n"/>
      <c r="P269" s="30" t="n"/>
      <c r="Q269" s="30" t="n"/>
      <c r="R269" s="30" t="n"/>
      <c r="S269" s="30" t="n"/>
      <c r="T269" s="30" t="n"/>
      <c r="U269" s="30" t="n"/>
      <c r="V269" s="30" t="n"/>
      <c r="W269" s="30" t="n"/>
      <c r="X269" s="30" t="n"/>
      <c r="Y269" s="30" t="n"/>
      <c r="Z269" s="30" t="n"/>
      <c r="AA269" s="30" t="n"/>
      <c r="AB269" s="30" t="n"/>
      <c r="AC269" s="30" t="n"/>
      <c r="AD269" s="41" t="n"/>
      <c r="AE269" s="30" t="n"/>
      <c r="AF269" s="42">
        <f>IF($AA282="","",IF(LEFT(UPPER(TRIM($AA282)),8)="FELICITA","N/A",IF($AE282="","",IFERROR(VLOOKUP(UPPER(TRIM($AE282)),Config!$A$6:$D$8,2,FALSE),IFERROR(VLOOKUP(IF(LEFT(UPPER(TRIM($AE282)),5)="SUPER","SUPER SALUD",IF(LEFT(UPPER(TRIM($AE282)),8)="SECRETAR","SECRETARIA DE SALUD",IF(LEFT(UPPER(TRIM($AE282)),4)="SEDE","SEDE",UPPER(TRIM($AE282))))),Config!$A$6:$D$8,2,FALSE),"⚠")))))</f>
        <v/>
      </c>
      <c r="AG269" s="30">
        <f>IF($AA282="","",IF(LEFT(UPPER(TRIM($AA282)),8)="FELICITA","N/A",IF($AE282="","",IFERROR(VLOOKUP(UPPER(TRIM($AE282)),Config!$A$6:$D$8,3,FALSE),IFERROR(VLOOKUP(IF(LEFT(UPPER(TRIM($AE282)),5)="SUPER","SUPER SALUD",IF(LEFT(UPPER(TRIM($AE282)),8)="SECRETAR","SECRETARIA DE SALUD",IF(LEFT(UPPER(TRIM($AE282)),4)="SEDE","SEDE",UPPER(TRIM($AE282))))),Config!$A$6:$D$8,3,FALSE),"")))))</f>
        <v/>
      </c>
      <c r="AH269" s="39">
        <f>IF(OR($E282="",NOT(ISNUMBER($E282)),$AF282="",$AF282="N/A",NOT(ISNUMBER($AF282))),"",IF($AG282="Hábiles",WORKDAY(INT($E282),$AF282,Config!$F$6:$F$39),INT($E282)+$AF282))</f>
        <v/>
      </c>
      <c r="AI269" s="30">
        <f>IF($E282="","",IF(LEFT(UPPER(TRIM($AA282)),8)="FELICITA","⭐ Felicitación",IF(NOT(ISNUMBER($E282)),"⚠ Revisar fecha",IF(UPPER(TRIM($AK282))="RESPONDIDA - CERRADA","✅ Cerrada",IF($AE282="","⚠ Falta entidad",IF($AH282="","⚠ Revisar término",IF(TODAY()&gt;$AH282,"🔴 Vencida",IF($AH282-TODAY()&lt;=Config!$B$12,"🟡 Próxima a vencer","🟢 En término"))))))))</f>
        <v/>
      </c>
      <c r="AJ269" s="42">
        <f>IF(OR($E282="",NOT(ISNUMBER($E282))),"",IF(ISNUMBER($AS282),MAX(0,INT($AS282)-INT($E282)),MAX(0,TODAY()-INT($E282))))</f>
        <v/>
      </c>
      <c r="AK269" s="30" t="n"/>
      <c r="AL269" s="30" t="n"/>
      <c r="AM269" s="30" t="n"/>
      <c r="AN269" s="39" t="n"/>
      <c r="AO269" s="30" t="n"/>
      <c r="AP269" s="30" t="n"/>
      <c r="AQ269" s="39" t="n"/>
      <c r="AR269" s="30" t="n"/>
      <c r="AS269" s="39" t="n"/>
      <c r="AT269" s="30">
        <f>IF(OR($AS282="",NOT(ISNUMBER($AS282)),$AH282=""),"",IF(INT($AS282)&lt;=$AH282,"A tiempo","Fuera de término"))</f>
        <v/>
      </c>
      <c r="AU269" s="40" t="n"/>
      <c r="AV269" s="40" t="n"/>
      <c r="AW269" s="40" t="n"/>
      <c r="AX269" s="40" t="n"/>
      <c r="AY269" s="30" t="n"/>
      <c r="AZ269" s="30" t="n"/>
      <c r="BA269" s="30" t="n"/>
    </row>
    <row r="270" ht="15.75" customHeight="1" s="57">
      <c r="A270" s="29" t="n"/>
      <c r="B270" s="30" t="n"/>
      <c r="C270" s="39" t="n"/>
      <c r="D270" s="39" t="n"/>
      <c r="E270" s="39" t="n"/>
      <c r="F270" s="40" t="n"/>
      <c r="G270" s="30" t="n"/>
      <c r="H270" s="30" t="n"/>
      <c r="I270" s="30" t="n"/>
      <c r="J270" s="30" t="n"/>
      <c r="K270" s="30" t="n"/>
      <c r="L270" s="30" t="n"/>
      <c r="M270" s="30" t="n"/>
      <c r="N270" s="30" t="n"/>
      <c r="O270" s="30" t="n"/>
      <c r="P270" s="30" t="n"/>
      <c r="Q270" s="30" t="n"/>
      <c r="R270" s="30" t="n"/>
      <c r="S270" s="30" t="n"/>
      <c r="T270" s="30" t="n"/>
      <c r="U270" s="30" t="n"/>
      <c r="V270" s="30" t="n"/>
      <c r="W270" s="30" t="n"/>
      <c r="X270" s="30" t="n"/>
      <c r="Y270" s="30" t="n"/>
      <c r="Z270" s="30" t="n"/>
      <c r="AA270" s="30" t="n"/>
      <c r="AB270" s="30" t="n"/>
      <c r="AC270" s="30" t="n"/>
      <c r="AD270" s="41" t="n"/>
      <c r="AE270" s="30" t="n"/>
      <c r="AF270" s="42">
        <f>IF($AA283="","",IF(LEFT(UPPER(TRIM($AA283)),8)="FELICITA","N/A",IF($AE283="","",IFERROR(VLOOKUP(UPPER(TRIM($AE283)),Config!$A$6:$D$8,2,FALSE),IFERROR(VLOOKUP(IF(LEFT(UPPER(TRIM($AE283)),5)="SUPER","SUPER SALUD",IF(LEFT(UPPER(TRIM($AE283)),8)="SECRETAR","SECRETARIA DE SALUD",IF(LEFT(UPPER(TRIM($AE283)),4)="SEDE","SEDE",UPPER(TRIM($AE283))))),Config!$A$6:$D$8,2,FALSE),"⚠")))))</f>
        <v/>
      </c>
      <c r="AG270" s="30">
        <f>IF($AA283="","",IF(LEFT(UPPER(TRIM($AA283)),8)="FELICITA","N/A",IF($AE283="","",IFERROR(VLOOKUP(UPPER(TRIM($AE283)),Config!$A$6:$D$8,3,FALSE),IFERROR(VLOOKUP(IF(LEFT(UPPER(TRIM($AE283)),5)="SUPER","SUPER SALUD",IF(LEFT(UPPER(TRIM($AE283)),8)="SECRETAR","SECRETARIA DE SALUD",IF(LEFT(UPPER(TRIM($AE283)),4)="SEDE","SEDE",UPPER(TRIM($AE283))))),Config!$A$6:$D$8,3,FALSE),"")))))</f>
        <v/>
      </c>
      <c r="AH270" s="39">
        <f>IF(OR($E283="",NOT(ISNUMBER($E283)),$AF283="",$AF283="N/A",NOT(ISNUMBER($AF283))),"",IF($AG283="Hábiles",WORKDAY(INT($E283),$AF283,Config!$F$6:$F$39),INT($E283)+$AF283))</f>
        <v/>
      </c>
      <c r="AI270" s="30">
        <f>IF($E283="","",IF(LEFT(UPPER(TRIM($AA283)),8)="FELICITA","⭐ Felicitación",IF(NOT(ISNUMBER($E283)),"⚠ Revisar fecha",IF(UPPER(TRIM($AK283))="RESPONDIDA - CERRADA","✅ Cerrada",IF($AE283="","⚠ Falta entidad",IF($AH283="","⚠ Revisar término",IF(TODAY()&gt;$AH283,"🔴 Vencida",IF($AH283-TODAY()&lt;=Config!$B$12,"🟡 Próxima a vencer","🟢 En término"))))))))</f>
        <v/>
      </c>
      <c r="AJ270" s="42">
        <f>IF(OR($E283="",NOT(ISNUMBER($E283))),"",IF(ISNUMBER($AS283),MAX(0,INT($AS283)-INT($E283)),MAX(0,TODAY()-INT($E283))))</f>
        <v/>
      </c>
      <c r="AK270" s="30" t="n"/>
      <c r="AL270" s="30" t="n"/>
      <c r="AM270" s="30" t="n"/>
      <c r="AN270" s="39" t="n"/>
      <c r="AO270" s="30" t="n"/>
      <c r="AP270" s="30" t="n"/>
      <c r="AQ270" s="39" t="n"/>
      <c r="AR270" s="30" t="n"/>
      <c r="AS270" s="39" t="n"/>
      <c r="AT270" s="30">
        <f>IF(OR($AS283="",NOT(ISNUMBER($AS283)),$AH283=""),"",IF(INT($AS283)&lt;=$AH283,"A tiempo","Fuera de término"))</f>
        <v/>
      </c>
      <c r="AU270" s="40" t="n"/>
      <c r="AV270" s="40" t="n"/>
      <c r="AW270" s="40" t="n"/>
      <c r="AX270" s="40" t="n"/>
      <c r="AY270" s="30" t="n"/>
      <c r="AZ270" s="30" t="n"/>
      <c r="BA270" s="30" t="n"/>
    </row>
    <row r="271" ht="15.75" customHeight="1" s="57">
      <c r="A271" s="29" t="n"/>
      <c r="B271" s="30" t="n"/>
      <c r="C271" s="39" t="n"/>
      <c r="D271" s="39" t="n"/>
      <c r="E271" s="39" t="n"/>
      <c r="F271" s="40" t="n"/>
      <c r="G271" s="30" t="n"/>
      <c r="H271" s="30" t="n"/>
      <c r="I271" s="30" t="n"/>
      <c r="J271" s="30" t="n"/>
      <c r="K271" s="30" t="n"/>
      <c r="L271" s="30" t="n"/>
      <c r="M271" s="30" t="n"/>
      <c r="N271" s="30" t="n"/>
      <c r="O271" s="30" t="n"/>
      <c r="P271" s="30" t="n"/>
      <c r="Q271" s="30" t="n"/>
      <c r="R271" s="30" t="n"/>
      <c r="S271" s="30" t="n"/>
      <c r="T271" s="30" t="n"/>
      <c r="U271" s="30" t="n"/>
      <c r="V271" s="30" t="n"/>
      <c r="W271" s="30" t="n"/>
      <c r="X271" s="30" t="n"/>
      <c r="Y271" s="30" t="n"/>
      <c r="Z271" s="30" t="n"/>
      <c r="AA271" s="30" t="n"/>
      <c r="AB271" s="30" t="n"/>
      <c r="AC271" s="30" t="n"/>
      <c r="AD271" s="41" t="n"/>
      <c r="AE271" s="30" t="n"/>
      <c r="AF271" s="42">
        <f>IF($AA284="","",IF(LEFT(UPPER(TRIM($AA284)),8)="FELICITA","N/A",IF($AE284="","",IFERROR(VLOOKUP(UPPER(TRIM($AE284)),Config!$A$6:$D$8,2,FALSE),IFERROR(VLOOKUP(IF(LEFT(UPPER(TRIM($AE284)),5)="SUPER","SUPER SALUD",IF(LEFT(UPPER(TRIM($AE284)),8)="SECRETAR","SECRETARIA DE SALUD",IF(LEFT(UPPER(TRIM($AE284)),4)="SEDE","SEDE",UPPER(TRIM($AE284))))),Config!$A$6:$D$8,2,FALSE),"⚠")))))</f>
        <v/>
      </c>
      <c r="AG271" s="30">
        <f>IF($AA284="","",IF(LEFT(UPPER(TRIM($AA284)),8)="FELICITA","N/A",IF($AE284="","",IFERROR(VLOOKUP(UPPER(TRIM($AE284)),Config!$A$6:$D$8,3,FALSE),IFERROR(VLOOKUP(IF(LEFT(UPPER(TRIM($AE284)),5)="SUPER","SUPER SALUD",IF(LEFT(UPPER(TRIM($AE284)),8)="SECRETAR","SECRETARIA DE SALUD",IF(LEFT(UPPER(TRIM($AE284)),4)="SEDE","SEDE",UPPER(TRIM($AE284))))),Config!$A$6:$D$8,3,FALSE),"")))))</f>
        <v/>
      </c>
      <c r="AH271" s="39">
        <f>IF(OR($E284="",NOT(ISNUMBER($E284)),$AF284="",$AF284="N/A",NOT(ISNUMBER($AF284))),"",IF($AG284="Hábiles",WORKDAY(INT($E284),$AF284,Config!$F$6:$F$39),INT($E284)+$AF284))</f>
        <v/>
      </c>
      <c r="AI271" s="30">
        <f>IF($E284="","",IF(LEFT(UPPER(TRIM($AA284)),8)="FELICITA","⭐ Felicitación",IF(NOT(ISNUMBER($E284)),"⚠ Revisar fecha",IF(UPPER(TRIM($AK284))="RESPONDIDA - CERRADA","✅ Cerrada",IF($AE284="","⚠ Falta entidad",IF($AH284="","⚠ Revisar término",IF(TODAY()&gt;$AH284,"🔴 Vencida",IF($AH284-TODAY()&lt;=Config!$B$12,"🟡 Próxima a vencer","🟢 En término"))))))))</f>
        <v/>
      </c>
      <c r="AJ271" s="42">
        <f>IF(OR($E284="",NOT(ISNUMBER($E284))),"",IF(ISNUMBER($AS284),MAX(0,INT($AS284)-INT($E284)),MAX(0,TODAY()-INT($E284))))</f>
        <v/>
      </c>
      <c r="AK271" s="30" t="n"/>
      <c r="AL271" s="30" t="n"/>
      <c r="AM271" s="30" t="n"/>
      <c r="AN271" s="39" t="n"/>
      <c r="AO271" s="30" t="n"/>
      <c r="AP271" s="30" t="n"/>
      <c r="AQ271" s="39" t="n"/>
      <c r="AR271" s="30" t="n"/>
      <c r="AS271" s="39" t="n"/>
      <c r="AT271" s="30">
        <f>IF(OR($AS284="",NOT(ISNUMBER($AS284)),$AH284=""),"",IF(INT($AS284)&lt;=$AH284,"A tiempo","Fuera de término"))</f>
        <v/>
      </c>
      <c r="AU271" s="40" t="n"/>
      <c r="AV271" s="40" t="n"/>
      <c r="AW271" s="40" t="n"/>
      <c r="AX271" s="40" t="n"/>
      <c r="AY271" s="30" t="n"/>
      <c r="AZ271" s="30" t="n"/>
      <c r="BA271" s="30" t="n"/>
    </row>
    <row r="272" ht="15.75" customHeight="1" s="57">
      <c r="A272" s="29" t="n"/>
      <c r="B272" s="30" t="n"/>
      <c r="C272" s="39" t="n"/>
      <c r="D272" s="39" t="n"/>
      <c r="E272" s="39" t="n"/>
      <c r="F272" s="40" t="n"/>
      <c r="G272" s="30" t="n"/>
      <c r="H272" s="30" t="n"/>
      <c r="I272" s="30" t="n"/>
      <c r="J272" s="30" t="n"/>
      <c r="K272" s="30" t="n"/>
      <c r="L272" s="30" t="n"/>
      <c r="M272" s="30" t="n"/>
      <c r="N272" s="30" t="n"/>
      <c r="O272" s="30" t="n"/>
      <c r="P272" s="30" t="n"/>
      <c r="Q272" s="30" t="n"/>
      <c r="R272" s="30" t="n"/>
      <c r="S272" s="30" t="n"/>
      <c r="T272" s="30" t="n"/>
      <c r="U272" s="30" t="n"/>
      <c r="V272" s="30" t="n"/>
      <c r="W272" s="30" t="n"/>
      <c r="X272" s="30" t="n"/>
      <c r="Y272" s="30" t="n"/>
      <c r="Z272" s="30" t="n"/>
      <c r="AA272" s="30" t="n"/>
      <c r="AB272" s="30" t="n"/>
      <c r="AC272" s="30" t="n"/>
      <c r="AD272" s="41" t="n"/>
      <c r="AE272" s="30" t="n"/>
      <c r="AF272" s="42">
        <f>IF($AA285="","",IF(LEFT(UPPER(TRIM($AA285)),8)="FELICITA","N/A",IF($AE285="","",IFERROR(VLOOKUP(UPPER(TRIM($AE285)),Config!$A$6:$D$8,2,FALSE),IFERROR(VLOOKUP(IF(LEFT(UPPER(TRIM($AE285)),5)="SUPER","SUPER SALUD",IF(LEFT(UPPER(TRIM($AE285)),8)="SECRETAR","SECRETARIA DE SALUD",IF(LEFT(UPPER(TRIM($AE285)),4)="SEDE","SEDE",UPPER(TRIM($AE285))))),Config!$A$6:$D$8,2,FALSE),"⚠")))))</f>
        <v/>
      </c>
      <c r="AG272" s="30">
        <f>IF($AA285="","",IF(LEFT(UPPER(TRIM($AA285)),8)="FELICITA","N/A",IF($AE285="","",IFERROR(VLOOKUP(UPPER(TRIM($AE285)),Config!$A$6:$D$8,3,FALSE),IFERROR(VLOOKUP(IF(LEFT(UPPER(TRIM($AE285)),5)="SUPER","SUPER SALUD",IF(LEFT(UPPER(TRIM($AE285)),8)="SECRETAR","SECRETARIA DE SALUD",IF(LEFT(UPPER(TRIM($AE285)),4)="SEDE","SEDE",UPPER(TRIM($AE285))))),Config!$A$6:$D$8,3,FALSE),"")))))</f>
        <v/>
      </c>
      <c r="AH272" s="39">
        <f>IF(OR($E285="",NOT(ISNUMBER($E285)),$AF285="",$AF285="N/A",NOT(ISNUMBER($AF285))),"",IF($AG285="Hábiles",WORKDAY(INT($E285),$AF285,Config!$F$6:$F$39),INT($E285)+$AF285))</f>
        <v/>
      </c>
      <c r="AI272" s="30">
        <f>IF($E285="","",IF(LEFT(UPPER(TRIM($AA285)),8)="FELICITA","⭐ Felicitación",IF(NOT(ISNUMBER($E285)),"⚠ Revisar fecha",IF(UPPER(TRIM($AK285))="RESPONDIDA - CERRADA","✅ Cerrada",IF($AE285="","⚠ Falta entidad",IF($AH285="","⚠ Revisar término",IF(TODAY()&gt;$AH285,"🔴 Vencida",IF($AH285-TODAY()&lt;=Config!$B$12,"🟡 Próxima a vencer","🟢 En término"))))))))</f>
        <v/>
      </c>
      <c r="AJ272" s="42">
        <f>IF(OR($E285="",NOT(ISNUMBER($E285))),"",IF(ISNUMBER($AS285),MAX(0,INT($AS285)-INT($E285)),MAX(0,TODAY()-INT($E285))))</f>
        <v/>
      </c>
      <c r="AK272" s="30" t="n"/>
      <c r="AL272" s="30" t="n"/>
      <c r="AM272" s="30" t="n"/>
      <c r="AN272" s="39" t="n"/>
      <c r="AO272" s="30" t="n"/>
      <c r="AP272" s="30" t="n"/>
      <c r="AQ272" s="39" t="n"/>
      <c r="AR272" s="30" t="n"/>
      <c r="AS272" s="39" t="n"/>
      <c r="AT272" s="30">
        <f>IF(OR($AS285="",NOT(ISNUMBER($AS285)),$AH285=""),"",IF(INT($AS285)&lt;=$AH285,"A tiempo","Fuera de término"))</f>
        <v/>
      </c>
      <c r="AU272" s="40" t="n"/>
      <c r="AV272" s="40" t="n"/>
      <c r="AW272" s="40" t="n"/>
      <c r="AX272" s="40" t="n"/>
      <c r="AY272" s="30" t="n"/>
      <c r="AZ272" s="30" t="n"/>
      <c r="BA272" s="30" t="n"/>
    </row>
    <row r="273" ht="15.75" customHeight="1" s="57">
      <c r="A273" s="29" t="n"/>
      <c r="B273" s="30" t="n"/>
      <c r="C273" s="39" t="n"/>
      <c r="D273" s="39" t="n"/>
      <c r="E273" s="39" t="n"/>
      <c r="F273" s="40" t="n"/>
      <c r="G273" s="30" t="n"/>
      <c r="H273" s="30" t="n"/>
      <c r="I273" s="30" t="n"/>
      <c r="J273" s="30" t="n"/>
      <c r="K273" s="30" t="n"/>
      <c r="L273" s="30" t="n"/>
      <c r="M273" s="30" t="n"/>
      <c r="N273" s="30" t="n"/>
      <c r="O273" s="30" t="n"/>
      <c r="P273" s="30" t="n"/>
      <c r="Q273" s="30" t="n"/>
      <c r="R273" s="30" t="n"/>
      <c r="S273" s="30" t="n"/>
      <c r="T273" s="30" t="n"/>
      <c r="U273" s="30" t="n"/>
      <c r="V273" s="30" t="n"/>
      <c r="W273" s="30" t="n"/>
      <c r="X273" s="30" t="n"/>
      <c r="Y273" s="30" t="n"/>
      <c r="Z273" s="30" t="n"/>
      <c r="AA273" s="30" t="n"/>
      <c r="AB273" s="30" t="n"/>
      <c r="AC273" s="30" t="n"/>
      <c r="AD273" s="41" t="n"/>
      <c r="AE273" s="30" t="n"/>
      <c r="AF273" s="42">
        <f>IF($AA286="","",IF(LEFT(UPPER(TRIM($AA286)),8)="FELICITA","N/A",IF($AE286="","",IFERROR(VLOOKUP(UPPER(TRIM($AE286)),Config!$A$6:$D$8,2,FALSE),IFERROR(VLOOKUP(IF(LEFT(UPPER(TRIM($AE286)),5)="SUPER","SUPER SALUD",IF(LEFT(UPPER(TRIM($AE286)),8)="SECRETAR","SECRETARIA DE SALUD",IF(LEFT(UPPER(TRIM($AE286)),4)="SEDE","SEDE",UPPER(TRIM($AE286))))),Config!$A$6:$D$8,2,FALSE),"⚠")))))</f>
        <v/>
      </c>
      <c r="AG273" s="30">
        <f>IF($AA286="","",IF(LEFT(UPPER(TRIM($AA286)),8)="FELICITA","N/A",IF($AE286="","",IFERROR(VLOOKUP(UPPER(TRIM($AE286)),Config!$A$6:$D$8,3,FALSE),IFERROR(VLOOKUP(IF(LEFT(UPPER(TRIM($AE286)),5)="SUPER","SUPER SALUD",IF(LEFT(UPPER(TRIM($AE286)),8)="SECRETAR","SECRETARIA DE SALUD",IF(LEFT(UPPER(TRIM($AE286)),4)="SEDE","SEDE",UPPER(TRIM($AE286))))),Config!$A$6:$D$8,3,FALSE),"")))))</f>
        <v/>
      </c>
      <c r="AH273" s="39">
        <f>IF(OR($E286="",NOT(ISNUMBER($E286)),$AF286="",$AF286="N/A",NOT(ISNUMBER($AF286))),"",IF($AG286="Hábiles",WORKDAY(INT($E286),$AF286,Config!$F$6:$F$39),INT($E286)+$AF286))</f>
        <v/>
      </c>
      <c r="AI273" s="30">
        <f>IF($E286="","",IF(LEFT(UPPER(TRIM($AA286)),8)="FELICITA","⭐ Felicitación",IF(NOT(ISNUMBER($E286)),"⚠ Revisar fecha",IF(UPPER(TRIM($AK286))="RESPONDIDA - CERRADA","✅ Cerrada",IF($AE286="","⚠ Falta entidad",IF($AH286="","⚠ Revisar término",IF(TODAY()&gt;$AH286,"🔴 Vencida",IF($AH286-TODAY()&lt;=Config!$B$12,"🟡 Próxima a vencer","🟢 En término"))))))))</f>
        <v/>
      </c>
      <c r="AJ273" s="42">
        <f>IF(OR($E286="",NOT(ISNUMBER($E286))),"",IF(ISNUMBER($AS286),MAX(0,INT($AS286)-INT($E286)),MAX(0,TODAY()-INT($E286))))</f>
        <v/>
      </c>
      <c r="AK273" s="30" t="n"/>
      <c r="AL273" s="30" t="n"/>
      <c r="AM273" s="30" t="n"/>
      <c r="AN273" s="39" t="n"/>
      <c r="AO273" s="30" t="n"/>
      <c r="AP273" s="30" t="n"/>
      <c r="AQ273" s="39" t="n"/>
      <c r="AR273" s="30" t="n"/>
      <c r="AS273" s="39" t="n"/>
      <c r="AT273" s="30">
        <f>IF(OR($AS286="",NOT(ISNUMBER($AS286)),$AH286=""),"",IF(INT($AS286)&lt;=$AH286,"A tiempo","Fuera de término"))</f>
        <v/>
      </c>
      <c r="AU273" s="40" t="n"/>
      <c r="AV273" s="40" t="n"/>
      <c r="AW273" s="40" t="n"/>
      <c r="AX273" s="40" t="n"/>
      <c r="AY273" s="30" t="n"/>
      <c r="AZ273" s="30" t="n"/>
      <c r="BA273" s="30" t="n"/>
    </row>
    <row r="274" ht="15.75" customHeight="1" s="57">
      <c r="A274" s="29" t="n"/>
      <c r="B274" s="30" t="n"/>
      <c r="C274" s="39" t="n"/>
      <c r="D274" s="39" t="n"/>
      <c r="E274" s="39" t="n"/>
      <c r="F274" s="40" t="n"/>
      <c r="G274" s="30" t="n"/>
      <c r="H274" s="30" t="n"/>
      <c r="I274" s="30" t="n"/>
      <c r="J274" s="30" t="n"/>
      <c r="K274" s="30" t="n"/>
      <c r="L274" s="30" t="n"/>
      <c r="M274" s="30" t="n"/>
      <c r="N274" s="30" t="n"/>
      <c r="O274" s="30" t="n"/>
      <c r="P274" s="30" t="n"/>
      <c r="Q274" s="30" t="n"/>
      <c r="R274" s="30" t="n"/>
      <c r="S274" s="30" t="n"/>
      <c r="T274" s="30" t="n"/>
      <c r="U274" s="30" t="n"/>
      <c r="V274" s="30" t="n"/>
      <c r="W274" s="30" t="n"/>
      <c r="X274" s="30" t="n"/>
      <c r="Y274" s="30" t="n"/>
      <c r="Z274" s="30" t="n"/>
      <c r="AA274" s="30" t="n"/>
      <c r="AB274" s="30" t="n"/>
      <c r="AC274" s="30" t="n"/>
      <c r="AD274" s="41" t="n"/>
      <c r="AE274" s="30" t="n"/>
      <c r="AF274" s="42">
        <f>IF($AA287="","",IF(LEFT(UPPER(TRIM($AA287)),8)="FELICITA","N/A",IF($AE287="","",IFERROR(VLOOKUP(UPPER(TRIM($AE287)),Config!$A$6:$D$8,2,FALSE),IFERROR(VLOOKUP(IF(LEFT(UPPER(TRIM($AE287)),5)="SUPER","SUPER SALUD",IF(LEFT(UPPER(TRIM($AE287)),8)="SECRETAR","SECRETARIA DE SALUD",IF(LEFT(UPPER(TRIM($AE287)),4)="SEDE","SEDE",UPPER(TRIM($AE287))))),Config!$A$6:$D$8,2,FALSE),"⚠")))))</f>
        <v/>
      </c>
      <c r="AG274" s="30">
        <f>IF($AA287="","",IF(LEFT(UPPER(TRIM($AA287)),8)="FELICITA","N/A",IF($AE287="","",IFERROR(VLOOKUP(UPPER(TRIM($AE287)),Config!$A$6:$D$8,3,FALSE),IFERROR(VLOOKUP(IF(LEFT(UPPER(TRIM($AE287)),5)="SUPER","SUPER SALUD",IF(LEFT(UPPER(TRIM($AE287)),8)="SECRETAR","SECRETARIA DE SALUD",IF(LEFT(UPPER(TRIM($AE287)),4)="SEDE","SEDE",UPPER(TRIM($AE287))))),Config!$A$6:$D$8,3,FALSE),"")))))</f>
        <v/>
      </c>
      <c r="AH274" s="39">
        <f>IF(OR($E287="",NOT(ISNUMBER($E287)),$AF287="",$AF287="N/A",NOT(ISNUMBER($AF287))),"",IF($AG287="Hábiles",WORKDAY(INT($E287),$AF287,Config!$F$6:$F$39),INT($E287)+$AF287))</f>
        <v/>
      </c>
      <c r="AI274" s="30">
        <f>IF($E287="","",IF(LEFT(UPPER(TRIM($AA287)),8)="FELICITA","⭐ Felicitación",IF(NOT(ISNUMBER($E287)),"⚠ Revisar fecha",IF(UPPER(TRIM($AK287))="RESPONDIDA - CERRADA","✅ Cerrada",IF($AE287="","⚠ Falta entidad",IF($AH287="","⚠ Revisar término",IF(TODAY()&gt;$AH287,"🔴 Vencida",IF($AH287-TODAY()&lt;=Config!$B$12,"🟡 Próxima a vencer","🟢 En término"))))))))</f>
        <v/>
      </c>
      <c r="AJ274" s="42">
        <f>IF(OR($E287="",NOT(ISNUMBER($E287))),"",IF(ISNUMBER($AS287),MAX(0,INT($AS287)-INT($E287)),MAX(0,TODAY()-INT($E287))))</f>
        <v/>
      </c>
      <c r="AK274" s="30" t="n"/>
      <c r="AL274" s="30" t="n"/>
      <c r="AM274" s="30" t="n"/>
      <c r="AN274" s="39" t="n"/>
      <c r="AO274" s="30" t="n"/>
      <c r="AP274" s="30" t="n"/>
      <c r="AQ274" s="39" t="n"/>
      <c r="AR274" s="30" t="n"/>
      <c r="AS274" s="39" t="n"/>
      <c r="AT274" s="30">
        <f>IF(OR($AS287="",NOT(ISNUMBER($AS287)),$AH287=""),"",IF(INT($AS287)&lt;=$AH287,"A tiempo","Fuera de término"))</f>
        <v/>
      </c>
      <c r="AU274" s="40" t="n"/>
      <c r="AV274" s="40" t="n"/>
      <c r="AW274" s="40" t="n"/>
      <c r="AX274" s="40" t="n"/>
      <c r="AY274" s="30" t="n"/>
      <c r="AZ274" s="30" t="n"/>
      <c r="BA274" s="30" t="n"/>
    </row>
    <row r="275" ht="15.75" customHeight="1" s="57">
      <c r="A275" s="29" t="n"/>
      <c r="B275" s="30" t="n"/>
      <c r="C275" s="39" t="n"/>
      <c r="D275" s="39" t="n"/>
      <c r="E275" s="39" t="n"/>
      <c r="F275" s="40" t="n"/>
      <c r="G275" s="30" t="n"/>
      <c r="H275" s="30" t="n"/>
      <c r="I275" s="30" t="n"/>
      <c r="J275" s="30" t="n"/>
      <c r="K275" s="30" t="n"/>
      <c r="L275" s="30" t="n"/>
      <c r="M275" s="30" t="n"/>
      <c r="N275" s="30" t="n"/>
      <c r="O275" s="30" t="n"/>
      <c r="P275" s="30" t="n"/>
      <c r="Q275" s="30" t="n"/>
      <c r="R275" s="30" t="n"/>
      <c r="S275" s="30" t="n"/>
      <c r="T275" s="30" t="n"/>
      <c r="U275" s="30" t="n"/>
      <c r="V275" s="30" t="n"/>
      <c r="W275" s="30" t="n"/>
      <c r="X275" s="30" t="n"/>
      <c r="Y275" s="30" t="n"/>
      <c r="Z275" s="30" t="n"/>
      <c r="AA275" s="30" t="n"/>
      <c r="AB275" s="30" t="n"/>
      <c r="AC275" s="30" t="n"/>
      <c r="AD275" s="41" t="n"/>
      <c r="AE275" s="30" t="n"/>
      <c r="AF275" s="42">
        <f>IF($AA288="","",IF(LEFT(UPPER(TRIM($AA288)),8)="FELICITA","N/A",IF($AE288="","",IFERROR(VLOOKUP(UPPER(TRIM($AE288)),Config!$A$6:$D$8,2,FALSE),IFERROR(VLOOKUP(IF(LEFT(UPPER(TRIM($AE288)),5)="SUPER","SUPER SALUD",IF(LEFT(UPPER(TRIM($AE288)),8)="SECRETAR","SECRETARIA DE SALUD",IF(LEFT(UPPER(TRIM($AE288)),4)="SEDE","SEDE",UPPER(TRIM($AE288))))),Config!$A$6:$D$8,2,FALSE),"⚠")))))</f>
        <v/>
      </c>
      <c r="AG275" s="30">
        <f>IF($AA288="","",IF(LEFT(UPPER(TRIM($AA288)),8)="FELICITA","N/A",IF($AE288="","",IFERROR(VLOOKUP(UPPER(TRIM($AE288)),Config!$A$6:$D$8,3,FALSE),IFERROR(VLOOKUP(IF(LEFT(UPPER(TRIM($AE288)),5)="SUPER","SUPER SALUD",IF(LEFT(UPPER(TRIM($AE288)),8)="SECRETAR","SECRETARIA DE SALUD",IF(LEFT(UPPER(TRIM($AE288)),4)="SEDE","SEDE",UPPER(TRIM($AE288))))),Config!$A$6:$D$8,3,FALSE),"")))))</f>
        <v/>
      </c>
      <c r="AH275" s="39">
        <f>IF(OR($E288="",NOT(ISNUMBER($E288)),$AF288="",$AF288="N/A",NOT(ISNUMBER($AF288))),"",IF($AG288="Hábiles",WORKDAY(INT($E288),$AF288,Config!$F$6:$F$39),INT($E288)+$AF288))</f>
        <v/>
      </c>
      <c r="AI275" s="30">
        <f>IF($E288="","",IF(LEFT(UPPER(TRIM($AA288)),8)="FELICITA","⭐ Felicitación",IF(NOT(ISNUMBER($E288)),"⚠ Revisar fecha",IF(UPPER(TRIM($AK288))="RESPONDIDA - CERRADA","✅ Cerrada",IF($AE288="","⚠ Falta entidad",IF($AH288="","⚠ Revisar término",IF(TODAY()&gt;$AH288,"🔴 Vencida",IF($AH288-TODAY()&lt;=Config!$B$12,"🟡 Próxima a vencer","🟢 En término"))))))))</f>
        <v/>
      </c>
      <c r="AJ275" s="42">
        <f>IF(OR($E288="",NOT(ISNUMBER($E288))),"",IF(ISNUMBER($AS288),MAX(0,INT($AS288)-INT($E288)),MAX(0,TODAY()-INT($E288))))</f>
        <v/>
      </c>
      <c r="AK275" s="30" t="n"/>
      <c r="AL275" s="30" t="n"/>
      <c r="AM275" s="30" t="n"/>
      <c r="AN275" s="39" t="n"/>
      <c r="AO275" s="30" t="n"/>
      <c r="AP275" s="30" t="n"/>
      <c r="AQ275" s="39" t="n"/>
      <c r="AR275" s="30" t="n"/>
      <c r="AS275" s="39" t="n"/>
      <c r="AT275" s="30">
        <f>IF(OR($AS288="",NOT(ISNUMBER($AS288)),$AH288=""),"",IF(INT($AS288)&lt;=$AH288,"A tiempo","Fuera de término"))</f>
        <v/>
      </c>
      <c r="AU275" s="40" t="n"/>
      <c r="AV275" s="40" t="n"/>
      <c r="AW275" s="40" t="n"/>
      <c r="AX275" s="40" t="n"/>
      <c r="AY275" s="30" t="n"/>
      <c r="AZ275" s="30" t="n"/>
      <c r="BA275" s="30" t="n"/>
    </row>
    <row r="276" ht="15.75" customHeight="1" s="57">
      <c r="A276" s="29" t="n"/>
      <c r="B276" s="30" t="n"/>
      <c r="C276" s="39" t="n"/>
      <c r="D276" s="39" t="n"/>
      <c r="E276" s="39" t="n"/>
      <c r="F276" s="40" t="n"/>
      <c r="G276" s="30" t="n"/>
      <c r="H276" s="30" t="n"/>
      <c r="I276" s="30" t="n"/>
      <c r="J276" s="30" t="n"/>
      <c r="K276" s="30" t="n"/>
      <c r="L276" s="30" t="n"/>
      <c r="M276" s="30" t="n"/>
      <c r="N276" s="30" t="n"/>
      <c r="O276" s="30" t="n"/>
      <c r="P276" s="30" t="n"/>
      <c r="Q276" s="30" t="n"/>
      <c r="R276" s="30" t="n"/>
      <c r="S276" s="30" t="n"/>
      <c r="T276" s="30" t="n"/>
      <c r="U276" s="30" t="n"/>
      <c r="V276" s="30" t="n"/>
      <c r="W276" s="30" t="n"/>
      <c r="X276" s="30" t="n"/>
      <c r="Y276" s="30" t="n"/>
      <c r="Z276" s="30" t="n"/>
      <c r="AA276" s="30" t="n"/>
      <c r="AB276" s="30" t="n"/>
      <c r="AC276" s="30" t="n"/>
      <c r="AD276" s="41" t="n"/>
      <c r="AE276" s="30" t="n"/>
      <c r="AF276" s="42">
        <f>IF($AA289="","",IF(LEFT(UPPER(TRIM($AA289)),8)="FELICITA","N/A",IF($AE289="","",IFERROR(VLOOKUP(UPPER(TRIM($AE289)),Config!$A$6:$D$8,2,FALSE),IFERROR(VLOOKUP(IF(LEFT(UPPER(TRIM($AE289)),5)="SUPER","SUPER SALUD",IF(LEFT(UPPER(TRIM($AE289)),8)="SECRETAR","SECRETARIA DE SALUD",IF(LEFT(UPPER(TRIM($AE289)),4)="SEDE","SEDE",UPPER(TRIM($AE289))))),Config!$A$6:$D$8,2,FALSE),"⚠")))))</f>
        <v/>
      </c>
      <c r="AG276" s="30">
        <f>IF($AA289="","",IF(LEFT(UPPER(TRIM($AA289)),8)="FELICITA","N/A",IF($AE289="","",IFERROR(VLOOKUP(UPPER(TRIM($AE289)),Config!$A$6:$D$8,3,FALSE),IFERROR(VLOOKUP(IF(LEFT(UPPER(TRIM($AE289)),5)="SUPER","SUPER SALUD",IF(LEFT(UPPER(TRIM($AE289)),8)="SECRETAR","SECRETARIA DE SALUD",IF(LEFT(UPPER(TRIM($AE289)),4)="SEDE","SEDE",UPPER(TRIM($AE289))))),Config!$A$6:$D$8,3,FALSE),"")))))</f>
        <v/>
      </c>
      <c r="AH276" s="39">
        <f>IF(OR($E289="",NOT(ISNUMBER($E289)),$AF289="",$AF289="N/A",NOT(ISNUMBER($AF289))),"",IF($AG289="Hábiles",WORKDAY(INT($E289),$AF289,Config!$F$6:$F$39),INT($E289)+$AF289))</f>
        <v/>
      </c>
      <c r="AI276" s="30">
        <f>IF($E289="","",IF(LEFT(UPPER(TRIM($AA289)),8)="FELICITA","⭐ Felicitación",IF(NOT(ISNUMBER($E289)),"⚠ Revisar fecha",IF(UPPER(TRIM($AK289))="RESPONDIDA - CERRADA","✅ Cerrada",IF($AE289="","⚠ Falta entidad",IF($AH289="","⚠ Revisar término",IF(TODAY()&gt;$AH289,"🔴 Vencida",IF($AH289-TODAY()&lt;=Config!$B$12,"🟡 Próxima a vencer","🟢 En término"))))))))</f>
        <v/>
      </c>
      <c r="AJ276" s="42">
        <f>IF(OR($E289="",NOT(ISNUMBER($E289))),"",IF(ISNUMBER($AS289),MAX(0,INT($AS289)-INT($E289)),MAX(0,TODAY()-INT($E289))))</f>
        <v/>
      </c>
      <c r="AK276" s="30" t="n"/>
      <c r="AL276" s="30" t="n"/>
      <c r="AM276" s="30" t="n"/>
      <c r="AN276" s="39" t="n"/>
      <c r="AO276" s="30" t="n"/>
      <c r="AP276" s="30" t="n"/>
      <c r="AQ276" s="39" t="n"/>
      <c r="AR276" s="30" t="n"/>
      <c r="AS276" s="39" t="n"/>
      <c r="AT276" s="30">
        <f>IF(OR($AS289="",NOT(ISNUMBER($AS289)),$AH289=""),"",IF(INT($AS289)&lt;=$AH289,"A tiempo","Fuera de término"))</f>
        <v/>
      </c>
      <c r="AU276" s="40" t="n"/>
      <c r="AV276" s="40" t="n"/>
      <c r="AW276" s="40" t="n"/>
      <c r="AX276" s="40" t="n"/>
      <c r="AY276" s="30" t="n"/>
      <c r="AZ276" s="30" t="n"/>
      <c r="BA276" s="30" t="n"/>
    </row>
    <row r="277" ht="15.75" customHeight="1" s="57">
      <c r="A277" s="29" t="n"/>
      <c r="B277" s="30" t="n"/>
      <c r="C277" s="39" t="n"/>
      <c r="D277" s="39" t="n"/>
      <c r="E277" s="39" t="n"/>
      <c r="F277" s="40" t="n"/>
      <c r="G277" s="30" t="n"/>
      <c r="H277" s="30" t="n"/>
      <c r="I277" s="30" t="n"/>
      <c r="J277" s="30" t="n"/>
      <c r="K277" s="30" t="n"/>
      <c r="L277" s="30" t="n"/>
      <c r="M277" s="30" t="n"/>
      <c r="N277" s="30" t="n"/>
      <c r="O277" s="30" t="n"/>
      <c r="P277" s="30" t="n"/>
      <c r="Q277" s="30" t="n"/>
      <c r="R277" s="30" t="n"/>
      <c r="S277" s="30" t="n"/>
      <c r="T277" s="30" t="n"/>
      <c r="U277" s="30" t="n"/>
      <c r="V277" s="30" t="n"/>
      <c r="W277" s="30" t="n"/>
      <c r="X277" s="30" t="n"/>
      <c r="Y277" s="30" t="n"/>
      <c r="Z277" s="30" t="n"/>
      <c r="AA277" s="30" t="n"/>
      <c r="AB277" s="30" t="n"/>
      <c r="AC277" s="30" t="n"/>
      <c r="AD277" s="41" t="n"/>
      <c r="AE277" s="30" t="n"/>
      <c r="AF277" s="42">
        <f>IF($AA290="","",IF(LEFT(UPPER(TRIM($AA290)),8)="FELICITA","N/A",IF($AE290="","",IFERROR(VLOOKUP(UPPER(TRIM($AE290)),Config!$A$6:$D$8,2,FALSE),IFERROR(VLOOKUP(IF(LEFT(UPPER(TRIM($AE290)),5)="SUPER","SUPER SALUD",IF(LEFT(UPPER(TRIM($AE290)),8)="SECRETAR","SECRETARIA DE SALUD",IF(LEFT(UPPER(TRIM($AE290)),4)="SEDE","SEDE",UPPER(TRIM($AE290))))),Config!$A$6:$D$8,2,FALSE),"⚠")))))</f>
        <v/>
      </c>
      <c r="AG277" s="30">
        <f>IF($AA290="","",IF(LEFT(UPPER(TRIM($AA290)),8)="FELICITA","N/A",IF($AE290="","",IFERROR(VLOOKUP(UPPER(TRIM($AE290)),Config!$A$6:$D$8,3,FALSE),IFERROR(VLOOKUP(IF(LEFT(UPPER(TRIM($AE290)),5)="SUPER","SUPER SALUD",IF(LEFT(UPPER(TRIM($AE290)),8)="SECRETAR","SECRETARIA DE SALUD",IF(LEFT(UPPER(TRIM($AE290)),4)="SEDE","SEDE",UPPER(TRIM($AE290))))),Config!$A$6:$D$8,3,FALSE),"")))))</f>
        <v/>
      </c>
      <c r="AH277" s="39">
        <f>IF(OR($E290="",NOT(ISNUMBER($E290)),$AF290="",$AF290="N/A",NOT(ISNUMBER($AF290))),"",IF($AG290="Hábiles",WORKDAY(INT($E290),$AF290,Config!$F$6:$F$39),INT($E290)+$AF290))</f>
        <v/>
      </c>
      <c r="AI277" s="30">
        <f>IF($E290="","",IF(LEFT(UPPER(TRIM($AA290)),8)="FELICITA","⭐ Felicitación",IF(NOT(ISNUMBER($E290)),"⚠ Revisar fecha",IF(UPPER(TRIM($AK290))="RESPONDIDA - CERRADA","✅ Cerrada",IF($AE290="","⚠ Falta entidad",IF($AH290="","⚠ Revisar término",IF(TODAY()&gt;$AH290,"🔴 Vencida",IF($AH290-TODAY()&lt;=Config!$B$12,"🟡 Próxima a vencer","🟢 En término"))))))))</f>
        <v/>
      </c>
      <c r="AJ277" s="42">
        <f>IF(OR($E290="",NOT(ISNUMBER($E290))),"",IF(ISNUMBER($AS290),MAX(0,INT($AS290)-INT($E290)),MAX(0,TODAY()-INT($E290))))</f>
        <v/>
      </c>
      <c r="AK277" s="30" t="n"/>
      <c r="AL277" s="30" t="n"/>
      <c r="AM277" s="30" t="n"/>
      <c r="AN277" s="39" t="n"/>
      <c r="AO277" s="30" t="n"/>
      <c r="AP277" s="30" t="n"/>
      <c r="AQ277" s="39" t="n"/>
      <c r="AR277" s="30" t="n"/>
      <c r="AS277" s="39" t="n"/>
      <c r="AT277" s="30">
        <f>IF(OR($AS290="",NOT(ISNUMBER($AS290)),$AH290=""),"",IF(INT($AS290)&lt;=$AH290,"A tiempo","Fuera de término"))</f>
        <v/>
      </c>
      <c r="AU277" s="40" t="n"/>
      <c r="AV277" s="40" t="n"/>
      <c r="AW277" s="40" t="n"/>
      <c r="AX277" s="40" t="n"/>
      <c r="AY277" s="30" t="n"/>
      <c r="AZ277" s="30" t="n"/>
      <c r="BA277" s="30" t="n"/>
    </row>
    <row r="278" ht="15.75" customHeight="1" s="57">
      <c r="A278" s="29" t="n"/>
      <c r="B278" s="30" t="n"/>
      <c r="C278" s="39" t="n"/>
      <c r="D278" s="39" t="n"/>
      <c r="E278" s="39" t="n"/>
      <c r="F278" s="40" t="n"/>
      <c r="G278" s="30" t="n"/>
      <c r="H278" s="30" t="n"/>
      <c r="I278" s="30" t="n"/>
      <c r="J278" s="30" t="n"/>
      <c r="K278" s="30" t="n"/>
      <c r="L278" s="30" t="n"/>
      <c r="M278" s="30" t="n"/>
      <c r="N278" s="30" t="n"/>
      <c r="O278" s="30" t="n"/>
      <c r="P278" s="30" t="n"/>
      <c r="Q278" s="30" t="n"/>
      <c r="R278" s="30" t="n"/>
      <c r="S278" s="30" t="n"/>
      <c r="T278" s="30" t="n"/>
      <c r="U278" s="30" t="n"/>
      <c r="V278" s="30" t="n"/>
      <c r="W278" s="30" t="n"/>
      <c r="X278" s="30" t="n"/>
      <c r="Y278" s="30" t="n"/>
      <c r="Z278" s="30" t="n"/>
      <c r="AA278" s="30" t="n"/>
      <c r="AB278" s="30" t="n"/>
      <c r="AC278" s="30" t="n"/>
      <c r="AD278" s="41" t="n"/>
      <c r="AE278" s="30" t="n"/>
      <c r="AF278" s="42">
        <f>IF($AA291="","",IF(LEFT(UPPER(TRIM($AA291)),8)="FELICITA","N/A",IF($AE291="","",IFERROR(VLOOKUP(UPPER(TRIM($AE291)),Config!$A$6:$D$8,2,FALSE),IFERROR(VLOOKUP(IF(LEFT(UPPER(TRIM($AE291)),5)="SUPER","SUPER SALUD",IF(LEFT(UPPER(TRIM($AE291)),8)="SECRETAR","SECRETARIA DE SALUD",IF(LEFT(UPPER(TRIM($AE291)),4)="SEDE","SEDE",UPPER(TRIM($AE291))))),Config!$A$6:$D$8,2,FALSE),"⚠")))))</f>
        <v/>
      </c>
      <c r="AG278" s="30">
        <f>IF($AA291="","",IF(LEFT(UPPER(TRIM($AA291)),8)="FELICITA","N/A",IF($AE291="","",IFERROR(VLOOKUP(UPPER(TRIM($AE291)),Config!$A$6:$D$8,3,FALSE),IFERROR(VLOOKUP(IF(LEFT(UPPER(TRIM($AE291)),5)="SUPER","SUPER SALUD",IF(LEFT(UPPER(TRIM($AE291)),8)="SECRETAR","SECRETARIA DE SALUD",IF(LEFT(UPPER(TRIM($AE291)),4)="SEDE","SEDE",UPPER(TRIM($AE291))))),Config!$A$6:$D$8,3,FALSE),"")))))</f>
        <v/>
      </c>
      <c r="AH278" s="39">
        <f>IF(OR($E291="",NOT(ISNUMBER($E291)),$AF291="",$AF291="N/A",NOT(ISNUMBER($AF291))),"",IF($AG291="Hábiles",WORKDAY(INT($E291),$AF291,Config!$F$6:$F$39),INT($E291)+$AF291))</f>
        <v/>
      </c>
      <c r="AI278" s="30">
        <f>IF($E291="","",IF(LEFT(UPPER(TRIM($AA291)),8)="FELICITA","⭐ Felicitación",IF(NOT(ISNUMBER($E291)),"⚠ Revisar fecha",IF(UPPER(TRIM($AK291))="RESPONDIDA - CERRADA","✅ Cerrada",IF($AE291="","⚠ Falta entidad",IF($AH291="","⚠ Revisar término",IF(TODAY()&gt;$AH291,"🔴 Vencida",IF($AH291-TODAY()&lt;=Config!$B$12,"🟡 Próxima a vencer","🟢 En término"))))))))</f>
        <v/>
      </c>
      <c r="AJ278" s="42">
        <f>IF(OR($E291="",NOT(ISNUMBER($E291))),"",IF(ISNUMBER($AS291),MAX(0,INT($AS291)-INT($E291)),MAX(0,TODAY()-INT($E291))))</f>
        <v/>
      </c>
      <c r="AK278" s="30" t="n"/>
      <c r="AL278" s="30" t="n"/>
      <c r="AM278" s="30" t="n"/>
      <c r="AN278" s="39" t="n"/>
      <c r="AO278" s="30" t="n"/>
      <c r="AP278" s="30" t="n"/>
      <c r="AQ278" s="39" t="n"/>
      <c r="AR278" s="30" t="n"/>
      <c r="AS278" s="39" t="n"/>
      <c r="AT278" s="30">
        <f>IF(OR($AS291="",NOT(ISNUMBER($AS291)),$AH291=""),"",IF(INT($AS291)&lt;=$AH291,"A tiempo","Fuera de término"))</f>
        <v/>
      </c>
      <c r="AU278" s="40" t="n"/>
      <c r="AV278" s="40" t="n"/>
      <c r="AW278" s="40" t="n"/>
      <c r="AX278" s="40" t="n"/>
      <c r="AY278" s="30" t="n"/>
      <c r="AZ278" s="30" t="n"/>
      <c r="BA278" s="30" t="n"/>
    </row>
    <row r="279" ht="15.75" customHeight="1" s="57">
      <c r="A279" s="29" t="n"/>
      <c r="B279" s="30" t="n"/>
      <c r="C279" s="39" t="n"/>
      <c r="D279" s="39" t="n"/>
      <c r="E279" s="39" t="n"/>
      <c r="F279" s="40" t="n"/>
      <c r="G279" s="30" t="n"/>
      <c r="H279" s="30" t="n"/>
      <c r="I279" s="30" t="n"/>
      <c r="J279" s="30" t="n"/>
      <c r="K279" s="30" t="n"/>
      <c r="L279" s="30" t="n"/>
      <c r="M279" s="30" t="n"/>
      <c r="N279" s="30" t="n"/>
      <c r="O279" s="30" t="n"/>
      <c r="P279" s="30" t="n"/>
      <c r="Q279" s="30" t="n"/>
      <c r="R279" s="30" t="n"/>
      <c r="S279" s="30" t="n"/>
      <c r="T279" s="30" t="n"/>
      <c r="U279" s="30" t="n"/>
      <c r="V279" s="30" t="n"/>
      <c r="W279" s="30" t="n"/>
      <c r="X279" s="30" t="n"/>
      <c r="Y279" s="30" t="n"/>
      <c r="Z279" s="30" t="n"/>
      <c r="AA279" s="30" t="n"/>
      <c r="AB279" s="30" t="n"/>
      <c r="AC279" s="30" t="n"/>
      <c r="AD279" s="41" t="n"/>
      <c r="AE279" s="30" t="n"/>
      <c r="AF279" s="42">
        <f>IF($AA292="","",IF(LEFT(UPPER(TRIM($AA292)),8)="FELICITA","N/A",IF($AE292="","",IFERROR(VLOOKUP(UPPER(TRIM($AE292)),Config!$A$6:$D$8,2,FALSE),IFERROR(VLOOKUP(IF(LEFT(UPPER(TRIM($AE292)),5)="SUPER","SUPER SALUD",IF(LEFT(UPPER(TRIM($AE292)),8)="SECRETAR","SECRETARIA DE SALUD",IF(LEFT(UPPER(TRIM($AE292)),4)="SEDE","SEDE",UPPER(TRIM($AE292))))),Config!$A$6:$D$8,2,FALSE),"⚠")))))</f>
        <v/>
      </c>
      <c r="AG279" s="30">
        <f>IF($AA292="","",IF(LEFT(UPPER(TRIM($AA292)),8)="FELICITA","N/A",IF($AE292="","",IFERROR(VLOOKUP(UPPER(TRIM($AE292)),Config!$A$6:$D$8,3,FALSE),IFERROR(VLOOKUP(IF(LEFT(UPPER(TRIM($AE292)),5)="SUPER","SUPER SALUD",IF(LEFT(UPPER(TRIM($AE292)),8)="SECRETAR","SECRETARIA DE SALUD",IF(LEFT(UPPER(TRIM($AE292)),4)="SEDE","SEDE",UPPER(TRIM($AE292))))),Config!$A$6:$D$8,3,FALSE),"")))))</f>
        <v/>
      </c>
      <c r="AH279" s="39">
        <f>IF(OR($E292="",NOT(ISNUMBER($E292)),$AF292="",$AF292="N/A",NOT(ISNUMBER($AF292))),"",IF($AG292="Hábiles",WORKDAY(INT($E292),$AF292,Config!$F$6:$F$39),INT($E292)+$AF292))</f>
        <v/>
      </c>
      <c r="AI279" s="30">
        <f>IF($E292="","",IF(LEFT(UPPER(TRIM($AA292)),8)="FELICITA","⭐ Felicitación",IF(NOT(ISNUMBER($E292)),"⚠ Revisar fecha",IF(UPPER(TRIM($AK292))="RESPONDIDA - CERRADA","✅ Cerrada",IF($AE292="","⚠ Falta entidad",IF($AH292="","⚠ Revisar término",IF(TODAY()&gt;$AH292,"🔴 Vencida",IF($AH292-TODAY()&lt;=Config!$B$12,"🟡 Próxima a vencer","🟢 En término"))))))))</f>
        <v/>
      </c>
      <c r="AJ279" s="42">
        <f>IF(OR($E292="",NOT(ISNUMBER($E292))),"",IF(ISNUMBER($AS292),MAX(0,INT($AS292)-INT($E292)),MAX(0,TODAY()-INT($E292))))</f>
        <v/>
      </c>
      <c r="AK279" s="30" t="n"/>
      <c r="AL279" s="30" t="n"/>
      <c r="AM279" s="30" t="n"/>
      <c r="AN279" s="39" t="n"/>
      <c r="AO279" s="30" t="n"/>
      <c r="AP279" s="30" t="n"/>
      <c r="AQ279" s="39" t="n"/>
      <c r="AR279" s="30" t="n"/>
      <c r="AS279" s="39" t="n"/>
      <c r="AT279" s="30">
        <f>IF(OR($AS292="",NOT(ISNUMBER($AS292)),$AH292=""),"",IF(INT($AS292)&lt;=$AH292,"A tiempo","Fuera de término"))</f>
        <v/>
      </c>
      <c r="AU279" s="40" t="n"/>
      <c r="AV279" s="40" t="n"/>
      <c r="AW279" s="40" t="n"/>
      <c r="AX279" s="40" t="n"/>
      <c r="AY279" s="30" t="n"/>
      <c r="AZ279" s="30" t="n"/>
      <c r="BA279" s="30" t="n"/>
    </row>
    <row r="280" ht="15.75" customHeight="1" s="57">
      <c r="A280" s="29" t="n"/>
      <c r="B280" s="30" t="n"/>
      <c r="C280" s="39" t="n"/>
      <c r="D280" s="39" t="n"/>
      <c r="E280" s="39" t="n"/>
      <c r="F280" s="40" t="n"/>
      <c r="G280" s="30" t="n"/>
      <c r="H280" s="30" t="n"/>
      <c r="I280" s="30" t="n"/>
      <c r="J280" s="30" t="n"/>
      <c r="K280" s="30" t="n"/>
      <c r="L280" s="30" t="n"/>
      <c r="M280" s="30" t="n"/>
      <c r="N280" s="30" t="n"/>
      <c r="O280" s="30" t="n"/>
      <c r="P280" s="30" t="n"/>
      <c r="Q280" s="30" t="n"/>
      <c r="R280" s="30" t="n"/>
      <c r="S280" s="30" t="n"/>
      <c r="T280" s="30" t="n"/>
      <c r="U280" s="30" t="n"/>
      <c r="V280" s="30" t="n"/>
      <c r="W280" s="30" t="n"/>
      <c r="X280" s="30" t="n"/>
      <c r="Y280" s="30" t="n"/>
      <c r="Z280" s="30" t="n"/>
      <c r="AA280" s="30" t="n"/>
      <c r="AB280" s="30" t="n"/>
      <c r="AC280" s="30" t="n"/>
      <c r="AD280" s="41" t="n"/>
      <c r="AE280" s="30" t="n"/>
      <c r="AF280" s="42">
        <f>IF($AA293="","",IF(LEFT(UPPER(TRIM($AA293)),8)="FELICITA","N/A",IF($AE293="","",IFERROR(VLOOKUP(UPPER(TRIM($AE293)),Config!$A$6:$D$8,2,FALSE),IFERROR(VLOOKUP(IF(LEFT(UPPER(TRIM($AE293)),5)="SUPER","SUPER SALUD",IF(LEFT(UPPER(TRIM($AE293)),8)="SECRETAR","SECRETARIA DE SALUD",IF(LEFT(UPPER(TRIM($AE293)),4)="SEDE","SEDE",UPPER(TRIM($AE293))))),Config!$A$6:$D$8,2,FALSE),"⚠")))))</f>
        <v/>
      </c>
      <c r="AG280" s="30">
        <f>IF($AA293="","",IF(LEFT(UPPER(TRIM($AA293)),8)="FELICITA","N/A",IF($AE293="","",IFERROR(VLOOKUP(UPPER(TRIM($AE293)),Config!$A$6:$D$8,3,FALSE),IFERROR(VLOOKUP(IF(LEFT(UPPER(TRIM($AE293)),5)="SUPER","SUPER SALUD",IF(LEFT(UPPER(TRIM($AE293)),8)="SECRETAR","SECRETARIA DE SALUD",IF(LEFT(UPPER(TRIM($AE293)),4)="SEDE","SEDE",UPPER(TRIM($AE293))))),Config!$A$6:$D$8,3,FALSE),"")))))</f>
        <v/>
      </c>
      <c r="AH280" s="39">
        <f>IF(OR($E293="",NOT(ISNUMBER($E293)),$AF293="",$AF293="N/A",NOT(ISNUMBER($AF293))),"",IF($AG293="Hábiles",WORKDAY(INT($E293),$AF293,Config!$F$6:$F$39),INT($E293)+$AF293))</f>
        <v/>
      </c>
      <c r="AI280" s="30">
        <f>IF($E293="","",IF(LEFT(UPPER(TRIM($AA293)),8)="FELICITA","⭐ Felicitación",IF(NOT(ISNUMBER($E293)),"⚠ Revisar fecha",IF(UPPER(TRIM($AK293))="RESPONDIDA - CERRADA","✅ Cerrada",IF($AE293="","⚠ Falta entidad",IF($AH293="","⚠ Revisar término",IF(TODAY()&gt;$AH293,"🔴 Vencida",IF($AH293-TODAY()&lt;=Config!$B$12,"🟡 Próxima a vencer","🟢 En término"))))))))</f>
        <v/>
      </c>
      <c r="AJ280" s="42">
        <f>IF(OR($E293="",NOT(ISNUMBER($E293))),"",IF(ISNUMBER($AS293),MAX(0,INT($AS293)-INT($E293)),MAX(0,TODAY()-INT($E293))))</f>
        <v/>
      </c>
      <c r="AK280" s="30" t="n"/>
      <c r="AL280" s="30" t="n"/>
      <c r="AM280" s="30" t="n"/>
      <c r="AN280" s="39" t="n"/>
      <c r="AO280" s="30" t="n"/>
      <c r="AP280" s="30" t="n"/>
      <c r="AQ280" s="39" t="n"/>
      <c r="AR280" s="30" t="n"/>
      <c r="AS280" s="39" t="n"/>
      <c r="AT280" s="30">
        <f>IF(OR($AS293="",NOT(ISNUMBER($AS293)),$AH293=""),"",IF(INT($AS293)&lt;=$AH293,"A tiempo","Fuera de término"))</f>
        <v/>
      </c>
      <c r="AU280" s="40" t="n"/>
      <c r="AV280" s="40" t="n"/>
      <c r="AW280" s="40" t="n"/>
      <c r="AX280" s="40" t="n"/>
      <c r="AY280" s="30" t="n"/>
      <c r="AZ280" s="30" t="n"/>
      <c r="BA280" s="30" t="n"/>
    </row>
    <row r="281" ht="15.75" customHeight="1" s="57">
      <c r="A281" s="29" t="n"/>
      <c r="B281" s="30" t="n"/>
      <c r="C281" s="39" t="n"/>
      <c r="D281" s="39" t="n"/>
      <c r="E281" s="39" t="n"/>
      <c r="F281" s="40" t="n"/>
      <c r="G281" s="30" t="n"/>
      <c r="H281" s="30" t="n"/>
      <c r="I281" s="30" t="n"/>
      <c r="J281" s="30" t="n"/>
      <c r="K281" s="30" t="n"/>
      <c r="L281" s="30" t="n"/>
      <c r="M281" s="30" t="n"/>
      <c r="N281" s="30" t="n"/>
      <c r="O281" s="30" t="n"/>
      <c r="P281" s="30" t="n"/>
      <c r="Q281" s="30" t="n"/>
      <c r="R281" s="30" t="n"/>
      <c r="S281" s="30" t="n"/>
      <c r="T281" s="30" t="n"/>
      <c r="U281" s="30" t="n"/>
      <c r="V281" s="30" t="n"/>
      <c r="W281" s="30" t="n"/>
      <c r="X281" s="30" t="n"/>
      <c r="Y281" s="30" t="n"/>
      <c r="Z281" s="30" t="n"/>
      <c r="AA281" s="30" t="n"/>
      <c r="AB281" s="30" t="n"/>
      <c r="AC281" s="30" t="n"/>
      <c r="AD281" s="41" t="n"/>
      <c r="AE281" s="30" t="n"/>
      <c r="AF281" s="42">
        <f>IF($AA294="","",IF(LEFT(UPPER(TRIM($AA294)),8)="FELICITA","N/A",IF($AE294="","",IFERROR(VLOOKUP(UPPER(TRIM($AE294)),Config!$A$6:$D$8,2,FALSE),IFERROR(VLOOKUP(IF(LEFT(UPPER(TRIM($AE294)),5)="SUPER","SUPER SALUD",IF(LEFT(UPPER(TRIM($AE294)),8)="SECRETAR","SECRETARIA DE SALUD",IF(LEFT(UPPER(TRIM($AE294)),4)="SEDE","SEDE",UPPER(TRIM($AE294))))),Config!$A$6:$D$8,2,FALSE),"⚠")))))</f>
        <v/>
      </c>
      <c r="AG281" s="30">
        <f>IF($AA294="","",IF(LEFT(UPPER(TRIM($AA294)),8)="FELICITA","N/A",IF($AE294="","",IFERROR(VLOOKUP(UPPER(TRIM($AE294)),Config!$A$6:$D$8,3,FALSE),IFERROR(VLOOKUP(IF(LEFT(UPPER(TRIM($AE294)),5)="SUPER","SUPER SALUD",IF(LEFT(UPPER(TRIM($AE294)),8)="SECRETAR","SECRETARIA DE SALUD",IF(LEFT(UPPER(TRIM($AE294)),4)="SEDE","SEDE",UPPER(TRIM($AE294))))),Config!$A$6:$D$8,3,FALSE),"")))))</f>
        <v/>
      </c>
      <c r="AH281" s="39">
        <f>IF(OR($E294="",NOT(ISNUMBER($E294)),$AF294="",$AF294="N/A",NOT(ISNUMBER($AF294))),"",IF($AG294="Hábiles",WORKDAY(INT($E294),$AF294,Config!$F$6:$F$39),INT($E294)+$AF294))</f>
        <v/>
      </c>
      <c r="AI281" s="30">
        <f>IF($E294="","",IF(LEFT(UPPER(TRIM($AA294)),8)="FELICITA","⭐ Felicitación",IF(NOT(ISNUMBER($E294)),"⚠ Revisar fecha",IF(UPPER(TRIM($AK294))="RESPONDIDA - CERRADA","✅ Cerrada",IF($AE294="","⚠ Falta entidad",IF($AH294="","⚠ Revisar término",IF(TODAY()&gt;$AH294,"🔴 Vencida",IF($AH294-TODAY()&lt;=Config!$B$12,"🟡 Próxima a vencer","🟢 En término"))))))))</f>
        <v/>
      </c>
      <c r="AJ281" s="42">
        <f>IF(OR($E294="",NOT(ISNUMBER($E294))),"",IF(ISNUMBER($AS294),MAX(0,INT($AS294)-INT($E294)),MAX(0,TODAY()-INT($E294))))</f>
        <v/>
      </c>
      <c r="AK281" s="30" t="n"/>
      <c r="AL281" s="30" t="n"/>
      <c r="AM281" s="30" t="n"/>
      <c r="AN281" s="39" t="n"/>
      <c r="AO281" s="30" t="n"/>
      <c r="AP281" s="30" t="n"/>
      <c r="AQ281" s="39" t="n"/>
      <c r="AR281" s="30" t="n"/>
      <c r="AS281" s="39" t="n"/>
      <c r="AT281" s="30">
        <f>IF(OR($AS294="",NOT(ISNUMBER($AS294)),$AH294=""),"",IF(INT($AS294)&lt;=$AH294,"A tiempo","Fuera de término"))</f>
        <v/>
      </c>
      <c r="AU281" s="40" t="n"/>
      <c r="AV281" s="40" t="n"/>
      <c r="AW281" s="40" t="n"/>
      <c r="AX281" s="40" t="n"/>
      <c r="AY281" s="30" t="n"/>
      <c r="AZ281" s="30" t="n"/>
      <c r="BA281" s="30" t="n"/>
    </row>
    <row r="282" ht="15.75" customHeight="1" s="57">
      <c r="A282" s="29" t="n"/>
      <c r="B282" s="30" t="n"/>
      <c r="C282" s="39" t="n"/>
      <c r="D282" s="39" t="n"/>
      <c r="E282" s="39" t="n"/>
      <c r="F282" s="40" t="n"/>
      <c r="G282" s="30" t="n"/>
      <c r="H282" s="30" t="n"/>
      <c r="I282" s="30" t="n"/>
      <c r="J282" s="30" t="n"/>
      <c r="K282" s="30" t="n"/>
      <c r="L282" s="30" t="n"/>
      <c r="M282" s="30" t="n"/>
      <c r="N282" s="30" t="n"/>
      <c r="O282" s="30" t="n"/>
      <c r="P282" s="30" t="n"/>
      <c r="Q282" s="30" t="n"/>
      <c r="R282" s="30" t="n"/>
      <c r="S282" s="30" t="n"/>
      <c r="T282" s="30" t="n"/>
      <c r="U282" s="30" t="n"/>
      <c r="V282" s="30" t="n"/>
      <c r="W282" s="30" t="n"/>
      <c r="X282" s="30" t="n"/>
      <c r="Y282" s="30" t="n"/>
      <c r="Z282" s="30" t="n"/>
      <c r="AA282" s="30" t="n"/>
      <c r="AB282" s="30" t="n"/>
      <c r="AC282" s="30" t="n"/>
      <c r="AD282" s="41" t="n"/>
      <c r="AE282" s="30" t="n"/>
      <c r="AF282" s="42">
        <f>IF($AA295="","",IF(LEFT(UPPER(TRIM($AA295)),8)="FELICITA","N/A",IF($AE295="","",IFERROR(VLOOKUP(UPPER(TRIM($AE295)),Config!$A$6:$D$8,2,FALSE),IFERROR(VLOOKUP(IF(LEFT(UPPER(TRIM($AE295)),5)="SUPER","SUPER SALUD",IF(LEFT(UPPER(TRIM($AE295)),8)="SECRETAR","SECRETARIA DE SALUD",IF(LEFT(UPPER(TRIM($AE295)),4)="SEDE","SEDE",UPPER(TRIM($AE295))))),Config!$A$6:$D$8,2,FALSE),"⚠")))))</f>
        <v/>
      </c>
      <c r="AG282" s="30">
        <f>IF($AA295="","",IF(LEFT(UPPER(TRIM($AA295)),8)="FELICITA","N/A",IF($AE295="","",IFERROR(VLOOKUP(UPPER(TRIM($AE295)),Config!$A$6:$D$8,3,FALSE),IFERROR(VLOOKUP(IF(LEFT(UPPER(TRIM($AE295)),5)="SUPER","SUPER SALUD",IF(LEFT(UPPER(TRIM($AE295)),8)="SECRETAR","SECRETARIA DE SALUD",IF(LEFT(UPPER(TRIM($AE295)),4)="SEDE","SEDE",UPPER(TRIM($AE295))))),Config!$A$6:$D$8,3,FALSE),"")))))</f>
        <v/>
      </c>
      <c r="AH282" s="39">
        <f>IF(OR($E295="",NOT(ISNUMBER($E295)),$AF295="",$AF295="N/A",NOT(ISNUMBER($AF295))),"",IF($AG295="Hábiles",WORKDAY(INT($E295),$AF295,Config!$F$6:$F$39),INT($E295)+$AF295))</f>
        <v/>
      </c>
      <c r="AI282" s="30">
        <f>IF($E295="","",IF(LEFT(UPPER(TRIM($AA295)),8)="FELICITA","⭐ Felicitación",IF(NOT(ISNUMBER($E295)),"⚠ Revisar fecha",IF(UPPER(TRIM($AK295))="RESPONDIDA - CERRADA","✅ Cerrada",IF($AE295="","⚠ Falta entidad",IF($AH295="","⚠ Revisar término",IF(TODAY()&gt;$AH295,"🔴 Vencida",IF($AH295-TODAY()&lt;=Config!$B$12,"🟡 Próxima a vencer","🟢 En término"))))))))</f>
        <v/>
      </c>
      <c r="AJ282" s="42">
        <f>IF(OR($E295="",NOT(ISNUMBER($E295))),"",IF(ISNUMBER($AS295),MAX(0,INT($AS295)-INT($E295)),MAX(0,TODAY()-INT($E295))))</f>
        <v/>
      </c>
      <c r="AK282" s="30" t="n"/>
      <c r="AL282" s="30" t="n"/>
      <c r="AM282" s="30" t="n"/>
      <c r="AN282" s="39" t="n"/>
      <c r="AO282" s="30" t="n"/>
      <c r="AP282" s="30" t="n"/>
      <c r="AQ282" s="39" t="n"/>
      <c r="AR282" s="30" t="n"/>
      <c r="AS282" s="39" t="n"/>
      <c r="AT282" s="30">
        <f>IF(OR($AS295="",NOT(ISNUMBER($AS295)),$AH295=""),"",IF(INT($AS295)&lt;=$AH295,"A tiempo","Fuera de término"))</f>
        <v/>
      </c>
      <c r="AU282" s="40" t="n"/>
      <c r="AV282" s="40" t="n"/>
      <c r="AW282" s="40" t="n"/>
      <c r="AX282" s="40" t="n"/>
      <c r="AY282" s="30" t="n"/>
      <c r="AZ282" s="30" t="n"/>
      <c r="BA282" s="30" t="n"/>
    </row>
    <row r="283" ht="15.75" customHeight="1" s="57">
      <c r="A283" s="29" t="n"/>
      <c r="B283" s="30" t="n"/>
      <c r="C283" s="39" t="n"/>
      <c r="D283" s="39" t="n"/>
      <c r="E283" s="39" t="n"/>
      <c r="F283" s="40" t="n"/>
      <c r="G283" s="30" t="n"/>
      <c r="H283" s="30" t="n"/>
      <c r="I283" s="30" t="n"/>
      <c r="J283" s="30" t="n"/>
      <c r="K283" s="30" t="n"/>
      <c r="L283" s="30" t="n"/>
      <c r="M283" s="30" t="n"/>
      <c r="N283" s="30" t="n"/>
      <c r="O283" s="30" t="n"/>
      <c r="P283" s="30" t="n"/>
      <c r="Q283" s="30" t="n"/>
      <c r="R283" s="30" t="n"/>
      <c r="S283" s="30" t="n"/>
      <c r="T283" s="30" t="n"/>
      <c r="U283" s="30" t="n"/>
      <c r="V283" s="30" t="n"/>
      <c r="W283" s="30" t="n"/>
      <c r="X283" s="30" t="n"/>
      <c r="Y283" s="30" t="n"/>
      <c r="Z283" s="30" t="n"/>
      <c r="AA283" s="30" t="n"/>
      <c r="AB283" s="30" t="n"/>
      <c r="AC283" s="30" t="n"/>
      <c r="AD283" s="41" t="n"/>
      <c r="AE283" s="30" t="n"/>
      <c r="AF283" s="42">
        <f>IF($AA296="","",IF(LEFT(UPPER(TRIM($AA296)),8)="FELICITA","N/A",IF($AE296="","",IFERROR(VLOOKUP(UPPER(TRIM($AE296)),Config!$A$6:$D$8,2,FALSE),IFERROR(VLOOKUP(IF(LEFT(UPPER(TRIM($AE296)),5)="SUPER","SUPER SALUD",IF(LEFT(UPPER(TRIM($AE296)),8)="SECRETAR","SECRETARIA DE SALUD",IF(LEFT(UPPER(TRIM($AE296)),4)="SEDE","SEDE",UPPER(TRIM($AE296))))),Config!$A$6:$D$8,2,FALSE),"⚠")))))</f>
        <v/>
      </c>
      <c r="AG283" s="30">
        <f>IF($AA296="","",IF(LEFT(UPPER(TRIM($AA296)),8)="FELICITA","N/A",IF($AE296="","",IFERROR(VLOOKUP(UPPER(TRIM($AE296)),Config!$A$6:$D$8,3,FALSE),IFERROR(VLOOKUP(IF(LEFT(UPPER(TRIM($AE296)),5)="SUPER","SUPER SALUD",IF(LEFT(UPPER(TRIM($AE296)),8)="SECRETAR","SECRETARIA DE SALUD",IF(LEFT(UPPER(TRIM($AE296)),4)="SEDE","SEDE",UPPER(TRIM($AE296))))),Config!$A$6:$D$8,3,FALSE),"")))))</f>
        <v/>
      </c>
      <c r="AH283" s="39">
        <f>IF(OR($E296="",NOT(ISNUMBER($E296)),$AF296="",$AF296="N/A",NOT(ISNUMBER($AF296))),"",IF($AG296="Hábiles",WORKDAY(INT($E296),$AF296,Config!$F$6:$F$39),INT($E296)+$AF296))</f>
        <v/>
      </c>
      <c r="AI283" s="30">
        <f>IF($E296="","",IF(LEFT(UPPER(TRIM($AA296)),8)="FELICITA","⭐ Felicitación",IF(NOT(ISNUMBER($E296)),"⚠ Revisar fecha",IF(UPPER(TRIM($AK296))="RESPONDIDA - CERRADA","✅ Cerrada",IF($AE296="","⚠ Falta entidad",IF($AH296="","⚠ Revisar término",IF(TODAY()&gt;$AH296,"🔴 Vencida",IF($AH296-TODAY()&lt;=Config!$B$12,"🟡 Próxima a vencer","🟢 En término"))))))))</f>
        <v/>
      </c>
      <c r="AJ283" s="42">
        <f>IF(OR($E296="",NOT(ISNUMBER($E296))),"",IF(ISNUMBER($AS296),MAX(0,INT($AS296)-INT($E296)),MAX(0,TODAY()-INT($E296))))</f>
        <v/>
      </c>
      <c r="AK283" s="30" t="n"/>
      <c r="AL283" s="30" t="n"/>
      <c r="AM283" s="30" t="n"/>
      <c r="AN283" s="39" t="n"/>
      <c r="AO283" s="30" t="n"/>
      <c r="AP283" s="30" t="n"/>
      <c r="AQ283" s="39" t="n"/>
      <c r="AR283" s="30" t="n"/>
      <c r="AS283" s="39" t="n"/>
      <c r="AT283" s="30">
        <f>IF(OR($AS296="",NOT(ISNUMBER($AS296)),$AH296=""),"",IF(INT($AS296)&lt;=$AH296,"A tiempo","Fuera de término"))</f>
        <v/>
      </c>
      <c r="AU283" s="40" t="n"/>
      <c r="AV283" s="40" t="n"/>
      <c r="AW283" s="40" t="n"/>
      <c r="AX283" s="40" t="n"/>
      <c r="AY283" s="30" t="n"/>
      <c r="AZ283" s="30" t="n"/>
      <c r="BA283" s="30" t="n"/>
    </row>
    <row r="284" ht="15.75" customHeight="1" s="57">
      <c r="A284" s="29" t="n"/>
      <c r="B284" s="30" t="n"/>
      <c r="C284" s="39" t="n"/>
      <c r="D284" s="39" t="n"/>
      <c r="E284" s="39" t="n"/>
      <c r="F284" s="40" t="n"/>
      <c r="G284" s="30" t="n"/>
      <c r="H284" s="30" t="n"/>
      <c r="I284" s="30" t="n"/>
      <c r="J284" s="30" t="n"/>
      <c r="K284" s="30" t="n"/>
      <c r="L284" s="30" t="n"/>
      <c r="M284" s="30" t="n"/>
      <c r="N284" s="30" t="n"/>
      <c r="O284" s="30" t="n"/>
      <c r="P284" s="30" t="n"/>
      <c r="Q284" s="30" t="n"/>
      <c r="R284" s="30" t="n"/>
      <c r="S284" s="30" t="n"/>
      <c r="T284" s="30" t="n"/>
      <c r="U284" s="30" t="n"/>
      <c r="V284" s="30" t="n"/>
      <c r="W284" s="30" t="n"/>
      <c r="X284" s="30" t="n"/>
      <c r="Y284" s="30" t="n"/>
      <c r="Z284" s="30" t="n"/>
      <c r="AA284" s="30" t="n"/>
      <c r="AB284" s="30" t="n"/>
      <c r="AC284" s="30" t="n"/>
      <c r="AD284" s="41" t="n"/>
      <c r="AE284" s="30" t="n"/>
      <c r="AF284" s="42">
        <f>IF($AA297="","",IF(LEFT(UPPER(TRIM($AA297)),8)="FELICITA","N/A",IF($AE297="","",IFERROR(VLOOKUP(UPPER(TRIM($AE297)),Config!$A$6:$D$8,2,FALSE),IFERROR(VLOOKUP(IF(LEFT(UPPER(TRIM($AE297)),5)="SUPER","SUPER SALUD",IF(LEFT(UPPER(TRIM($AE297)),8)="SECRETAR","SECRETARIA DE SALUD",IF(LEFT(UPPER(TRIM($AE297)),4)="SEDE","SEDE",UPPER(TRIM($AE297))))),Config!$A$6:$D$8,2,FALSE),"⚠")))))</f>
        <v/>
      </c>
      <c r="AG284" s="30">
        <f>IF($AA297="","",IF(LEFT(UPPER(TRIM($AA297)),8)="FELICITA","N/A",IF($AE297="","",IFERROR(VLOOKUP(UPPER(TRIM($AE297)),Config!$A$6:$D$8,3,FALSE),IFERROR(VLOOKUP(IF(LEFT(UPPER(TRIM($AE297)),5)="SUPER","SUPER SALUD",IF(LEFT(UPPER(TRIM($AE297)),8)="SECRETAR","SECRETARIA DE SALUD",IF(LEFT(UPPER(TRIM($AE297)),4)="SEDE","SEDE",UPPER(TRIM($AE297))))),Config!$A$6:$D$8,3,FALSE),"")))))</f>
        <v/>
      </c>
      <c r="AH284" s="39">
        <f>IF(OR($E297="",NOT(ISNUMBER($E297)),$AF297="",$AF297="N/A",NOT(ISNUMBER($AF297))),"",IF($AG297="Hábiles",WORKDAY(INT($E297),$AF297,Config!$F$6:$F$39),INT($E297)+$AF297))</f>
        <v/>
      </c>
      <c r="AI284" s="30">
        <f>IF($E297="","",IF(LEFT(UPPER(TRIM($AA297)),8)="FELICITA","⭐ Felicitación",IF(NOT(ISNUMBER($E297)),"⚠ Revisar fecha",IF(UPPER(TRIM($AK297))="RESPONDIDA - CERRADA","✅ Cerrada",IF($AE297="","⚠ Falta entidad",IF($AH297="","⚠ Revisar término",IF(TODAY()&gt;$AH297,"🔴 Vencida",IF($AH297-TODAY()&lt;=Config!$B$12,"🟡 Próxima a vencer","🟢 En término"))))))))</f>
        <v/>
      </c>
      <c r="AJ284" s="42">
        <f>IF(OR($E297="",NOT(ISNUMBER($E297))),"",IF(ISNUMBER($AS297),MAX(0,INT($AS297)-INT($E297)),MAX(0,TODAY()-INT($E297))))</f>
        <v/>
      </c>
      <c r="AK284" s="30" t="n"/>
      <c r="AL284" s="30" t="n"/>
      <c r="AM284" s="30" t="n"/>
      <c r="AN284" s="39" t="n"/>
      <c r="AO284" s="30" t="n"/>
      <c r="AP284" s="30" t="n"/>
      <c r="AQ284" s="39" t="n"/>
      <c r="AR284" s="30" t="n"/>
      <c r="AS284" s="39" t="n"/>
      <c r="AT284" s="30">
        <f>IF(OR($AS297="",NOT(ISNUMBER($AS297)),$AH297=""),"",IF(INT($AS297)&lt;=$AH297,"A tiempo","Fuera de término"))</f>
        <v/>
      </c>
      <c r="AU284" s="40" t="n"/>
      <c r="AV284" s="40" t="n"/>
      <c r="AW284" s="40" t="n"/>
      <c r="AX284" s="40" t="n"/>
      <c r="AY284" s="30" t="n"/>
      <c r="AZ284" s="30" t="n"/>
      <c r="BA284" s="30" t="n"/>
    </row>
    <row r="285" ht="15.75" customHeight="1" s="57">
      <c r="A285" s="29" t="n"/>
      <c r="B285" s="30" t="n"/>
      <c r="C285" s="39" t="n"/>
      <c r="D285" s="39" t="n"/>
      <c r="E285" s="39" t="n"/>
      <c r="F285" s="40" t="n"/>
      <c r="G285" s="30" t="n"/>
      <c r="H285" s="30" t="n"/>
      <c r="I285" s="30" t="n"/>
      <c r="J285" s="30" t="n"/>
      <c r="K285" s="30" t="n"/>
      <c r="L285" s="30" t="n"/>
      <c r="M285" s="30" t="n"/>
      <c r="N285" s="30" t="n"/>
      <c r="O285" s="30" t="n"/>
      <c r="P285" s="30" t="n"/>
      <c r="Q285" s="30" t="n"/>
      <c r="R285" s="30" t="n"/>
      <c r="S285" s="30" t="n"/>
      <c r="T285" s="30" t="n"/>
      <c r="U285" s="30" t="n"/>
      <c r="V285" s="30" t="n"/>
      <c r="W285" s="30" t="n"/>
      <c r="X285" s="30" t="n"/>
      <c r="Y285" s="30" t="n"/>
      <c r="Z285" s="30" t="n"/>
      <c r="AA285" s="30" t="n"/>
      <c r="AB285" s="30" t="n"/>
      <c r="AC285" s="30" t="n"/>
      <c r="AD285" s="41" t="n"/>
      <c r="AE285" s="30" t="n"/>
      <c r="AF285" s="42">
        <f>IF($AA298="","",IF(LEFT(UPPER(TRIM($AA298)),8)="FELICITA","N/A",IF($AE298="","",IFERROR(VLOOKUP(UPPER(TRIM($AE298)),Config!$A$6:$D$8,2,FALSE),IFERROR(VLOOKUP(IF(LEFT(UPPER(TRIM($AE298)),5)="SUPER","SUPER SALUD",IF(LEFT(UPPER(TRIM($AE298)),8)="SECRETAR","SECRETARIA DE SALUD",IF(LEFT(UPPER(TRIM($AE298)),4)="SEDE","SEDE",UPPER(TRIM($AE298))))),Config!$A$6:$D$8,2,FALSE),"⚠")))))</f>
        <v/>
      </c>
      <c r="AG285" s="30">
        <f>IF($AA298="","",IF(LEFT(UPPER(TRIM($AA298)),8)="FELICITA","N/A",IF($AE298="","",IFERROR(VLOOKUP(UPPER(TRIM($AE298)),Config!$A$6:$D$8,3,FALSE),IFERROR(VLOOKUP(IF(LEFT(UPPER(TRIM($AE298)),5)="SUPER","SUPER SALUD",IF(LEFT(UPPER(TRIM($AE298)),8)="SECRETAR","SECRETARIA DE SALUD",IF(LEFT(UPPER(TRIM($AE298)),4)="SEDE","SEDE",UPPER(TRIM($AE298))))),Config!$A$6:$D$8,3,FALSE),"")))))</f>
        <v/>
      </c>
      <c r="AH285" s="39">
        <f>IF(OR($E298="",NOT(ISNUMBER($E298)),$AF298="",$AF298="N/A",NOT(ISNUMBER($AF298))),"",IF($AG298="Hábiles",WORKDAY(INT($E298),$AF298,Config!$F$6:$F$39),INT($E298)+$AF298))</f>
        <v/>
      </c>
      <c r="AI285" s="30">
        <f>IF($E298="","",IF(LEFT(UPPER(TRIM($AA298)),8)="FELICITA","⭐ Felicitación",IF(NOT(ISNUMBER($E298)),"⚠ Revisar fecha",IF(UPPER(TRIM($AK298))="RESPONDIDA - CERRADA","✅ Cerrada",IF($AE298="","⚠ Falta entidad",IF($AH298="","⚠ Revisar término",IF(TODAY()&gt;$AH298,"🔴 Vencida",IF($AH298-TODAY()&lt;=Config!$B$12,"🟡 Próxima a vencer","🟢 En término"))))))))</f>
        <v/>
      </c>
      <c r="AJ285" s="42">
        <f>IF(OR($E298="",NOT(ISNUMBER($E298))),"",IF(ISNUMBER($AS298),MAX(0,INT($AS298)-INT($E298)),MAX(0,TODAY()-INT($E298))))</f>
        <v/>
      </c>
      <c r="AK285" s="30" t="n"/>
      <c r="AL285" s="30" t="n"/>
      <c r="AM285" s="30" t="n"/>
      <c r="AN285" s="39" t="n"/>
      <c r="AO285" s="30" t="n"/>
      <c r="AP285" s="30" t="n"/>
      <c r="AQ285" s="39" t="n"/>
      <c r="AR285" s="30" t="n"/>
      <c r="AS285" s="39" t="n"/>
      <c r="AT285" s="30">
        <f>IF(OR($AS298="",NOT(ISNUMBER($AS298)),$AH298=""),"",IF(INT($AS298)&lt;=$AH298,"A tiempo","Fuera de término"))</f>
        <v/>
      </c>
      <c r="AU285" s="40" t="n"/>
      <c r="AV285" s="40" t="n"/>
      <c r="AW285" s="40" t="n"/>
      <c r="AX285" s="40" t="n"/>
      <c r="AY285" s="30" t="n"/>
      <c r="AZ285" s="30" t="n"/>
      <c r="BA285" s="30" t="n"/>
    </row>
    <row r="286" ht="15.75" customHeight="1" s="57">
      <c r="A286" s="29" t="n"/>
      <c r="B286" s="30" t="n"/>
      <c r="C286" s="39" t="n"/>
      <c r="D286" s="39" t="n"/>
      <c r="E286" s="39" t="n"/>
      <c r="F286" s="40" t="n"/>
      <c r="G286" s="30" t="n"/>
      <c r="H286" s="30" t="n"/>
      <c r="I286" s="30" t="n"/>
      <c r="J286" s="30" t="n"/>
      <c r="K286" s="30" t="n"/>
      <c r="L286" s="30" t="n"/>
      <c r="M286" s="30" t="n"/>
      <c r="N286" s="30" t="n"/>
      <c r="O286" s="30" t="n"/>
      <c r="P286" s="30" t="n"/>
      <c r="Q286" s="30" t="n"/>
      <c r="R286" s="30" t="n"/>
      <c r="S286" s="30" t="n"/>
      <c r="T286" s="30" t="n"/>
      <c r="U286" s="30" t="n"/>
      <c r="V286" s="30" t="n"/>
      <c r="W286" s="30" t="n"/>
      <c r="X286" s="30" t="n"/>
      <c r="Y286" s="30" t="n"/>
      <c r="Z286" s="30" t="n"/>
      <c r="AA286" s="30" t="n"/>
      <c r="AB286" s="30" t="n"/>
      <c r="AC286" s="30" t="n"/>
      <c r="AD286" s="41" t="n"/>
      <c r="AE286" s="30" t="n"/>
      <c r="AF286" s="42">
        <f>IF($AA299="","",IF(LEFT(UPPER(TRIM($AA299)),8)="FELICITA","N/A",IF($AE299="","",IFERROR(VLOOKUP(UPPER(TRIM($AE299)),Config!$A$6:$D$8,2,FALSE),IFERROR(VLOOKUP(IF(LEFT(UPPER(TRIM($AE299)),5)="SUPER","SUPER SALUD",IF(LEFT(UPPER(TRIM($AE299)),8)="SECRETAR","SECRETARIA DE SALUD",IF(LEFT(UPPER(TRIM($AE299)),4)="SEDE","SEDE",UPPER(TRIM($AE299))))),Config!$A$6:$D$8,2,FALSE),"⚠")))))</f>
        <v/>
      </c>
      <c r="AG286" s="30">
        <f>IF($AA299="","",IF(LEFT(UPPER(TRIM($AA299)),8)="FELICITA","N/A",IF($AE299="","",IFERROR(VLOOKUP(UPPER(TRIM($AE299)),Config!$A$6:$D$8,3,FALSE),IFERROR(VLOOKUP(IF(LEFT(UPPER(TRIM($AE299)),5)="SUPER","SUPER SALUD",IF(LEFT(UPPER(TRIM($AE299)),8)="SECRETAR","SECRETARIA DE SALUD",IF(LEFT(UPPER(TRIM($AE299)),4)="SEDE","SEDE",UPPER(TRIM($AE299))))),Config!$A$6:$D$8,3,FALSE),"")))))</f>
        <v/>
      </c>
      <c r="AH286" s="39">
        <f>IF(OR($E299="",NOT(ISNUMBER($E299)),$AF299="",$AF299="N/A",NOT(ISNUMBER($AF299))),"",IF($AG299="Hábiles",WORKDAY(INT($E299),$AF299,Config!$F$6:$F$39),INT($E299)+$AF299))</f>
        <v/>
      </c>
      <c r="AI286" s="30">
        <f>IF($E299="","",IF(LEFT(UPPER(TRIM($AA299)),8)="FELICITA","⭐ Felicitación",IF(NOT(ISNUMBER($E299)),"⚠ Revisar fecha",IF(UPPER(TRIM($AK299))="RESPONDIDA - CERRADA","✅ Cerrada",IF($AE299="","⚠ Falta entidad",IF($AH299="","⚠ Revisar término",IF(TODAY()&gt;$AH299,"🔴 Vencida",IF($AH299-TODAY()&lt;=Config!$B$12,"🟡 Próxima a vencer","🟢 En término"))))))))</f>
        <v/>
      </c>
      <c r="AJ286" s="42">
        <f>IF(OR($E299="",NOT(ISNUMBER($E299))),"",IF(ISNUMBER($AS299),MAX(0,INT($AS299)-INT($E299)),MAX(0,TODAY()-INT($E299))))</f>
        <v/>
      </c>
      <c r="AK286" s="30" t="n"/>
      <c r="AL286" s="30" t="n"/>
      <c r="AM286" s="30" t="n"/>
      <c r="AN286" s="39" t="n"/>
      <c r="AO286" s="30" t="n"/>
      <c r="AP286" s="30" t="n"/>
      <c r="AQ286" s="39" t="n"/>
      <c r="AR286" s="30" t="n"/>
      <c r="AS286" s="39" t="n"/>
      <c r="AT286" s="30">
        <f>IF(OR($AS299="",NOT(ISNUMBER($AS299)),$AH299=""),"",IF(INT($AS299)&lt;=$AH299,"A tiempo","Fuera de término"))</f>
        <v/>
      </c>
      <c r="AU286" s="40" t="n"/>
      <c r="AV286" s="40" t="n"/>
      <c r="AW286" s="40" t="n"/>
      <c r="AX286" s="40" t="n"/>
      <c r="AY286" s="30" t="n"/>
      <c r="AZ286" s="30" t="n"/>
      <c r="BA286" s="30" t="n"/>
    </row>
    <row r="287" ht="15.75" customHeight="1" s="57">
      <c r="A287" s="29" t="n"/>
      <c r="B287" s="30" t="n"/>
      <c r="C287" s="39" t="n"/>
      <c r="D287" s="39" t="n"/>
      <c r="E287" s="39" t="n"/>
      <c r="F287" s="40" t="n"/>
      <c r="G287" s="30" t="n"/>
      <c r="H287" s="30" t="n"/>
      <c r="I287" s="30" t="n"/>
      <c r="J287" s="30" t="n"/>
      <c r="K287" s="30" t="n"/>
      <c r="L287" s="30" t="n"/>
      <c r="M287" s="30" t="n"/>
      <c r="N287" s="30" t="n"/>
      <c r="O287" s="30" t="n"/>
      <c r="P287" s="30" t="n"/>
      <c r="Q287" s="30" t="n"/>
      <c r="R287" s="30" t="n"/>
      <c r="S287" s="30" t="n"/>
      <c r="T287" s="30" t="n"/>
      <c r="U287" s="30" t="n"/>
      <c r="V287" s="30" t="n"/>
      <c r="W287" s="30" t="n"/>
      <c r="X287" s="30" t="n"/>
      <c r="Y287" s="30" t="n"/>
      <c r="Z287" s="30" t="n"/>
      <c r="AA287" s="30" t="n"/>
      <c r="AB287" s="30" t="n"/>
      <c r="AC287" s="30" t="n"/>
      <c r="AD287" s="41" t="n"/>
      <c r="AE287" s="30" t="n"/>
      <c r="AF287" s="42">
        <f>IF($AA300="","",IF(LEFT(UPPER(TRIM($AA300)),8)="FELICITA","N/A",IF($AE300="","",IFERROR(VLOOKUP(UPPER(TRIM($AE300)),Config!$A$6:$D$8,2,FALSE),IFERROR(VLOOKUP(IF(LEFT(UPPER(TRIM($AE300)),5)="SUPER","SUPER SALUD",IF(LEFT(UPPER(TRIM($AE300)),8)="SECRETAR","SECRETARIA DE SALUD",IF(LEFT(UPPER(TRIM($AE300)),4)="SEDE","SEDE",UPPER(TRIM($AE300))))),Config!$A$6:$D$8,2,FALSE),"⚠")))))</f>
        <v/>
      </c>
      <c r="AG287" s="30">
        <f>IF($AA300="","",IF(LEFT(UPPER(TRIM($AA300)),8)="FELICITA","N/A",IF($AE300="","",IFERROR(VLOOKUP(UPPER(TRIM($AE300)),Config!$A$6:$D$8,3,FALSE),IFERROR(VLOOKUP(IF(LEFT(UPPER(TRIM($AE300)),5)="SUPER","SUPER SALUD",IF(LEFT(UPPER(TRIM($AE300)),8)="SECRETAR","SECRETARIA DE SALUD",IF(LEFT(UPPER(TRIM($AE300)),4)="SEDE","SEDE",UPPER(TRIM($AE300))))),Config!$A$6:$D$8,3,FALSE),"")))))</f>
        <v/>
      </c>
      <c r="AH287" s="39">
        <f>IF(OR($E300="",NOT(ISNUMBER($E300)),$AF300="",$AF300="N/A",NOT(ISNUMBER($AF300))),"",IF($AG300="Hábiles",WORKDAY(INT($E300),$AF300,Config!$F$6:$F$39),INT($E300)+$AF300))</f>
        <v/>
      </c>
      <c r="AI287" s="30">
        <f>IF($E300="","",IF(LEFT(UPPER(TRIM($AA300)),8)="FELICITA","⭐ Felicitación",IF(NOT(ISNUMBER($E300)),"⚠ Revisar fecha",IF(UPPER(TRIM($AK300))="RESPONDIDA - CERRADA","✅ Cerrada",IF($AE300="","⚠ Falta entidad",IF($AH300="","⚠ Revisar término",IF(TODAY()&gt;$AH300,"🔴 Vencida",IF($AH300-TODAY()&lt;=Config!$B$12,"🟡 Próxima a vencer","🟢 En término"))))))))</f>
        <v/>
      </c>
      <c r="AJ287" s="42">
        <f>IF(OR($E300="",NOT(ISNUMBER($E300))),"",IF(ISNUMBER($AS300),MAX(0,INT($AS300)-INT($E300)),MAX(0,TODAY()-INT($E300))))</f>
        <v/>
      </c>
      <c r="AK287" s="30" t="n"/>
      <c r="AL287" s="30" t="n"/>
      <c r="AM287" s="30" t="n"/>
      <c r="AN287" s="39" t="n"/>
      <c r="AO287" s="30" t="n"/>
      <c r="AP287" s="30" t="n"/>
      <c r="AQ287" s="39" t="n"/>
      <c r="AR287" s="30" t="n"/>
      <c r="AS287" s="39" t="n"/>
      <c r="AT287" s="30">
        <f>IF(OR($AS300="",NOT(ISNUMBER($AS300)),$AH300=""),"",IF(INT($AS300)&lt;=$AH300,"A tiempo","Fuera de término"))</f>
        <v/>
      </c>
      <c r="AU287" s="40" t="n"/>
      <c r="AV287" s="40" t="n"/>
      <c r="AW287" s="40" t="n"/>
      <c r="AX287" s="40" t="n"/>
      <c r="AY287" s="30" t="n"/>
      <c r="AZ287" s="30" t="n"/>
      <c r="BA287" s="30" t="n"/>
    </row>
    <row r="288" ht="15.75" customHeight="1" s="57">
      <c r="A288" s="29" t="n"/>
      <c r="B288" s="30" t="n"/>
      <c r="C288" s="39" t="n"/>
      <c r="D288" s="39" t="n"/>
      <c r="E288" s="39" t="n"/>
      <c r="F288" s="40" t="n"/>
      <c r="G288" s="30" t="n"/>
      <c r="H288" s="30" t="n"/>
      <c r="I288" s="30" t="n"/>
      <c r="J288" s="30" t="n"/>
      <c r="K288" s="30" t="n"/>
      <c r="L288" s="30" t="n"/>
      <c r="M288" s="30" t="n"/>
      <c r="N288" s="30" t="n"/>
      <c r="O288" s="30" t="n"/>
      <c r="P288" s="30" t="n"/>
      <c r="Q288" s="30" t="n"/>
      <c r="R288" s="30" t="n"/>
      <c r="S288" s="30" t="n"/>
      <c r="T288" s="30" t="n"/>
      <c r="U288" s="30" t="n"/>
      <c r="V288" s="30" t="n"/>
      <c r="W288" s="30" t="n"/>
      <c r="X288" s="30" t="n"/>
      <c r="Y288" s="30" t="n"/>
      <c r="Z288" s="30" t="n"/>
      <c r="AA288" s="30" t="n"/>
      <c r="AB288" s="30" t="n"/>
      <c r="AC288" s="30" t="n"/>
      <c r="AD288" s="41" t="n"/>
      <c r="AE288" s="30" t="n"/>
      <c r="AF288" s="42">
        <f>IF($AA301="","",IF(LEFT(UPPER(TRIM($AA301)),8)="FELICITA","N/A",IF($AE301="","",IFERROR(VLOOKUP(UPPER(TRIM($AE301)),Config!$A$6:$D$8,2,FALSE),IFERROR(VLOOKUP(IF(LEFT(UPPER(TRIM($AE301)),5)="SUPER","SUPER SALUD",IF(LEFT(UPPER(TRIM($AE301)),8)="SECRETAR","SECRETARIA DE SALUD",IF(LEFT(UPPER(TRIM($AE301)),4)="SEDE","SEDE",UPPER(TRIM($AE301))))),Config!$A$6:$D$8,2,FALSE),"⚠")))))</f>
        <v/>
      </c>
      <c r="AG288" s="30">
        <f>IF($AA301="","",IF(LEFT(UPPER(TRIM($AA301)),8)="FELICITA","N/A",IF($AE301="","",IFERROR(VLOOKUP(UPPER(TRIM($AE301)),Config!$A$6:$D$8,3,FALSE),IFERROR(VLOOKUP(IF(LEFT(UPPER(TRIM($AE301)),5)="SUPER","SUPER SALUD",IF(LEFT(UPPER(TRIM($AE301)),8)="SECRETAR","SECRETARIA DE SALUD",IF(LEFT(UPPER(TRIM($AE301)),4)="SEDE","SEDE",UPPER(TRIM($AE301))))),Config!$A$6:$D$8,3,FALSE),"")))))</f>
        <v/>
      </c>
      <c r="AH288" s="39">
        <f>IF(OR($E301="",NOT(ISNUMBER($E301)),$AF301="",$AF301="N/A",NOT(ISNUMBER($AF301))),"",IF($AG301="Hábiles",WORKDAY(INT($E301),$AF301,Config!$F$6:$F$39),INT($E301)+$AF301))</f>
        <v/>
      </c>
      <c r="AI288" s="30">
        <f>IF($E301="","",IF(LEFT(UPPER(TRIM($AA301)),8)="FELICITA","⭐ Felicitación",IF(NOT(ISNUMBER($E301)),"⚠ Revisar fecha",IF(UPPER(TRIM($AK301))="RESPONDIDA - CERRADA","✅ Cerrada",IF($AE301="","⚠ Falta entidad",IF($AH301="","⚠ Revisar término",IF(TODAY()&gt;$AH301,"🔴 Vencida",IF($AH301-TODAY()&lt;=Config!$B$12,"🟡 Próxima a vencer","🟢 En término"))))))))</f>
        <v/>
      </c>
      <c r="AJ288" s="42">
        <f>IF(OR($E301="",NOT(ISNUMBER($E301))),"",IF(ISNUMBER($AS301),MAX(0,INT($AS301)-INT($E301)),MAX(0,TODAY()-INT($E301))))</f>
        <v/>
      </c>
      <c r="AK288" s="30" t="n"/>
      <c r="AL288" s="30" t="n"/>
      <c r="AM288" s="30" t="n"/>
      <c r="AN288" s="39" t="n"/>
      <c r="AO288" s="30" t="n"/>
      <c r="AP288" s="30" t="n"/>
      <c r="AQ288" s="39" t="n"/>
      <c r="AR288" s="30" t="n"/>
      <c r="AS288" s="39" t="n"/>
      <c r="AT288" s="30">
        <f>IF(OR($AS301="",NOT(ISNUMBER($AS301)),$AH301=""),"",IF(INT($AS301)&lt;=$AH301,"A tiempo","Fuera de término"))</f>
        <v/>
      </c>
      <c r="AU288" s="40" t="n"/>
      <c r="AV288" s="40" t="n"/>
      <c r="AW288" s="40" t="n"/>
      <c r="AX288" s="40" t="n"/>
      <c r="AY288" s="30" t="n"/>
      <c r="AZ288" s="30" t="n"/>
      <c r="BA288" s="30" t="n"/>
    </row>
    <row r="289" ht="15.75" customHeight="1" s="57">
      <c r="A289" s="29" t="n"/>
      <c r="B289" s="30" t="n"/>
      <c r="C289" s="39" t="n"/>
      <c r="D289" s="39" t="n"/>
      <c r="E289" s="39" t="n"/>
      <c r="F289" s="40" t="n"/>
      <c r="G289" s="30" t="n"/>
      <c r="H289" s="30" t="n"/>
      <c r="I289" s="30" t="n"/>
      <c r="J289" s="30" t="n"/>
      <c r="K289" s="30" t="n"/>
      <c r="L289" s="30" t="n"/>
      <c r="M289" s="30" t="n"/>
      <c r="N289" s="30" t="n"/>
      <c r="O289" s="30" t="n"/>
      <c r="P289" s="30" t="n"/>
      <c r="Q289" s="30" t="n"/>
      <c r="R289" s="30" t="n"/>
      <c r="S289" s="30" t="n"/>
      <c r="T289" s="30" t="n"/>
      <c r="U289" s="30" t="n"/>
      <c r="V289" s="30" t="n"/>
      <c r="W289" s="30" t="n"/>
      <c r="X289" s="30" t="n"/>
      <c r="Y289" s="30" t="n"/>
      <c r="Z289" s="30" t="n"/>
      <c r="AA289" s="30" t="n"/>
      <c r="AB289" s="30" t="n"/>
      <c r="AC289" s="30" t="n"/>
      <c r="AD289" s="41" t="n"/>
      <c r="AE289" s="30" t="n"/>
      <c r="AF289" s="42">
        <f>IF($AA302="","",IF(LEFT(UPPER(TRIM($AA302)),8)="FELICITA","N/A",IF($AE302="","",IFERROR(VLOOKUP(UPPER(TRIM($AE302)),Config!$A$6:$D$8,2,FALSE),IFERROR(VLOOKUP(IF(LEFT(UPPER(TRIM($AE302)),5)="SUPER","SUPER SALUD",IF(LEFT(UPPER(TRIM($AE302)),8)="SECRETAR","SECRETARIA DE SALUD",IF(LEFT(UPPER(TRIM($AE302)),4)="SEDE","SEDE",UPPER(TRIM($AE302))))),Config!$A$6:$D$8,2,FALSE),"⚠")))))</f>
        <v/>
      </c>
      <c r="AG289" s="30">
        <f>IF($AA302="","",IF(LEFT(UPPER(TRIM($AA302)),8)="FELICITA","N/A",IF($AE302="","",IFERROR(VLOOKUP(UPPER(TRIM($AE302)),Config!$A$6:$D$8,3,FALSE),IFERROR(VLOOKUP(IF(LEFT(UPPER(TRIM($AE302)),5)="SUPER","SUPER SALUD",IF(LEFT(UPPER(TRIM($AE302)),8)="SECRETAR","SECRETARIA DE SALUD",IF(LEFT(UPPER(TRIM($AE302)),4)="SEDE","SEDE",UPPER(TRIM($AE302))))),Config!$A$6:$D$8,3,FALSE),"")))))</f>
        <v/>
      </c>
      <c r="AH289" s="39">
        <f>IF(OR($E302="",NOT(ISNUMBER($E302)),$AF302="",$AF302="N/A",NOT(ISNUMBER($AF302))),"",IF($AG302="Hábiles",WORKDAY(INT($E302),$AF302,Config!$F$6:$F$39),INT($E302)+$AF302))</f>
        <v/>
      </c>
      <c r="AI289" s="30">
        <f>IF($E302="","",IF(LEFT(UPPER(TRIM($AA302)),8)="FELICITA","⭐ Felicitación",IF(NOT(ISNUMBER($E302)),"⚠ Revisar fecha",IF(UPPER(TRIM($AK302))="RESPONDIDA - CERRADA","✅ Cerrada",IF($AE302="","⚠ Falta entidad",IF($AH302="","⚠ Revisar término",IF(TODAY()&gt;$AH302,"🔴 Vencida",IF($AH302-TODAY()&lt;=Config!$B$12,"🟡 Próxima a vencer","🟢 En término"))))))))</f>
        <v/>
      </c>
      <c r="AJ289" s="42">
        <f>IF(OR($E302="",NOT(ISNUMBER($E302))),"",IF(ISNUMBER($AS302),MAX(0,INT($AS302)-INT($E302)),MAX(0,TODAY()-INT($E302))))</f>
        <v/>
      </c>
      <c r="AK289" s="30" t="n"/>
      <c r="AL289" s="30" t="n"/>
      <c r="AM289" s="30" t="n"/>
      <c r="AN289" s="39" t="n"/>
      <c r="AO289" s="30" t="n"/>
      <c r="AP289" s="30" t="n"/>
      <c r="AQ289" s="39" t="n"/>
      <c r="AR289" s="30" t="n"/>
      <c r="AS289" s="39" t="n"/>
      <c r="AT289" s="30">
        <f>IF(OR($AS302="",NOT(ISNUMBER($AS302)),$AH302=""),"",IF(INT($AS302)&lt;=$AH302,"A tiempo","Fuera de término"))</f>
        <v/>
      </c>
      <c r="AU289" s="40" t="n"/>
      <c r="AV289" s="40" t="n"/>
      <c r="AW289" s="40" t="n"/>
      <c r="AX289" s="40" t="n"/>
      <c r="AY289" s="30" t="n"/>
      <c r="AZ289" s="30" t="n"/>
      <c r="BA289" s="30" t="n"/>
    </row>
    <row r="290" ht="15.75" customHeight="1" s="57">
      <c r="A290" s="29" t="n"/>
      <c r="B290" s="30" t="n"/>
      <c r="C290" s="39" t="n"/>
      <c r="D290" s="39" t="n"/>
      <c r="E290" s="39" t="n"/>
      <c r="F290" s="40" t="n"/>
      <c r="G290" s="30" t="n"/>
      <c r="H290" s="30" t="n"/>
      <c r="I290" s="30" t="n"/>
      <c r="J290" s="30" t="n"/>
      <c r="K290" s="30" t="n"/>
      <c r="L290" s="30" t="n"/>
      <c r="M290" s="30" t="n"/>
      <c r="N290" s="30" t="n"/>
      <c r="O290" s="30" t="n"/>
      <c r="P290" s="30" t="n"/>
      <c r="Q290" s="30" t="n"/>
      <c r="R290" s="30" t="n"/>
      <c r="S290" s="30" t="n"/>
      <c r="T290" s="30" t="n"/>
      <c r="U290" s="30" t="n"/>
      <c r="V290" s="30" t="n"/>
      <c r="W290" s="30" t="n"/>
      <c r="X290" s="30" t="n"/>
      <c r="Y290" s="30" t="n"/>
      <c r="Z290" s="30" t="n"/>
      <c r="AA290" s="30" t="n"/>
      <c r="AB290" s="30" t="n"/>
      <c r="AC290" s="30" t="n"/>
      <c r="AD290" s="41" t="n"/>
      <c r="AE290" s="30" t="n"/>
      <c r="AF290" s="42">
        <f>IF($AA303="","",IF(LEFT(UPPER(TRIM($AA303)),8)="FELICITA","N/A",IF($AE303="","",IFERROR(VLOOKUP(UPPER(TRIM($AE303)),Config!$A$6:$D$8,2,FALSE),IFERROR(VLOOKUP(IF(LEFT(UPPER(TRIM($AE303)),5)="SUPER","SUPER SALUD",IF(LEFT(UPPER(TRIM($AE303)),8)="SECRETAR","SECRETARIA DE SALUD",IF(LEFT(UPPER(TRIM($AE303)),4)="SEDE","SEDE",UPPER(TRIM($AE303))))),Config!$A$6:$D$8,2,FALSE),"⚠")))))</f>
        <v/>
      </c>
      <c r="AG290" s="30">
        <f>IF($AA303="","",IF(LEFT(UPPER(TRIM($AA303)),8)="FELICITA","N/A",IF($AE303="","",IFERROR(VLOOKUP(UPPER(TRIM($AE303)),Config!$A$6:$D$8,3,FALSE),IFERROR(VLOOKUP(IF(LEFT(UPPER(TRIM($AE303)),5)="SUPER","SUPER SALUD",IF(LEFT(UPPER(TRIM($AE303)),8)="SECRETAR","SECRETARIA DE SALUD",IF(LEFT(UPPER(TRIM($AE303)),4)="SEDE","SEDE",UPPER(TRIM($AE303))))),Config!$A$6:$D$8,3,FALSE),"")))))</f>
        <v/>
      </c>
      <c r="AH290" s="39">
        <f>IF(OR($E303="",NOT(ISNUMBER($E303)),$AF303="",$AF303="N/A",NOT(ISNUMBER($AF303))),"",IF($AG303="Hábiles",WORKDAY(INT($E303),$AF303,Config!$F$6:$F$39),INT($E303)+$AF303))</f>
        <v/>
      </c>
      <c r="AI290" s="30">
        <f>IF($E303="","",IF(LEFT(UPPER(TRIM($AA303)),8)="FELICITA","⭐ Felicitación",IF(NOT(ISNUMBER($E303)),"⚠ Revisar fecha",IF(UPPER(TRIM($AK303))="RESPONDIDA - CERRADA","✅ Cerrada",IF($AE303="","⚠ Falta entidad",IF($AH303="","⚠ Revisar término",IF(TODAY()&gt;$AH303,"🔴 Vencida",IF($AH303-TODAY()&lt;=Config!$B$12,"🟡 Próxima a vencer","🟢 En término"))))))))</f>
        <v/>
      </c>
      <c r="AJ290" s="42">
        <f>IF(OR($E303="",NOT(ISNUMBER($E303))),"",IF(ISNUMBER($AS303),MAX(0,INT($AS303)-INT($E303)),MAX(0,TODAY()-INT($E303))))</f>
        <v/>
      </c>
      <c r="AK290" s="30" t="n"/>
      <c r="AL290" s="30" t="n"/>
      <c r="AM290" s="30" t="n"/>
      <c r="AN290" s="39" t="n"/>
      <c r="AO290" s="30" t="n"/>
      <c r="AP290" s="30" t="n"/>
      <c r="AQ290" s="39" t="n"/>
      <c r="AR290" s="30" t="n"/>
      <c r="AS290" s="39" t="n"/>
      <c r="AT290" s="30">
        <f>IF(OR($AS303="",NOT(ISNUMBER($AS303)),$AH303=""),"",IF(INT($AS303)&lt;=$AH303,"A tiempo","Fuera de término"))</f>
        <v/>
      </c>
      <c r="AU290" s="40" t="n"/>
      <c r="AV290" s="40" t="n"/>
      <c r="AW290" s="40" t="n"/>
      <c r="AX290" s="40" t="n"/>
      <c r="AY290" s="30" t="n"/>
      <c r="AZ290" s="30" t="n"/>
      <c r="BA290" s="30" t="n"/>
    </row>
    <row r="291" ht="15.75" customHeight="1" s="57">
      <c r="A291" s="29" t="n"/>
      <c r="B291" s="30" t="n"/>
      <c r="C291" s="39" t="n"/>
      <c r="D291" s="39" t="n"/>
      <c r="E291" s="39" t="n"/>
      <c r="F291" s="40" t="n"/>
      <c r="G291" s="30" t="n"/>
      <c r="H291" s="30" t="n"/>
      <c r="I291" s="30" t="n"/>
      <c r="J291" s="30" t="n"/>
      <c r="K291" s="30" t="n"/>
      <c r="L291" s="30" t="n"/>
      <c r="M291" s="30" t="n"/>
      <c r="N291" s="30" t="n"/>
      <c r="O291" s="30" t="n"/>
      <c r="P291" s="30" t="n"/>
      <c r="Q291" s="30" t="n"/>
      <c r="R291" s="30" t="n"/>
      <c r="S291" s="30" t="n"/>
      <c r="T291" s="30" t="n"/>
      <c r="U291" s="30" t="n"/>
      <c r="V291" s="30" t="n"/>
      <c r="W291" s="30" t="n"/>
      <c r="X291" s="30" t="n"/>
      <c r="Y291" s="30" t="n"/>
      <c r="Z291" s="30" t="n"/>
      <c r="AA291" s="30" t="n"/>
      <c r="AB291" s="30" t="n"/>
      <c r="AC291" s="30" t="n"/>
      <c r="AD291" s="41" t="n"/>
      <c r="AE291" s="30" t="n"/>
      <c r="AF291" s="42">
        <f>IF($AA304="","",IF(LEFT(UPPER(TRIM($AA304)),8)="FELICITA","N/A",IF($AE304="","",IFERROR(VLOOKUP(UPPER(TRIM($AE304)),Config!$A$6:$D$8,2,FALSE),IFERROR(VLOOKUP(IF(LEFT(UPPER(TRIM($AE304)),5)="SUPER","SUPER SALUD",IF(LEFT(UPPER(TRIM($AE304)),8)="SECRETAR","SECRETARIA DE SALUD",IF(LEFT(UPPER(TRIM($AE304)),4)="SEDE","SEDE",UPPER(TRIM($AE304))))),Config!$A$6:$D$8,2,FALSE),"⚠")))))</f>
        <v/>
      </c>
      <c r="AG291" s="30">
        <f>IF($AA304="","",IF(LEFT(UPPER(TRIM($AA304)),8)="FELICITA","N/A",IF($AE304="","",IFERROR(VLOOKUP(UPPER(TRIM($AE304)),Config!$A$6:$D$8,3,FALSE),IFERROR(VLOOKUP(IF(LEFT(UPPER(TRIM($AE304)),5)="SUPER","SUPER SALUD",IF(LEFT(UPPER(TRIM($AE304)),8)="SECRETAR","SECRETARIA DE SALUD",IF(LEFT(UPPER(TRIM($AE304)),4)="SEDE","SEDE",UPPER(TRIM($AE304))))),Config!$A$6:$D$8,3,FALSE),"")))))</f>
        <v/>
      </c>
      <c r="AH291" s="39">
        <f>IF(OR($E304="",NOT(ISNUMBER($E304)),$AF304="",$AF304="N/A",NOT(ISNUMBER($AF304))),"",IF($AG304="Hábiles",WORKDAY(INT($E304),$AF304,Config!$F$6:$F$39),INT($E304)+$AF304))</f>
        <v/>
      </c>
      <c r="AI291" s="30">
        <f>IF($E304="","",IF(LEFT(UPPER(TRIM($AA304)),8)="FELICITA","⭐ Felicitación",IF(NOT(ISNUMBER($E304)),"⚠ Revisar fecha",IF(UPPER(TRIM($AK304))="RESPONDIDA - CERRADA","✅ Cerrada",IF($AE304="","⚠ Falta entidad",IF($AH304="","⚠ Revisar término",IF(TODAY()&gt;$AH304,"🔴 Vencida",IF($AH304-TODAY()&lt;=Config!$B$12,"🟡 Próxima a vencer","🟢 En término"))))))))</f>
        <v/>
      </c>
      <c r="AJ291" s="42">
        <f>IF(OR($E304="",NOT(ISNUMBER($E304))),"",IF(ISNUMBER($AS304),MAX(0,INT($AS304)-INT($E304)),MAX(0,TODAY()-INT($E304))))</f>
        <v/>
      </c>
      <c r="AK291" s="30" t="n"/>
      <c r="AL291" s="30" t="n"/>
      <c r="AM291" s="30" t="n"/>
      <c r="AN291" s="39" t="n"/>
      <c r="AO291" s="30" t="n"/>
      <c r="AP291" s="30" t="n"/>
      <c r="AQ291" s="39" t="n"/>
      <c r="AR291" s="30" t="n"/>
      <c r="AS291" s="39" t="n"/>
      <c r="AT291" s="30">
        <f>IF(OR($AS304="",NOT(ISNUMBER($AS304)),$AH304=""),"",IF(INT($AS304)&lt;=$AH304,"A tiempo","Fuera de término"))</f>
        <v/>
      </c>
      <c r="AU291" s="40" t="n"/>
      <c r="AV291" s="40" t="n"/>
      <c r="AW291" s="40" t="n"/>
      <c r="AX291" s="40" t="n"/>
      <c r="AY291" s="30" t="n"/>
      <c r="AZ291" s="30" t="n"/>
      <c r="BA291" s="30" t="n"/>
    </row>
    <row r="292" ht="15.75" customHeight="1" s="57">
      <c r="A292" s="29" t="n"/>
      <c r="B292" s="30" t="n"/>
      <c r="C292" s="39" t="n"/>
      <c r="D292" s="39" t="n"/>
      <c r="E292" s="39" t="n"/>
      <c r="F292" s="40" t="n"/>
      <c r="G292" s="30" t="n"/>
      <c r="H292" s="30" t="n"/>
      <c r="I292" s="30" t="n"/>
      <c r="J292" s="30" t="n"/>
      <c r="K292" s="30" t="n"/>
      <c r="L292" s="30" t="n"/>
      <c r="M292" s="30" t="n"/>
      <c r="N292" s="30" t="n"/>
      <c r="O292" s="30" t="n"/>
      <c r="P292" s="30" t="n"/>
      <c r="Q292" s="30" t="n"/>
      <c r="R292" s="30" t="n"/>
      <c r="S292" s="30" t="n"/>
      <c r="T292" s="30" t="n"/>
      <c r="U292" s="30" t="n"/>
      <c r="V292" s="30" t="n"/>
      <c r="W292" s="30" t="n"/>
      <c r="X292" s="30" t="n"/>
      <c r="Y292" s="30" t="n"/>
      <c r="Z292" s="30" t="n"/>
      <c r="AA292" s="30" t="n"/>
      <c r="AB292" s="30" t="n"/>
      <c r="AC292" s="30" t="n"/>
      <c r="AD292" s="41" t="n"/>
      <c r="AE292" s="30" t="n"/>
      <c r="AF292" s="42">
        <f>IF($AA305="","",IF(LEFT(UPPER(TRIM($AA305)),8)="FELICITA","N/A",IF($AE305="","",IFERROR(VLOOKUP(UPPER(TRIM($AE305)),Config!$A$6:$D$8,2,FALSE),IFERROR(VLOOKUP(IF(LEFT(UPPER(TRIM($AE305)),5)="SUPER","SUPER SALUD",IF(LEFT(UPPER(TRIM($AE305)),8)="SECRETAR","SECRETARIA DE SALUD",IF(LEFT(UPPER(TRIM($AE305)),4)="SEDE","SEDE",UPPER(TRIM($AE305))))),Config!$A$6:$D$8,2,FALSE),"⚠")))))</f>
        <v/>
      </c>
      <c r="AG292" s="30">
        <f>IF($AA305="","",IF(LEFT(UPPER(TRIM($AA305)),8)="FELICITA","N/A",IF($AE305="","",IFERROR(VLOOKUP(UPPER(TRIM($AE305)),Config!$A$6:$D$8,3,FALSE),IFERROR(VLOOKUP(IF(LEFT(UPPER(TRIM($AE305)),5)="SUPER","SUPER SALUD",IF(LEFT(UPPER(TRIM($AE305)),8)="SECRETAR","SECRETARIA DE SALUD",IF(LEFT(UPPER(TRIM($AE305)),4)="SEDE","SEDE",UPPER(TRIM($AE305))))),Config!$A$6:$D$8,3,FALSE),"")))))</f>
        <v/>
      </c>
      <c r="AH292" s="39">
        <f>IF(OR($E305="",NOT(ISNUMBER($E305)),$AF305="",$AF305="N/A",NOT(ISNUMBER($AF305))),"",IF($AG305="Hábiles",WORKDAY(INT($E305),$AF305,Config!$F$6:$F$39),INT($E305)+$AF305))</f>
        <v/>
      </c>
      <c r="AI292" s="30">
        <f>IF($E305="","",IF(LEFT(UPPER(TRIM($AA305)),8)="FELICITA","⭐ Felicitación",IF(NOT(ISNUMBER($E305)),"⚠ Revisar fecha",IF(UPPER(TRIM($AK305))="RESPONDIDA - CERRADA","✅ Cerrada",IF($AE305="","⚠ Falta entidad",IF($AH305="","⚠ Revisar término",IF(TODAY()&gt;$AH305,"🔴 Vencida",IF($AH305-TODAY()&lt;=Config!$B$12,"🟡 Próxima a vencer","🟢 En término"))))))))</f>
        <v/>
      </c>
      <c r="AJ292" s="42">
        <f>IF(OR($E305="",NOT(ISNUMBER($E305))),"",IF(ISNUMBER($AS305),MAX(0,INT($AS305)-INT($E305)),MAX(0,TODAY()-INT($E305))))</f>
        <v/>
      </c>
      <c r="AK292" s="30" t="n"/>
      <c r="AL292" s="30" t="n"/>
      <c r="AM292" s="30" t="n"/>
      <c r="AN292" s="39" t="n"/>
      <c r="AO292" s="30" t="n"/>
      <c r="AP292" s="30" t="n"/>
      <c r="AQ292" s="39" t="n"/>
      <c r="AR292" s="30" t="n"/>
      <c r="AS292" s="39" t="n"/>
      <c r="AT292" s="30">
        <f>IF(OR($AS305="",NOT(ISNUMBER($AS305)),$AH305=""),"",IF(INT($AS305)&lt;=$AH305,"A tiempo","Fuera de término"))</f>
        <v/>
      </c>
      <c r="AU292" s="40" t="n"/>
      <c r="AV292" s="40" t="n"/>
      <c r="AW292" s="40" t="n"/>
      <c r="AX292" s="40" t="n"/>
      <c r="AY292" s="30" t="n"/>
      <c r="AZ292" s="30" t="n"/>
      <c r="BA292" s="30" t="n"/>
    </row>
    <row r="293" ht="15.75" customHeight="1" s="57">
      <c r="A293" s="29" t="n"/>
      <c r="B293" s="30" t="n"/>
      <c r="C293" s="39" t="n"/>
      <c r="D293" s="39" t="n"/>
      <c r="E293" s="39" t="n"/>
      <c r="F293" s="40" t="n"/>
      <c r="G293" s="30" t="n"/>
      <c r="H293" s="30" t="n"/>
      <c r="I293" s="30" t="n"/>
      <c r="J293" s="30" t="n"/>
      <c r="K293" s="30" t="n"/>
      <c r="L293" s="30" t="n"/>
      <c r="M293" s="30" t="n"/>
      <c r="N293" s="30" t="n"/>
      <c r="O293" s="30" t="n"/>
      <c r="P293" s="30" t="n"/>
      <c r="Q293" s="30" t="n"/>
      <c r="R293" s="30" t="n"/>
      <c r="S293" s="30" t="n"/>
      <c r="T293" s="30" t="n"/>
      <c r="U293" s="30" t="n"/>
      <c r="V293" s="30" t="n"/>
      <c r="W293" s="30" t="n"/>
      <c r="X293" s="30" t="n"/>
      <c r="Y293" s="30" t="n"/>
      <c r="Z293" s="30" t="n"/>
      <c r="AA293" s="30" t="n"/>
      <c r="AB293" s="30" t="n"/>
      <c r="AC293" s="30" t="n"/>
      <c r="AD293" s="41" t="n"/>
      <c r="AE293" s="30" t="n"/>
      <c r="AF293" s="42">
        <f>IF($AA306="","",IF(LEFT(UPPER(TRIM($AA306)),8)="FELICITA","N/A",IF($AE306="","",IFERROR(VLOOKUP(UPPER(TRIM($AE306)),Config!$A$6:$D$8,2,FALSE),IFERROR(VLOOKUP(IF(LEFT(UPPER(TRIM($AE306)),5)="SUPER","SUPER SALUD",IF(LEFT(UPPER(TRIM($AE306)),8)="SECRETAR","SECRETARIA DE SALUD",IF(LEFT(UPPER(TRIM($AE306)),4)="SEDE","SEDE",UPPER(TRIM($AE306))))),Config!$A$6:$D$8,2,FALSE),"⚠")))))</f>
        <v/>
      </c>
      <c r="AG293" s="30">
        <f>IF($AA306="","",IF(LEFT(UPPER(TRIM($AA306)),8)="FELICITA","N/A",IF($AE306="","",IFERROR(VLOOKUP(UPPER(TRIM($AE306)),Config!$A$6:$D$8,3,FALSE),IFERROR(VLOOKUP(IF(LEFT(UPPER(TRIM($AE306)),5)="SUPER","SUPER SALUD",IF(LEFT(UPPER(TRIM($AE306)),8)="SECRETAR","SECRETARIA DE SALUD",IF(LEFT(UPPER(TRIM($AE306)),4)="SEDE","SEDE",UPPER(TRIM($AE306))))),Config!$A$6:$D$8,3,FALSE),"")))))</f>
        <v/>
      </c>
      <c r="AH293" s="39">
        <f>IF(OR($E306="",NOT(ISNUMBER($E306)),$AF306="",$AF306="N/A",NOT(ISNUMBER($AF306))),"",IF($AG306="Hábiles",WORKDAY(INT($E306),$AF306,Config!$F$6:$F$39),INT($E306)+$AF306))</f>
        <v/>
      </c>
      <c r="AI293" s="30">
        <f>IF($E306="","",IF(LEFT(UPPER(TRIM($AA306)),8)="FELICITA","⭐ Felicitación",IF(NOT(ISNUMBER($E306)),"⚠ Revisar fecha",IF(UPPER(TRIM($AK306))="RESPONDIDA - CERRADA","✅ Cerrada",IF($AE306="","⚠ Falta entidad",IF($AH306="","⚠ Revisar término",IF(TODAY()&gt;$AH306,"🔴 Vencida",IF($AH306-TODAY()&lt;=Config!$B$12,"🟡 Próxima a vencer","🟢 En término"))))))))</f>
        <v/>
      </c>
      <c r="AJ293" s="42">
        <f>IF(OR($E306="",NOT(ISNUMBER($E306))),"",IF(ISNUMBER($AS306),MAX(0,INT($AS306)-INT($E306)),MAX(0,TODAY()-INT($E306))))</f>
        <v/>
      </c>
      <c r="AK293" s="30" t="n"/>
      <c r="AL293" s="30" t="n"/>
      <c r="AM293" s="30" t="n"/>
      <c r="AN293" s="39" t="n"/>
      <c r="AO293" s="30" t="n"/>
      <c r="AP293" s="30" t="n"/>
      <c r="AQ293" s="39" t="n"/>
      <c r="AR293" s="30" t="n"/>
      <c r="AS293" s="39" t="n"/>
      <c r="AT293" s="30">
        <f>IF(OR($AS306="",NOT(ISNUMBER($AS306)),$AH306=""),"",IF(INT($AS306)&lt;=$AH306,"A tiempo","Fuera de término"))</f>
        <v/>
      </c>
      <c r="AU293" s="40" t="n"/>
      <c r="AV293" s="40" t="n"/>
      <c r="AW293" s="40" t="n"/>
      <c r="AX293" s="40" t="n"/>
      <c r="AY293" s="30" t="n"/>
      <c r="AZ293" s="30" t="n"/>
      <c r="BA293" s="30" t="n"/>
    </row>
    <row r="294" ht="15.75" customHeight="1" s="57">
      <c r="A294" s="29" t="n"/>
      <c r="B294" s="30" t="n"/>
      <c r="C294" s="39" t="n"/>
      <c r="D294" s="39" t="n"/>
      <c r="E294" s="39" t="n"/>
      <c r="F294" s="40" t="n"/>
      <c r="G294" s="30" t="n"/>
      <c r="H294" s="30" t="n"/>
      <c r="I294" s="30" t="n"/>
      <c r="J294" s="30" t="n"/>
      <c r="K294" s="30" t="n"/>
      <c r="L294" s="30" t="n"/>
      <c r="M294" s="30" t="n"/>
      <c r="N294" s="30" t="n"/>
      <c r="O294" s="30" t="n"/>
      <c r="P294" s="30" t="n"/>
      <c r="Q294" s="30" t="n"/>
      <c r="R294" s="30" t="n"/>
      <c r="S294" s="30" t="n"/>
      <c r="T294" s="30" t="n"/>
      <c r="U294" s="30" t="n"/>
      <c r="V294" s="30" t="n"/>
      <c r="W294" s="30" t="n"/>
      <c r="X294" s="30" t="n"/>
      <c r="Y294" s="30" t="n"/>
      <c r="Z294" s="30" t="n"/>
      <c r="AA294" s="30" t="n"/>
      <c r="AB294" s="30" t="n"/>
      <c r="AC294" s="30" t="n"/>
      <c r="AD294" s="41" t="n"/>
      <c r="AE294" s="30" t="n"/>
      <c r="AF294" s="42">
        <f>IF($AA307="","",IF(LEFT(UPPER(TRIM($AA307)),8)="FELICITA","N/A",IF($AE307="","",IFERROR(VLOOKUP(UPPER(TRIM($AE307)),Config!$A$6:$D$8,2,FALSE),IFERROR(VLOOKUP(IF(LEFT(UPPER(TRIM($AE307)),5)="SUPER","SUPER SALUD",IF(LEFT(UPPER(TRIM($AE307)),8)="SECRETAR","SECRETARIA DE SALUD",IF(LEFT(UPPER(TRIM($AE307)),4)="SEDE","SEDE",UPPER(TRIM($AE307))))),Config!$A$6:$D$8,2,FALSE),"⚠")))))</f>
        <v/>
      </c>
      <c r="AG294" s="30">
        <f>IF($AA307="","",IF(LEFT(UPPER(TRIM($AA307)),8)="FELICITA","N/A",IF($AE307="","",IFERROR(VLOOKUP(UPPER(TRIM($AE307)),Config!$A$6:$D$8,3,FALSE),IFERROR(VLOOKUP(IF(LEFT(UPPER(TRIM($AE307)),5)="SUPER","SUPER SALUD",IF(LEFT(UPPER(TRIM($AE307)),8)="SECRETAR","SECRETARIA DE SALUD",IF(LEFT(UPPER(TRIM($AE307)),4)="SEDE","SEDE",UPPER(TRIM($AE307))))),Config!$A$6:$D$8,3,FALSE),"")))))</f>
        <v/>
      </c>
      <c r="AH294" s="39">
        <f>IF(OR($E307="",NOT(ISNUMBER($E307)),$AF307="",$AF307="N/A",NOT(ISNUMBER($AF307))),"",IF($AG307="Hábiles",WORKDAY(INT($E307),$AF307,Config!$F$6:$F$39),INT($E307)+$AF307))</f>
        <v/>
      </c>
      <c r="AI294" s="30">
        <f>IF($E307="","",IF(LEFT(UPPER(TRIM($AA307)),8)="FELICITA","⭐ Felicitación",IF(NOT(ISNUMBER($E307)),"⚠ Revisar fecha",IF(UPPER(TRIM($AK307))="RESPONDIDA - CERRADA","✅ Cerrada",IF($AE307="","⚠ Falta entidad",IF($AH307="","⚠ Revisar término",IF(TODAY()&gt;$AH307,"🔴 Vencida",IF($AH307-TODAY()&lt;=Config!$B$12,"🟡 Próxima a vencer","🟢 En término"))))))))</f>
        <v/>
      </c>
      <c r="AJ294" s="42">
        <f>IF(OR($E307="",NOT(ISNUMBER($E307))),"",IF(ISNUMBER($AS307),MAX(0,INT($AS307)-INT($E307)),MAX(0,TODAY()-INT($E307))))</f>
        <v/>
      </c>
      <c r="AK294" s="30" t="n"/>
      <c r="AL294" s="30" t="n"/>
      <c r="AM294" s="30" t="n"/>
      <c r="AN294" s="39" t="n"/>
      <c r="AO294" s="30" t="n"/>
      <c r="AP294" s="30" t="n"/>
      <c r="AQ294" s="39" t="n"/>
      <c r="AR294" s="30" t="n"/>
      <c r="AS294" s="39" t="n"/>
      <c r="AT294" s="30">
        <f>IF(OR($AS307="",NOT(ISNUMBER($AS307)),$AH307=""),"",IF(INT($AS307)&lt;=$AH307,"A tiempo","Fuera de término"))</f>
        <v/>
      </c>
      <c r="AU294" s="40" t="n"/>
      <c r="AV294" s="40" t="n"/>
      <c r="AW294" s="40" t="n"/>
      <c r="AX294" s="40" t="n"/>
      <c r="AY294" s="30" t="n"/>
      <c r="AZ294" s="30" t="n"/>
      <c r="BA294" s="30" t="n"/>
    </row>
    <row r="295" ht="15.75" customHeight="1" s="57">
      <c r="A295" s="29" t="n"/>
      <c r="B295" s="30" t="n"/>
      <c r="C295" s="39" t="n"/>
      <c r="D295" s="39" t="n"/>
      <c r="E295" s="39" t="n"/>
      <c r="F295" s="40" t="n"/>
      <c r="G295" s="30" t="n"/>
      <c r="H295" s="30" t="n"/>
      <c r="I295" s="30" t="n"/>
      <c r="J295" s="30" t="n"/>
      <c r="K295" s="30" t="n"/>
      <c r="L295" s="30" t="n"/>
      <c r="M295" s="30" t="n"/>
      <c r="N295" s="30" t="n"/>
      <c r="O295" s="30" t="n"/>
      <c r="P295" s="30" t="n"/>
      <c r="Q295" s="30" t="n"/>
      <c r="R295" s="30" t="n"/>
      <c r="S295" s="30" t="n"/>
      <c r="T295" s="30" t="n"/>
      <c r="U295" s="30" t="n"/>
      <c r="V295" s="30" t="n"/>
      <c r="W295" s="30" t="n"/>
      <c r="X295" s="30" t="n"/>
      <c r="Y295" s="30" t="n"/>
      <c r="Z295" s="30" t="n"/>
      <c r="AA295" s="30" t="n"/>
      <c r="AB295" s="30" t="n"/>
      <c r="AC295" s="30" t="n"/>
      <c r="AD295" s="41" t="n"/>
      <c r="AE295" s="30" t="n"/>
      <c r="AF295" s="42">
        <f>IF($AA308="","",IF(LEFT(UPPER(TRIM($AA308)),8)="FELICITA","N/A",IF($AE308="","",IFERROR(VLOOKUP(UPPER(TRIM($AE308)),Config!$A$6:$D$8,2,FALSE),IFERROR(VLOOKUP(IF(LEFT(UPPER(TRIM($AE308)),5)="SUPER","SUPER SALUD",IF(LEFT(UPPER(TRIM($AE308)),8)="SECRETAR","SECRETARIA DE SALUD",IF(LEFT(UPPER(TRIM($AE308)),4)="SEDE","SEDE",UPPER(TRIM($AE308))))),Config!$A$6:$D$8,2,FALSE),"⚠")))))</f>
        <v/>
      </c>
      <c r="AG295" s="30">
        <f>IF($AA308="","",IF(LEFT(UPPER(TRIM($AA308)),8)="FELICITA","N/A",IF($AE308="","",IFERROR(VLOOKUP(UPPER(TRIM($AE308)),Config!$A$6:$D$8,3,FALSE),IFERROR(VLOOKUP(IF(LEFT(UPPER(TRIM($AE308)),5)="SUPER","SUPER SALUD",IF(LEFT(UPPER(TRIM($AE308)),8)="SECRETAR","SECRETARIA DE SALUD",IF(LEFT(UPPER(TRIM($AE308)),4)="SEDE","SEDE",UPPER(TRIM($AE308))))),Config!$A$6:$D$8,3,FALSE),"")))))</f>
        <v/>
      </c>
      <c r="AH295" s="39">
        <f>IF(OR($E308="",NOT(ISNUMBER($E308)),$AF308="",$AF308="N/A",NOT(ISNUMBER($AF308))),"",IF($AG308="Hábiles",WORKDAY(INT($E308),$AF308,Config!$F$6:$F$39),INT($E308)+$AF308))</f>
        <v/>
      </c>
      <c r="AI295" s="30">
        <f>IF($E308="","",IF(LEFT(UPPER(TRIM($AA308)),8)="FELICITA","⭐ Felicitación",IF(NOT(ISNUMBER($E308)),"⚠ Revisar fecha",IF(UPPER(TRIM($AK308))="RESPONDIDA - CERRADA","✅ Cerrada",IF($AE308="","⚠ Falta entidad",IF($AH308="","⚠ Revisar término",IF(TODAY()&gt;$AH308,"🔴 Vencida",IF($AH308-TODAY()&lt;=Config!$B$12,"🟡 Próxima a vencer","🟢 En término"))))))))</f>
        <v/>
      </c>
      <c r="AJ295" s="42">
        <f>IF(OR($E308="",NOT(ISNUMBER($E308))),"",IF(ISNUMBER($AS308),MAX(0,INT($AS308)-INT($E308)),MAX(0,TODAY()-INT($E308))))</f>
        <v/>
      </c>
      <c r="AK295" s="30" t="n"/>
      <c r="AL295" s="30" t="n"/>
      <c r="AM295" s="30" t="n"/>
      <c r="AN295" s="39" t="n"/>
      <c r="AO295" s="30" t="n"/>
      <c r="AP295" s="30" t="n"/>
      <c r="AQ295" s="39" t="n"/>
      <c r="AR295" s="30" t="n"/>
      <c r="AS295" s="39" t="n"/>
      <c r="AT295" s="30">
        <f>IF(OR($AS308="",NOT(ISNUMBER($AS308)),$AH308=""),"",IF(INT($AS308)&lt;=$AH308,"A tiempo","Fuera de término"))</f>
        <v/>
      </c>
      <c r="AU295" s="40" t="n"/>
      <c r="AV295" s="40" t="n"/>
      <c r="AW295" s="40" t="n"/>
      <c r="AX295" s="40" t="n"/>
      <c r="AY295" s="30" t="n"/>
      <c r="AZ295" s="30" t="n"/>
      <c r="BA295" s="30" t="n"/>
    </row>
    <row r="296" ht="15.75" customHeight="1" s="57">
      <c r="A296" s="29" t="n"/>
      <c r="B296" s="30" t="n"/>
      <c r="C296" s="39" t="n"/>
      <c r="D296" s="39" t="n"/>
      <c r="E296" s="39" t="n"/>
      <c r="F296" s="40" t="n"/>
      <c r="G296" s="30" t="n"/>
      <c r="H296" s="30" t="n"/>
      <c r="I296" s="30" t="n"/>
      <c r="J296" s="30" t="n"/>
      <c r="K296" s="30" t="n"/>
      <c r="L296" s="30" t="n"/>
      <c r="M296" s="30" t="n"/>
      <c r="N296" s="30" t="n"/>
      <c r="O296" s="30" t="n"/>
      <c r="P296" s="30" t="n"/>
      <c r="Q296" s="30" t="n"/>
      <c r="R296" s="30" t="n"/>
      <c r="S296" s="30" t="n"/>
      <c r="T296" s="30" t="n"/>
      <c r="U296" s="30" t="n"/>
      <c r="V296" s="30" t="n"/>
      <c r="W296" s="30" t="n"/>
      <c r="X296" s="30" t="n"/>
      <c r="Y296" s="30" t="n"/>
      <c r="Z296" s="30" t="n"/>
      <c r="AA296" s="30" t="n"/>
      <c r="AB296" s="30" t="n"/>
      <c r="AC296" s="30" t="n"/>
      <c r="AD296" s="41" t="n"/>
      <c r="AE296" s="30" t="n"/>
      <c r="AF296" s="42">
        <f>IF($AA309="","",IF(LEFT(UPPER(TRIM($AA309)),8)="FELICITA","N/A",IF($AE309="","",IFERROR(VLOOKUP(UPPER(TRIM($AE309)),Config!$A$6:$D$8,2,FALSE),IFERROR(VLOOKUP(IF(LEFT(UPPER(TRIM($AE309)),5)="SUPER","SUPER SALUD",IF(LEFT(UPPER(TRIM($AE309)),8)="SECRETAR","SECRETARIA DE SALUD",IF(LEFT(UPPER(TRIM($AE309)),4)="SEDE","SEDE",UPPER(TRIM($AE309))))),Config!$A$6:$D$8,2,FALSE),"⚠")))))</f>
        <v/>
      </c>
      <c r="AG296" s="30">
        <f>IF($AA309="","",IF(LEFT(UPPER(TRIM($AA309)),8)="FELICITA","N/A",IF($AE309="","",IFERROR(VLOOKUP(UPPER(TRIM($AE309)),Config!$A$6:$D$8,3,FALSE),IFERROR(VLOOKUP(IF(LEFT(UPPER(TRIM($AE309)),5)="SUPER","SUPER SALUD",IF(LEFT(UPPER(TRIM($AE309)),8)="SECRETAR","SECRETARIA DE SALUD",IF(LEFT(UPPER(TRIM($AE309)),4)="SEDE","SEDE",UPPER(TRIM($AE309))))),Config!$A$6:$D$8,3,FALSE),"")))))</f>
        <v/>
      </c>
      <c r="AH296" s="39">
        <f>IF(OR($E309="",NOT(ISNUMBER($E309)),$AF309="",$AF309="N/A",NOT(ISNUMBER($AF309))),"",IF($AG309="Hábiles",WORKDAY(INT($E309),$AF309,Config!$F$6:$F$39),INT($E309)+$AF309))</f>
        <v/>
      </c>
      <c r="AI296" s="30">
        <f>IF($E309="","",IF(LEFT(UPPER(TRIM($AA309)),8)="FELICITA","⭐ Felicitación",IF(NOT(ISNUMBER($E309)),"⚠ Revisar fecha",IF(UPPER(TRIM($AK309))="RESPONDIDA - CERRADA","✅ Cerrada",IF($AE309="","⚠ Falta entidad",IF($AH309="","⚠ Revisar término",IF(TODAY()&gt;$AH309,"🔴 Vencida",IF($AH309-TODAY()&lt;=Config!$B$12,"🟡 Próxima a vencer","🟢 En término"))))))))</f>
        <v/>
      </c>
      <c r="AJ296" s="42">
        <f>IF(OR($E309="",NOT(ISNUMBER($E309))),"",IF(ISNUMBER($AS309),MAX(0,INT($AS309)-INT($E309)),MAX(0,TODAY()-INT($E309))))</f>
        <v/>
      </c>
      <c r="AK296" s="30" t="n"/>
      <c r="AL296" s="30" t="n"/>
      <c r="AM296" s="30" t="n"/>
      <c r="AN296" s="39" t="n"/>
      <c r="AO296" s="30" t="n"/>
      <c r="AP296" s="30" t="n"/>
      <c r="AQ296" s="39" t="n"/>
      <c r="AR296" s="30" t="n"/>
      <c r="AS296" s="39" t="n"/>
      <c r="AT296" s="30">
        <f>IF(OR($AS309="",NOT(ISNUMBER($AS309)),$AH309=""),"",IF(INT($AS309)&lt;=$AH309,"A tiempo","Fuera de término"))</f>
        <v/>
      </c>
      <c r="AU296" s="40" t="n"/>
      <c r="AV296" s="40" t="n"/>
      <c r="AW296" s="40" t="n"/>
      <c r="AX296" s="40" t="n"/>
      <c r="AY296" s="30" t="n"/>
      <c r="AZ296" s="30" t="n"/>
      <c r="BA296" s="30" t="n"/>
    </row>
    <row r="297" ht="15.75" customHeight="1" s="57">
      <c r="A297" s="29" t="n"/>
      <c r="B297" s="30" t="n"/>
      <c r="C297" s="39" t="n"/>
      <c r="D297" s="39" t="n"/>
      <c r="E297" s="39" t="n"/>
      <c r="F297" s="40" t="n"/>
      <c r="G297" s="30" t="n"/>
      <c r="H297" s="30" t="n"/>
      <c r="I297" s="30" t="n"/>
      <c r="J297" s="30" t="n"/>
      <c r="K297" s="30" t="n"/>
      <c r="L297" s="30" t="n"/>
      <c r="M297" s="30" t="n"/>
      <c r="N297" s="30" t="n"/>
      <c r="O297" s="30" t="n"/>
      <c r="P297" s="30" t="n"/>
      <c r="Q297" s="30" t="n"/>
      <c r="R297" s="30" t="n"/>
      <c r="S297" s="30" t="n"/>
      <c r="T297" s="30" t="n"/>
      <c r="U297" s="30" t="n"/>
      <c r="V297" s="30" t="n"/>
      <c r="W297" s="30" t="n"/>
      <c r="X297" s="30" t="n"/>
      <c r="Y297" s="30" t="n"/>
      <c r="Z297" s="30" t="n"/>
      <c r="AA297" s="30" t="n"/>
      <c r="AB297" s="30" t="n"/>
      <c r="AC297" s="30" t="n"/>
      <c r="AD297" s="41" t="n"/>
      <c r="AE297" s="30" t="n"/>
      <c r="AF297" s="42">
        <f>IF($AA310="","",IF(LEFT(UPPER(TRIM($AA310)),8)="FELICITA","N/A",IF($AE310="","",IFERROR(VLOOKUP(UPPER(TRIM($AE310)),Config!$A$6:$D$8,2,FALSE),IFERROR(VLOOKUP(IF(LEFT(UPPER(TRIM($AE310)),5)="SUPER","SUPER SALUD",IF(LEFT(UPPER(TRIM($AE310)),8)="SECRETAR","SECRETARIA DE SALUD",IF(LEFT(UPPER(TRIM($AE310)),4)="SEDE","SEDE",UPPER(TRIM($AE310))))),Config!$A$6:$D$8,2,FALSE),"⚠")))))</f>
        <v/>
      </c>
      <c r="AG297" s="30">
        <f>IF($AA310="","",IF(LEFT(UPPER(TRIM($AA310)),8)="FELICITA","N/A",IF($AE310="","",IFERROR(VLOOKUP(UPPER(TRIM($AE310)),Config!$A$6:$D$8,3,FALSE),IFERROR(VLOOKUP(IF(LEFT(UPPER(TRIM($AE310)),5)="SUPER","SUPER SALUD",IF(LEFT(UPPER(TRIM($AE310)),8)="SECRETAR","SECRETARIA DE SALUD",IF(LEFT(UPPER(TRIM($AE310)),4)="SEDE","SEDE",UPPER(TRIM($AE310))))),Config!$A$6:$D$8,3,FALSE),"")))))</f>
        <v/>
      </c>
      <c r="AH297" s="39">
        <f>IF(OR($E310="",NOT(ISNUMBER($E310)),$AF310="",$AF310="N/A",NOT(ISNUMBER($AF310))),"",IF($AG310="Hábiles",WORKDAY(INT($E310),$AF310,Config!$F$6:$F$39),INT($E310)+$AF310))</f>
        <v/>
      </c>
      <c r="AI297" s="30">
        <f>IF($E310="","",IF(LEFT(UPPER(TRIM($AA310)),8)="FELICITA","⭐ Felicitación",IF(NOT(ISNUMBER($E310)),"⚠ Revisar fecha",IF(UPPER(TRIM($AK310))="RESPONDIDA - CERRADA","✅ Cerrada",IF($AE310="","⚠ Falta entidad",IF($AH310="","⚠ Revisar término",IF(TODAY()&gt;$AH310,"🔴 Vencida",IF($AH310-TODAY()&lt;=Config!$B$12,"🟡 Próxima a vencer","🟢 En término"))))))))</f>
        <v/>
      </c>
      <c r="AJ297" s="42">
        <f>IF(OR($E310="",NOT(ISNUMBER($E310))),"",IF(ISNUMBER($AS310),MAX(0,INT($AS310)-INT($E310)),MAX(0,TODAY()-INT($E310))))</f>
        <v/>
      </c>
      <c r="AK297" s="30" t="n"/>
      <c r="AL297" s="30" t="n"/>
      <c r="AM297" s="30" t="n"/>
      <c r="AN297" s="39" t="n"/>
      <c r="AO297" s="30" t="n"/>
      <c r="AP297" s="30" t="n"/>
      <c r="AQ297" s="39" t="n"/>
      <c r="AR297" s="30" t="n"/>
      <c r="AS297" s="39" t="n"/>
      <c r="AT297" s="30">
        <f>IF(OR($AS310="",NOT(ISNUMBER($AS310)),$AH310=""),"",IF(INT($AS310)&lt;=$AH310,"A tiempo","Fuera de término"))</f>
        <v/>
      </c>
      <c r="AU297" s="40" t="n"/>
      <c r="AV297" s="40" t="n"/>
      <c r="AW297" s="40" t="n"/>
      <c r="AX297" s="40" t="n"/>
      <c r="AY297" s="30" t="n"/>
      <c r="AZ297" s="30" t="n"/>
      <c r="BA297" s="30" t="n"/>
    </row>
    <row r="298" ht="15.75" customHeight="1" s="57">
      <c r="A298" s="29" t="n"/>
      <c r="B298" s="30" t="n"/>
      <c r="C298" s="39" t="n"/>
      <c r="D298" s="39" t="n"/>
      <c r="E298" s="39" t="n"/>
      <c r="F298" s="40" t="n"/>
      <c r="G298" s="30" t="n"/>
      <c r="H298" s="30" t="n"/>
      <c r="I298" s="30" t="n"/>
      <c r="J298" s="30" t="n"/>
      <c r="K298" s="30" t="n"/>
      <c r="L298" s="30" t="n"/>
      <c r="M298" s="30" t="n"/>
      <c r="N298" s="30" t="n"/>
      <c r="O298" s="30" t="n"/>
      <c r="P298" s="30" t="n"/>
      <c r="Q298" s="30" t="n"/>
      <c r="R298" s="30" t="n"/>
      <c r="S298" s="30" t="n"/>
      <c r="T298" s="30" t="n"/>
      <c r="U298" s="30" t="n"/>
      <c r="V298" s="30" t="n"/>
      <c r="W298" s="30" t="n"/>
      <c r="X298" s="30" t="n"/>
      <c r="Y298" s="30" t="n"/>
      <c r="Z298" s="30" t="n"/>
      <c r="AA298" s="30" t="n"/>
      <c r="AB298" s="30" t="n"/>
      <c r="AC298" s="30" t="n"/>
      <c r="AD298" s="41" t="n"/>
      <c r="AE298" s="30" t="n"/>
      <c r="AF298" s="42">
        <f>IF($AA311="","",IF(LEFT(UPPER(TRIM($AA311)),8)="FELICITA","N/A",IF($AE311="","",IFERROR(VLOOKUP(UPPER(TRIM($AE311)),Config!$A$6:$D$8,2,FALSE),IFERROR(VLOOKUP(IF(LEFT(UPPER(TRIM($AE311)),5)="SUPER","SUPER SALUD",IF(LEFT(UPPER(TRIM($AE311)),8)="SECRETAR","SECRETARIA DE SALUD",IF(LEFT(UPPER(TRIM($AE311)),4)="SEDE","SEDE",UPPER(TRIM($AE311))))),Config!$A$6:$D$8,2,FALSE),"⚠")))))</f>
        <v/>
      </c>
      <c r="AG298" s="30">
        <f>IF($AA311="","",IF(LEFT(UPPER(TRIM($AA311)),8)="FELICITA","N/A",IF($AE311="","",IFERROR(VLOOKUP(UPPER(TRIM($AE311)),Config!$A$6:$D$8,3,FALSE),IFERROR(VLOOKUP(IF(LEFT(UPPER(TRIM($AE311)),5)="SUPER","SUPER SALUD",IF(LEFT(UPPER(TRIM($AE311)),8)="SECRETAR","SECRETARIA DE SALUD",IF(LEFT(UPPER(TRIM($AE311)),4)="SEDE","SEDE",UPPER(TRIM($AE311))))),Config!$A$6:$D$8,3,FALSE),"")))))</f>
        <v/>
      </c>
      <c r="AH298" s="39">
        <f>IF(OR($E311="",NOT(ISNUMBER($E311)),$AF311="",$AF311="N/A",NOT(ISNUMBER($AF311))),"",IF($AG311="Hábiles",WORKDAY(INT($E311),$AF311,Config!$F$6:$F$39),INT($E311)+$AF311))</f>
        <v/>
      </c>
      <c r="AI298" s="30">
        <f>IF($E311="","",IF(LEFT(UPPER(TRIM($AA311)),8)="FELICITA","⭐ Felicitación",IF(NOT(ISNUMBER($E311)),"⚠ Revisar fecha",IF(UPPER(TRIM($AK311))="RESPONDIDA - CERRADA","✅ Cerrada",IF($AE311="","⚠ Falta entidad",IF($AH311="","⚠ Revisar término",IF(TODAY()&gt;$AH311,"🔴 Vencida",IF($AH311-TODAY()&lt;=Config!$B$12,"🟡 Próxima a vencer","🟢 En término"))))))))</f>
        <v/>
      </c>
      <c r="AJ298" s="42">
        <f>IF(OR($E311="",NOT(ISNUMBER($E311))),"",IF(ISNUMBER($AS311),MAX(0,INT($AS311)-INT($E311)),MAX(0,TODAY()-INT($E311))))</f>
        <v/>
      </c>
      <c r="AK298" s="30" t="n"/>
      <c r="AL298" s="30" t="n"/>
      <c r="AM298" s="30" t="n"/>
      <c r="AN298" s="39" t="n"/>
      <c r="AO298" s="30" t="n"/>
      <c r="AP298" s="30" t="n"/>
      <c r="AQ298" s="39" t="n"/>
      <c r="AR298" s="30" t="n"/>
      <c r="AS298" s="39" t="n"/>
      <c r="AT298" s="30">
        <f>IF(OR($AS311="",NOT(ISNUMBER($AS311)),$AH311=""),"",IF(INT($AS311)&lt;=$AH311,"A tiempo","Fuera de término"))</f>
        <v/>
      </c>
      <c r="AU298" s="40" t="n"/>
      <c r="AV298" s="40" t="n"/>
      <c r="AW298" s="40" t="n"/>
      <c r="AX298" s="40" t="n"/>
      <c r="AY298" s="30" t="n"/>
      <c r="AZ298" s="30" t="n"/>
      <c r="BA298" s="30" t="n"/>
    </row>
    <row r="299" ht="15.75" customHeight="1" s="57">
      <c r="A299" s="29" t="n"/>
      <c r="B299" s="30" t="n"/>
      <c r="C299" s="39" t="n"/>
      <c r="D299" s="39" t="n"/>
      <c r="E299" s="39" t="n"/>
      <c r="F299" s="40" t="n"/>
      <c r="G299" s="30" t="n"/>
      <c r="H299" s="30" t="n"/>
      <c r="I299" s="30" t="n"/>
      <c r="J299" s="30" t="n"/>
      <c r="K299" s="30" t="n"/>
      <c r="L299" s="30" t="n"/>
      <c r="M299" s="30" t="n"/>
      <c r="N299" s="30" t="n"/>
      <c r="O299" s="30" t="n"/>
      <c r="P299" s="30" t="n"/>
      <c r="Q299" s="30" t="n"/>
      <c r="R299" s="30" t="n"/>
      <c r="S299" s="30" t="n"/>
      <c r="T299" s="30" t="n"/>
      <c r="U299" s="30" t="n"/>
      <c r="V299" s="30" t="n"/>
      <c r="W299" s="30" t="n"/>
      <c r="X299" s="30" t="n"/>
      <c r="Y299" s="30" t="n"/>
      <c r="Z299" s="30" t="n"/>
      <c r="AA299" s="30" t="n"/>
      <c r="AB299" s="30" t="n"/>
      <c r="AC299" s="30" t="n"/>
      <c r="AD299" s="41" t="n"/>
      <c r="AE299" s="30" t="n"/>
      <c r="AF299" s="42">
        <f>IF($AA312="","",IF(LEFT(UPPER(TRIM($AA312)),8)="FELICITA","N/A",IF($AE312="","",IFERROR(VLOOKUP(UPPER(TRIM($AE312)),Config!$A$6:$D$8,2,FALSE),IFERROR(VLOOKUP(IF(LEFT(UPPER(TRIM($AE312)),5)="SUPER","SUPER SALUD",IF(LEFT(UPPER(TRIM($AE312)),8)="SECRETAR","SECRETARIA DE SALUD",IF(LEFT(UPPER(TRIM($AE312)),4)="SEDE","SEDE",UPPER(TRIM($AE312))))),Config!$A$6:$D$8,2,FALSE),"⚠")))))</f>
        <v/>
      </c>
      <c r="AG299" s="30">
        <f>IF($AA312="","",IF(LEFT(UPPER(TRIM($AA312)),8)="FELICITA","N/A",IF($AE312="","",IFERROR(VLOOKUP(UPPER(TRIM($AE312)),Config!$A$6:$D$8,3,FALSE),IFERROR(VLOOKUP(IF(LEFT(UPPER(TRIM($AE312)),5)="SUPER","SUPER SALUD",IF(LEFT(UPPER(TRIM($AE312)),8)="SECRETAR","SECRETARIA DE SALUD",IF(LEFT(UPPER(TRIM($AE312)),4)="SEDE","SEDE",UPPER(TRIM($AE312))))),Config!$A$6:$D$8,3,FALSE),"")))))</f>
        <v/>
      </c>
      <c r="AH299" s="39">
        <f>IF(OR($E312="",NOT(ISNUMBER($E312)),$AF312="",$AF312="N/A",NOT(ISNUMBER($AF312))),"",IF($AG312="Hábiles",WORKDAY(INT($E312),$AF312,Config!$F$6:$F$39),INT($E312)+$AF312))</f>
        <v/>
      </c>
      <c r="AI299" s="30">
        <f>IF($E312="","",IF(LEFT(UPPER(TRIM($AA312)),8)="FELICITA","⭐ Felicitación",IF(NOT(ISNUMBER($E312)),"⚠ Revisar fecha",IF(UPPER(TRIM($AK312))="RESPONDIDA - CERRADA","✅ Cerrada",IF($AE312="","⚠ Falta entidad",IF($AH312="","⚠ Revisar término",IF(TODAY()&gt;$AH312,"🔴 Vencida",IF($AH312-TODAY()&lt;=Config!$B$12,"🟡 Próxima a vencer","🟢 En término"))))))))</f>
        <v/>
      </c>
      <c r="AJ299" s="42">
        <f>IF(OR($E312="",NOT(ISNUMBER($E312))),"",IF(ISNUMBER($AS312),MAX(0,INT($AS312)-INT($E312)),MAX(0,TODAY()-INT($E312))))</f>
        <v/>
      </c>
      <c r="AK299" s="30" t="n"/>
      <c r="AL299" s="30" t="n"/>
      <c r="AM299" s="30" t="n"/>
      <c r="AN299" s="39" t="n"/>
      <c r="AO299" s="30" t="n"/>
      <c r="AP299" s="30" t="n"/>
      <c r="AQ299" s="39" t="n"/>
      <c r="AR299" s="30" t="n"/>
      <c r="AS299" s="39" t="n"/>
      <c r="AT299" s="30">
        <f>IF(OR($AS312="",NOT(ISNUMBER($AS312)),$AH312=""),"",IF(INT($AS312)&lt;=$AH312,"A tiempo","Fuera de término"))</f>
        <v/>
      </c>
      <c r="AU299" s="40" t="n"/>
      <c r="AV299" s="40" t="n"/>
      <c r="AW299" s="40" t="n"/>
      <c r="AX299" s="40" t="n"/>
      <c r="AY299" s="30" t="n"/>
      <c r="AZ299" s="30" t="n"/>
      <c r="BA299" s="30" t="n"/>
    </row>
    <row r="300" ht="15.75" customHeight="1" s="57">
      <c r="A300" s="29" t="n"/>
      <c r="B300" s="30" t="n"/>
      <c r="C300" s="39" t="n"/>
      <c r="D300" s="39" t="n"/>
      <c r="E300" s="39" t="n"/>
      <c r="F300" s="40" t="n"/>
      <c r="G300" s="30" t="n"/>
      <c r="H300" s="30" t="n"/>
      <c r="I300" s="30" t="n"/>
      <c r="J300" s="30" t="n"/>
      <c r="K300" s="30" t="n"/>
      <c r="L300" s="30" t="n"/>
      <c r="M300" s="30" t="n"/>
      <c r="N300" s="30" t="n"/>
      <c r="O300" s="30" t="n"/>
      <c r="P300" s="30" t="n"/>
      <c r="Q300" s="30" t="n"/>
      <c r="R300" s="30" t="n"/>
      <c r="S300" s="30" t="n"/>
      <c r="T300" s="30" t="n"/>
      <c r="U300" s="30" t="n"/>
      <c r="V300" s="30" t="n"/>
      <c r="W300" s="30" t="n"/>
      <c r="X300" s="30" t="n"/>
      <c r="Y300" s="30" t="n"/>
      <c r="Z300" s="30" t="n"/>
      <c r="AA300" s="30" t="n"/>
      <c r="AB300" s="30" t="n"/>
      <c r="AC300" s="30" t="n"/>
      <c r="AD300" s="41" t="n"/>
      <c r="AE300" s="30" t="n"/>
      <c r="AF300" s="42">
        <f>IF($AA313="","",IF(LEFT(UPPER(TRIM($AA313)),8)="FELICITA","N/A",IF($AE313="","",IFERROR(VLOOKUP(UPPER(TRIM($AE313)),Config!$A$6:$D$8,2,FALSE),IFERROR(VLOOKUP(IF(LEFT(UPPER(TRIM($AE313)),5)="SUPER","SUPER SALUD",IF(LEFT(UPPER(TRIM($AE313)),8)="SECRETAR","SECRETARIA DE SALUD",IF(LEFT(UPPER(TRIM($AE313)),4)="SEDE","SEDE",UPPER(TRIM($AE313))))),Config!$A$6:$D$8,2,FALSE),"⚠")))))</f>
        <v/>
      </c>
      <c r="AG300" s="30">
        <f>IF($AA313="","",IF(LEFT(UPPER(TRIM($AA313)),8)="FELICITA","N/A",IF($AE313="","",IFERROR(VLOOKUP(UPPER(TRIM($AE313)),Config!$A$6:$D$8,3,FALSE),IFERROR(VLOOKUP(IF(LEFT(UPPER(TRIM($AE313)),5)="SUPER","SUPER SALUD",IF(LEFT(UPPER(TRIM($AE313)),8)="SECRETAR","SECRETARIA DE SALUD",IF(LEFT(UPPER(TRIM($AE313)),4)="SEDE","SEDE",UPPER(TRIM($AE313))))),Config!$A$6:$D$8,3,FALSE),"")))))</f>
        <v/>
      </c>
      <c r="AH300" s="39">
        <f>IF(OR($E313="",NOT(ISNUMBER($E313)),$AF313="",$AF313="N/A",NOT(ISNUMBER($AF313))),"",IF($AG313="Hábiles",WORKDAY(INT($E313),$AF313,Config!$F$6:$F$39),INT($E313)+$AF313))</f>
        <v/>
      </c>
      <c r="AI300" s="30">
        <f>IF($E313="","",IF(LEFT(UPPER(TRIM($AA313)),8)="FELICITA","⭐ Felicitación",IF(NOT(ISNUMBER($E313)),"⚠ Revisar fecha",IF(UPPER(TRIM($AK313))="RESPONDIDA - CERRADA","✅ Cerrada",IF($AE313="","⚠ Falta entidad",IF($AH313="","⚠ Revisar término",IF(TODAY()&gt;$AH313,"🔴 Vencida",IF($AH313-TODAY()&lt;=Config!$B$12,"🟡 Próxima a vencer","🟢 En término"))))))))</f>
        <v/>
      </c>
      <c r="AJ300" s="42">
        <f>IF(OR($E313="",NOT(ISNUMBER($E313))),"",IF(ISNUMBER($AS313),MAX(0,INT($AS313)-INT($E313)),MAX(0,TODAY()-INT($E313))))</f>
        <v/>
      </c>
      <c r="AK300" s="30" t="n"/>
      <c r="AL300" s="30" t="n"/>
      <c r="AM300" s="30" t="n"/>
      <c r="AN300" s="39" t="n"/>
      <c r="AO300" s="30" t="n"/>
      <c r="AP300" s="30" t="n"/>
      <c r="AQ300" s="39" t="n"/>
      <c r="AR300" s="30" t="n"/>
      <c r="AS300" s="39" t="n"/>
      <c r="AT300" s="30">
        <f>IF(OR($AS313="",NOT(ISNUMBER($AS313)),$AH313=""),"",IF(INT($AS313)&lt;=$AH313,"A tiempo","Fuera de término"))</f>
        <v/>
      </c>
      <c r="AU300" s="40" t="n"/>
      <c r="AV300" s="40" t="n"/>
      <c r="AW300" s="40" t="n"/>
      <c r="AX300" s="40" t="n"/>
      <c r="AY300" s="30" t="n"/>
      <c r="AZ300" s="30" t="n"/>
      <c r="BA300" s="30" t="n"/>
    </row>
    <row r="301" ht="15.75" customHeight="1" s="57">
      <c r="A301" s="29" t="n"/>
      <c r="B301" s="30" t="n"/>
      <c r="C301" s="39" t="n"/>
      <c r="D301" s="39" t="n"/>
      <c r="E301" s="39" t="n"/>
      <c r="F301" s="40" t="n"/>
      <c r="G301" s="30" t="n"/>
      <c r="H301" s="30" t="n"/>
      <c r="I301" s="30" t="n"/>
      <c r="J301" s="30" t="n"/>
      <c r="K301" s="30" t="n"/>
      <c r="L301" s="30" t="n"/>
      <c r="M301" s="30" t="n"/>
      <c r="N301" s="30" t="n"/>
      <c r="O301" s="30" t="n"/>
      <c r="P301" s="30" t="n"/>
      <c r="Q301" s="30" t="n"/>
      <c r="R301" s="30" t="n"/>
      <c r="S301" s="30" t="n"/>
      <c r="T301" s="30" t="n"/>
      <c r="U301" s="30" t="n"/>
      <c r="V301" s="30" t="n"/>
      <c r="W301" s="30" t="n"/>
      <c r="X301" s="30" t="n"/>
      <c r="Y301" s="30" t="n"/>
      <c r="Z301" s="30" t="n"/>
      <c r="AA301" s="30" t="n"/>
      <c r="AB301" s="30" t="n"/>
      <c r="AC301" s="30" t="n"/>
      <c r="AD301" s="41" t="n"/>
      <c r="AE301" s="30" t="n"/>
      <c r="AF301" s="42">
        <f>IF($AA314="","",IF(LEFT(UPPER(TRIM($AA314)),8)="FELICITA","N/A",IF($AE314="","",IFERROR(VLOOKUP(UPPER(TRIM($AE314)),Config!$A$6:$D$8,2,FALSE),IFERROR(VLOOKUP(IF(LEFT(UPPER(TRIM($AE314)),5)="SUPER","SUPER SALUD",IF(LEFT(UPPER(TRIM($AE314)),8)="SECRETAR","SECRETARIA DE SALUD",IF(LEFT(UPPER(TRIM($AE314)),4)="SEDE","SEDE",UPPER(TRIM($AE314))))),Config!$A$6:$D$8,2,FALSE),"⚠")))))</f>
        <v/>
      </c>
      <c r="AG301" s="30">
        <f>IF($AA314="","",IF(LEFT(UPPER(TRIM($AA314)),8)="FELICITA","N/A",IF($AE314="","",IFERROR(VLOOKUP(UPPER(TRIM($AE314)),Config!$A$6:$D$8,3,FALSE),IFERROR(VLOOKUP(IF(LEFT(UPPER(TRIM($AE314)),5)="SUPER","SUPER SALUD",IF(LEFT(UPPER(TRIM($AE314)),8)="SECRETAR","SECRETARIA DE SALUD",IF(LEFT(UPPER(TRIM($AE314)),4)="SEDE","SEDE",UPPER(TRIM($AE314))))),Config!$A$6:$D$8,3,FALSE),"")))))</f>
        <v/>
      </c>
      <c r="AH301" s="39">
        <f>IF(OR($E314="",NOT(ISNUMBER($E314)),$AF314="",$AF314="N/A",NOT(ISNUMBER($AF314))),"",IF($AG314="Hábiles",WORKDAY(INT($E314),$AF314,Config!$F$6:$F$39),INT($E314)+$AF314))</f>
        <v/>
      </c>
      <c r="AI301" s="30">
        <f>IF($E314="","",IF(LEFT(UPPER(TRIM($AA314)),8)="FELICITA","⭐ Felicitación",IF(NOT(ISNUMBER($E314)),"⚠ Revisar fecha",IF(UPPER(TRIM($AK314))="RESPONDIDA - CERRADA","✅ Cerrada",IF($AE314="","⚠ Falta entidad",IF($AH314="","⚠ Revisar término",IF(TODAY()&gt;$AH314,"🔴 Vencida",IF($AH314-TODAY()&lt;=Config!$B$12,"🟡 Próxima a vencer","🟢 En término"))))))))</f>
        <v/>
      </c>
      <c r="AJ301" s="42">
        <f>IF(OR($E314="",NOT(ISNUMBER($E314))),"",IF(ISNUMBER($AS314),MAX(0,INT($AS314)-INT($E314)),MAX(0,TODAY()-INT($E314))))</f>
        <v/>
      </c>
      <c r="AK301" s="30" t="n"/>
      <c r="AL301" s="30" t="n"/>
      <c r="AM301" s="30" t="n"/>
      <c r="AN301" s="39" t="n"/>
      <c r="AO301" s="30" t="n"/>
      <c r="AP301" s="30" t="n"/>
      <c r="AQ301" s="39" t="n"/>
      <c r="AR301" s="30" t="n"/>
      <c r="AS301" s="39" t="n"/>
      <c r="AT301" s="30">
        <f>IF(OR($AS314="",NOT(ISNUMBER($AS314)),$AH314=""),"",IF(INT($AS314)&lt;=$AH314,"A tiempo","Fuera de término"))</f>
        <v/>
      </c>
      <c r="AU301" s="40" t="n"/>
      <c r="AV301" s="40" t="n"/>
      <c r="AW301" s="40" t="n"/>
      <c r="AX301" s="40" t="n"/>
      <c r="AY301" s="30" t="n"/>
      <c r="AZ301" s="30" t="n"/>
      <c r="BA301" s="30" t="n"/>
    </row>
    <row r="302" ht="15.75" customHeight="1" s="57">
      <c r="A302" s="29" t="n"/>
      <c r="B302" s="30" t="n"/>
      <c r="C302" s="39" t="n"/>
      <c r="D302" s="39" t="n"/>
      <c r="E302" s="39" t="n"/>
      <c r="F302" s="40" t="n"/>
      <c r="G302" s="30" t="n"/>
      <c r="H302" s="30" t="n"/>
      <c r="I302" s="30" t="n"/>
      <c r="J302" s="30" t="n"/>
      <c r="K302" s="30" t="n"/>
      <c r="L302" s="30" t="n"/>
      <c r="M302" s="30" t="n"/>
      <c r="N302" s="30" t="n"/>
      <c r="O302" s="30" t="n"/>
      <c r="P302" s="30" t="n"/>
      <c r="Q302" s="30" t="n"/>
      <c r="R302" s="30" t="n"/>
      <c r="S302" s="30" t="n"/>
      <c r="T302" s="30" t="n"/>
      <c r="U302" s="30" t="n"/>
      <c r="V302" s="30" t="n"/>
      <c r="W302" s="30" t="n"/>
      <c r="X302" s="30" t="n"/>
      <c r="Y302" s="30" t="n"/>
      <c r="Z302" s="30" t="n"/>
      <c r="AA302" s="30" t="n"/>
      <c r="AB302" s="30" t="n"/>
      <c r="AC302" s="30" t="n"/>
      <c r="AD302" s="41" t="n"/>
      <c r="AE302" s="30" t="n"/>
      <c r="AF302" s="42">
        <f>IF($AA315="","",IF(LEFT(UPPER(TRIM($AA315)),8)="FELICITA","N/A",IF($AE315="","",IFERROR(VLOOKUP(UPPER(TRIM($AE315)),Config!$A$6:$D$8,2,FALSE),IFERROR(VLOOKUP(IF(LEFT(UPPER(TRIM($AE315)),5)="SUPER","SUPER SALUD",IF(LEFT(UPPER(TRIM($AE315)),8)="SECRETAR","SECRETARIA DE SALUD",IF(LEFT(UPPER(TRIM($AE315)),4)="SEDE","SEDE",UPPER(TRIM($AE315))))),Config!$A$6:$D$8,2,FALSE),"⚠")))))</f>
        <v/>
      </c>
      <c r="AG302" s="30">
        <f>IF($AA315="","",IF(LEFT(UPPER(TRIM($AA315)),8)="FELICITA","N/A",IF($AE315="","",IFERROR(VLOOKUP(UPPER(TRIM($AE315)),Config!$A$6:$D$8,3,FALSE),IFERROR(VLOOKUP(IF(LEFT(UPPER(TRIM($AE315)),5)="SUPER","SUPER SALUD",IF(LEFT(UPPER(TRIM($AE315)),8)="SECRETAR","SECRETARIA DE SALUD",IF(LEFT(UPPER(TRIM($AE315)),4)="SEDE","SEDE",UPPER(TRIM($AE315))))),Config!$A$6:$D$8,3,FALSE),"")))))</f>
        <v/>
      </c>
      <c r="AH302" s="39">
        <f>IF(OR($E315="",NOT(ISNUMBER($E315)),$AF315="",$AF315="N/A",NOT(ISNUMBER($AF315))),"",IF($AG315="Hábiles",WORKDAY(INT($E315),$AF315,Config!$F$6:$F$39),INT($E315)+$AF315))</f>
        <v/>
      </c>
      <c r="AI302" s="30">
        <f>IF($E315="","",IF(LEFT(UPPER(TRIM($AA315)),8)="FELICITA","⭐ Felicitación",IF(NOT(ISNUMBER($E315)),"⚠ Revisar fecha",IF(UPPER(TRIM($AK315))="RESPONDIDA - CERRADA","✅ Cerrada",IF($AE315="","⚠ Falta entidad",IF($AH315="","⚠ Revisar término",IF(TODAY()&gt;$AH315,"🔴 Vencida",IF($AH315-TODAY()&lt;=Config!$B$12,"🟡 Próxima a vencer","🟢 En término"))))))))</f>
        <v/>
      </c>
      <c r="AJ302" s="42">
        <f>IF(OR($E315="",NOT(ISNUMBER($E315))),"",IF(ISNUMBER($AS315),MAX(0,INT($AS315)-INT($E315)),MAX(0,TODAY()-INT($E315))))</f>
        <v/>
      </c>
      <c r="AK302" s="30" t="n"/>
      <c r="AL302" s="30" t="n"/>
      <c r="AM302" s="30" t="n"/>
      <c r="AN302" s="39" t="n"/>
      <c r="AO302" s="30" t="n"/>
      <c r="AP302" s="30" t="n"/>
      <c r="AQ302" s="39" t="n"/>
      <c r="AR302" s="30" t="n"/>
      <c r="AS302" s="39" t="n"/>
      <c r="AT302" s="30">
        <f>IF(OR($AS315="",NOT(ISNUMBER($AS315)),$AH315=""),"",IF(INT($AS315)&lt;=$AH315,"A tiempo","Fuera de término"))</f>
        <v/>
      </c>
      <c r="AU302" s="40" t="n"/>
      <c r="AV302" s="40" t="n"/>
      <c r="AW302" s="40" t="n"/>
      <c r="AX302" s="40" t="n"/>
      <c r="AY302" s="30" t="n"/>
      <c r="AZ302" s="30" t="n"/>
      <c r="BA302" s="30" t="n"/>
    </row>
    <row r="303" ht="15.75" customHeight="1" s="57">
      <c r="A303" s="29" t="n"/>
      <c r="B303" s="30" t="n"/>
      <c r="C303" s="39" t="n"/>
      <c r="D303" s="39" t="n"/>
      <c r="E303" s="39" t="n"/>
      <c r="F303" s="40" t="n"/>
      <c r="G303" s="30" t="n"/>
      <c r="H303" s="30" t="n"/>
      <c r="I303" s="30" t="n"/>
      <c r="J303" s="30" t="n"/>
      <c r="K303" s="30" t="n"/>
      <c r="L303" s="30" t="n"/>
      <c r="M303" s="30" t="n"/>
      <c r="N303" s="30" t="n"/>
      <c r="O303" s="30" t="n"/>
      <c r="P303" s="30" t="n"/>
      <c r="Q303" s="30" t="n"/>
      <c r="R303" s="30" t="n"/>
      <c r="S303" s="30" t="n"/>
      <c r="T303" s="30" t="n"/>
      <c r="U303" s="30" t="n"/>
      <c r="V303" s="30" t="n"/>
      <c r="W303" s="30" t="n"/>
      <c r="X303" s="30" t="n"/>
      <c r="Y303" s="30" t="n"/>
      <c r="Z303" s="30" t="n"/>
      <c r="AA303" s="30" t="n"/>
      <c r="AB303" s="30" t="n"/>
      <c r="AC303" s="30" t="n"/>
      <c r="AD303" s="41" t="n"/>
      <c r="AE303" s="30" t="n"/>
      <c r="AF303" s="42">
        <f>IF($AA316="","",IF(LEFT(UPPER(TRIM($AA316)),8)="FELICITA","N/A",IF($AE316="","",IFERROR(VLOOKUP(UPPER(TRIM($AE316)),Config!$A$6:$D$8,2,FALSE),IFERROR(VLOOKUP(IF(LEFT(UPPER(TRIM($AE316)),5)="SUPER","SUPER SALUD",IF(LEFT(UPPER(TRIM($AE316)),8)="SECRETAR","SECRETARIA DE SALUD",IF(LEFT(UPPER(TRIM($AE316)),4)="SEDE","SEDE",UPPER(TRIM($AE316))))),Config!$A$6:$D$8,2,FALSE),"⚠")))))</f>
        <v/>
      </c>
      <c r="AG303" s="30">
        <f>IF($AA316="","",IF(LEFT(UPPER(TRIM($AA316)),8)="FELICITA","N/A",IF($AE316="","",IFERROR(VLOOKUP(UPPER(TRIM($AE316)),Config!$A$6:$D$8,3,FALSE),IFERROR(VLOOKUP(IF(LEFT(UPPER(TRIM($AE316)),5)="SUPER","SUPER SALUD",IF(LEFT(UPPER(TRIM($AE316)),8)="SECRETAR","SECRETARIA DE SALUD",IF(LEFT(UPPER(TRIM($AE316)),4)="SEDE","SEDE",UPPER(TRIM($AE316))))),Config!$A$6:$D$8,3,FALSE),"")))))</f>
        <v/>
      </c>
      <c r="AH303" s="39">
        <f>IF(OR($E316="",NOT(ISNUMBER($E316)),$AF316="",$AF316="N/A",NOT(ISNUMBER($AF316))),"",IF($AG316="Hábiles",WORKDAY(INT($E316),$AF316,Config!$F$6:$F$39),INT($E316)+$AF316))</f>
        <v/>
      </c>
      <c r="AI303" s="30">
        <f>IF($E316="","",IF(LEFT(UPPER(TRIM($AA316)),8)="FELICITA","⭐ Felicitación",IF(NOT(ISNUMBER($E316)),"⚠ Revisar fecha",IF(UPPER(TRIM($AK316))="RESPONDIDA - CERRADA","✅ Cerrada",IF($AE316="","⚠ Falta entidad",IF($AH316="","⚠ Revisar término",IF(TODAY()&gt;$AH316,"🔴 Vencida",IF($AH316-TODAY()&lt;=Config!$B$12,"🟡 Próxima a vencer","🟢 En término"))))))))</f>
        <v/>
      </c>
      <c r="AJ303" s="42">
        <f>IF(OR($E316="",NOT(ISNUMBER($E316))),"",IF(ISNUMBER($AS316),MAX(0,INT($AS316)-INT($E316)),MAX(0,TODAY()-INT($E316))))</f>
        <v/>
      </c>
      <c r="AK303" s="30" t="n"/>
      <c r="AL303" s="30" t="n"/>
      <c r="AM303" s="30" t="n"/>
      <c r="AN303" s="39" t="n"/>
      <c r="AO303" s="30" t="n"/>
      <c r="AP303" s="30" t="n"/>
      <c r="AQ303" s="39" t="n"/>
      <c r="AR303" s="30" t="n"/>
      <c r="AS303" s="39" t="n"/>
      <c r="AT303" s="30">
        <f>IF(OR($AS316="",NOT(ISNUMBER($AS316)),$AH316=""),"",IF(INT($AS316)&lt;=$AH316,"A tiempo","Fuera de término"))</f>
        <v/>
      </c>
      <c r="AU303" s="40" t="n"/>
      <c r="AV303" s="40" t="n"/>
      <c r="AW303" s="40" t="n"/>
      <c r="AX303" s="40" t="n"/>
      <c r="AY303" s="30" t="n"/>
      <c r="AZ303" s="30" t="n"/>
      <c r="BA303" s="30" t="n"/>
    </row>
    <row r="304" ht="15.75" customHeight="1" s="57">
      <c r="A304" s="29" t="n"/>
      <c r="B304" s="30" t="n"/>
      <c r="C304" s="39" t="n"/>
      <c r="D304" s="39" t="n"/>
      <c r="E304" s="39" t="n"/>
      <c r="F304" s="40" t="n"/>
      <c r="G304" s="30" t="n"/>
      <c r="H304" s="30" t="n"/>
      <c r="I304" s="30" t="n"/>
      <c r="J304" s="30" t="n"/>
      <c r="K304" s="30" t="n"/>
      <c r="L304" s="30" t="n"/>
      <c r="M304" s="30" t="n"/>
      <c r="N304" s="30" t="n"/>
      <c r="O304" s="30" t="n"/>
      <c r="P304" s="30" t="n"/>
      <c r="Q304" s="30" t="n"/>
      <c r="R304" s="30" t="n"/>
      <c r="S304" s="30" t="n"/>
      <c r="T304" s="30" t="n"/>
      <c r="U304" s="30" t="n"/>
      <c r="V304" s="30" t="n"/>
      <c r="W304" s="30" t="n"/>
      <c r="X304" s="30" t="n"/>
      <c r="Y304" s="30" t="n"/>
      <c r="Z304" s="30" t="n"/>
      <c r="AA304" s="30" t="n"/>
      <c r="AB304" s="30" t="n"/>
      <c r="AC304" s="30" t="n"/>
      <c r="AD304" s="41" t="n"/>
      <c r="AE304" s="30" t="n"/>
      <c r="AF304" s="42">
        <f>IF($AA317="","",IF(LEFT(UPPER(TRIM($AA317)),8)="FELICITA","N/A",IF($AE317="","",IFERROR(VLOOKUP(UPPER(TRIM($AE317)),Config!$A$6:$D$8,2,FALSE),IFERROR(VLOOKUP(IF(LEFT(UPPER(TRIM($AE317)),5)="SUPER","SUPER SALUD",IF(LEFT(UPPER(TRIM($AE317)),8)="SECRETAR","SECRETARIA DE SALUD",IF(LEFT(UPPER(TRIM($AE317)),4)="SEDE","SEDE",UPPER(TRIM($AE317))))),Config!$A$6:$D$8,2,FALSE),"⚠")))))</f>
        <v/>
      </c>
      <c r="AG304" s="30">
        <f>IF($AA317="","",IF(LEFT(UPPER(TRIM($AA317)),8)="FELICITA","N/A",IF($AE317="","",IFERROR(VLOOKUP(UPPER(TRIM($AE317)),Config!$A$6:$D$8,3,FALSE),IFERROR(VLOOKUP(IF(LEFT(UPPER(TRIM($AE317)),5)="SUPER","SUPER SALUD",IF(LEFT(UPPER(TRIM($AE317)),8)="SECRETAR","SECRETARIA DE SALUD",IF(LEFT(UPPER(TRIM($AE317)),4)="SEDE","SEDE",UPPER(TRIM($AE317))))),Config!$A$6:$D$8,3,FALSE),"")))))</f>
        <v/>
      </c>
      <c r="AH304" s="39">
        <f>IF(OR($E317="",NOT(ISNUMBER($E317)),$AF317="",$AF317="N/A",NOT(ISNUMBER($AF317))),"",IF($AG317="Hábiles",WORKDAY(INT($E317),$AF317,Config!$F$6:$F$39),INT($E317)+$AF317))</f>
        <v/>
      </c>
      <c r="AI304" s="30">
        <f>IF($E317="","",IF(LEFT(UPPER(TRIM($AA317)),8)="FELICITA","⭐ Felicitación",IF(NOT(ISNUMBER($E317)),"⚠ Revisar fecha",IF(UPPER(TRIM($AK317))="RESPONDIDA - CERRADA","✅ Cerrada",IF($AE317="","⚠ Falta entidad",IF($AH317="","⚠ Revisar término",IF(TODAY()&gt;$AH317,"🔴 Vencida",IF($AH317-TODAY()&lt;=Config!$B$12,"🟡 Próxima a vencer","🟢 En término"))))))))</f>
        <v/>
      </c>
      <c r="AJ304" s="42">
        <f>IF(OR($E317="",NOT(ISNUMBER($E317))),"",IF(ISNUMBER($AS317),MAX(0,INT($AS317)-INT($E317)),MAX(0,TODAY()-INT($E317))))</f>
        <v/>
      </c>
      <c r="AK304" s="30" t="n"/>
      <c r="AL304" s="30" t="n"/>
      <c r="AM304" s="30" t="n"/>
      <c r="AN304" s="39" t="n"/>
      <c r="AO304" s="30" t="n"/>
      <c r="AP304" s="30" t="n"/>
      <c r="AQ304" s="39" t="n"/>
      <c r="AR304" s="30" t="n"/>
      <c r="AS304" s="39" t="n"/>
      <c r="AT304" s="30">
        <f>IF(OR($AS317="",NOT(ISNUMBER($AS317)),$AH317=""),"",IF(INT($AS317)&lt;=$AH317,"A tiempo","Fuera de término"))</f>
        <v/>
      </c>
      <c r="AU304" s="40" t="n"/>
      <c r="AV304" s="40" t="n"/>
      <c r="AW304" s="40" t="n"/>
      <c r="AX304" s="40" t="n"/>
      <c r="AY304" s="30" t="n"/>
      <c r="AZ304" s="30" t="n"/>
      <c r="BA304" s="30" t="n"/>
    </row>
    <row r="305" ht="15.75" customHeight="1" s="57">
      <c r="A305" s="29" t="n"/>
      <c r="B305" s="30" t="n"/>
      <c r="C305" s="39" t="n"/>
      <c r="D305" s="39" t="n"/>
      <c r="E305" s="39" t="n"/>
      <c r="F305" s="40" t="n"/>
      <c r="G305" s="30" t="n"/>
      <c r="H305" s="30" t="n"/>
      <c r="I305" s="30" t="n"/>
      <c r="J305" s="30" t="n"/>
      <c r="K305" s="30" t="n"/>
      <c r="L305" s="30" t="n"/>
      <c r="M305" s="30" t="n"/>
      <c r="N305" s="30" t="n"/>
      <c r="O305" s="30" t="n"/>
      <c r="P305" s="30" t="n"/>
      <c r="Q305" s="30" t="n"/>
      <c r="R305" s="30" t="n"/>
      <c r="S305" s="30" t="n"/>
      <c r="T305" s="30" t="n"/>
      <c r="U305" s="30" t="n"/>
      <c r="V305" s="30" t="n"/>
      <c r="W305" s="30" t="n"/>
      <c r="X305" s="30" t="n"/>
      <c r="Y305" s="30" t="n"/>
      <c r="Z305" s="30" t="n"/>
      <c r="AA305" s="30" t="n"/>
      <c r="AB305" s="30" t="n"/>
      <c r="AC305" s="30" t="n"/>
      <c r="AD305" s="41" t="n"/>
      <c r="AE305" s="30" t="n"/>
      <c r="AF305" s="42">
        <f>IF($AA318="","",IF(LEFT(UPPER(TRIM($AA318)),8)="FELICITA","N/A",IF($AE318="","",IFERROR(VLOOKUP(UPPER(TRIM($AE318)),Config!$A$6:$D$8,2,FALSE),IFERROR(VLOOKUP(IF(LEFT(UPPER(TRIM($AE318)),5)="SUPER","SUPER SALUD",IF(LEFT(UPPER(TRIM($AE318)),8)="SECRETAR","SECRETARIA DE SALUD",IF(LEFT(UPPER(TRIM($AE318)),4)="SEDE","SEDE",UPPER(TRIM($AE318))))),Config!$A$6:$D$8,2,FALSE),"⚠")))))</f>
        <v/>
      </c>
      <c r="AG305" s="30">
        <f>IF($AA318="","",IF(LEFT(UPPER(TRIM($AA318)),8)="FELICITA","N/A",IF($AE318="","",IFERROR(VLOOKUP(UPPER(TRIM($AE318)),Config!$A$6:$D$8,3,FALSE),IFERROR(VLOOKUP(IF(LEFT(UPPER(TRIM($AE318)),5)="SUPER","SUPER SALUD",IF(LEFT(UPPER(TRIM($AE318)),8)="SECRETAR","SECRETARIA DE SALUD",IF(LEFT(UPPER(TRIM($AE318)),4)="SEDE","SEDE",UPPER(TRIM($AE318))))),Config!$A$6:$D$8,3,FALSE),"")))))</f>
        <v/>
      </c>
      <c r="AH305" s="39">
        <f>IF(OR($E318="",NOT(ISNUMBER($E318)),$AF318="",$AF318="N/A",NOT(ISNUMBER($AF318))),"",IF($AG318="Hábiles",WORKDAY(INT($E318),$AF318,Config!$F$6:$F$39),INT($E318)+$AF318))</f>
        <v/>
      </c>
      <c r="AI305" s="30">
        <f>IF($E318="","",IF(LEFT(UPPER(TRIM($AA318)),8)="FELICITA","⭐ Felicitación",IF(NOT(ISNUMBER($E318)),"⚠ Revisar fecha",IF(UPPER(TRIM($AK318))="RESPONDIDA - CERRADA","✅ Cerrada",IF($AE318="","⚠ Falta entidad",IF($AH318="","⚠ Revisar término",IF(TODAY()&gt;$AH318,"🔴 Vencida",IF($AH318-TODAY()&lt;=Config!$B$12,"🟡 Próxima a vencer","🟢 En término"))))))))</f>
        <v/>
      </c>
      <c r="AJ305" s="42">
        <f>IF(OR($E318="",NOT(ISNUMBER($E318))),"",IF(ISNUMBER($AS318),MAX(0,INT($AS318)-INT($E318)),MAX(0,TODAY()-INT($E318))))</f>
        <v/>
      </c>
      <c r="AK305" s="30" t="n"/>
      <c r="AL305" s="30" t="n"/>
      <c r="AM305" s="30" t="n"/>
      <c r="AN305" s="39" t="n"/>
      <c r="AO305" s="30" t="n"/>
      <c r="AP305" s="30" t="n"/>
      <c r="AQ305" s="39" t="n"/>
      <c r="AR305" s="30" t="n"/>
      <c r="AS305" s="39" t="n"/>
      <c r="AT305" s="30">
        <f>IF(OR($AS318="",NOT(ISNUMBER($AS318)),$AH318=""),"",IF(INT($AS318)&lt;=$AH318,"A tiempo","Fuera de término"))</f>
        <v/>
      </c>
      <c r="AU305" s="40" t="n"/>
      <c r="AV305" s="40" t="n"/>
      <c r="AW305" s="40" t="n"/>
      <c r="AX305" s="40" t="n"/>
      <c r="AY305" s="30" t="n"/>
      <c r="AZ305" s="30" t="n"/>
      <c r="BA305" s="30" t="n"/>
    </row>
    <row r="306" ht="15.75" customHeight="1" s="57">
      <c r="A306" s="29" t="n"/>
      <c r="B306" s="30" t="n"/>
      <c r="C306" s="39" t="n"/>
      <c r="D306" s="39" t="n"/>
      <c r="E306" s="39" t="n"/>
      <c r="F306" s="40" t="n"/>
      <c r="G306" s="30" t="n"/>
      <c r="H306" s="30" t="n"/>
      <c r="I306" s="30" t="n"/>
      <c r="J306" s="30" t="n"/>
      <c r="K306" s="30" t="n"/>
      <c r="L306" s="30" t="n"/>
      <c r="M306" s="30" t="n"/>
      <c r="N306" s="30" t="n"/>
      <c r="O306" s="30" t="n"/>
      <c r="P306" s="30" t="n"/>
      <c r="Q306" s="30" t="n"/>
      <c r="R306" s="30" t="n"/>
      <c r="S306" s="30" t="n"/>
      <c r="T306" s="30" t="n"/>
      <c r="U306" s="30" t="n"/>
      <c r="V306" s="30" t="n"/>
      <c r="W306" s="30" t="n"/>
      <c r="X306" s="30" t="n"/>
      <c r="Y306" s="30" t="n"/>
      <c r="Z306" s="30" t="n"/>
      <c r="AA306" s="30" t="n"/>
      <c r="AB306" s="30" t="n"/>
      <c r="AC306" s="30" t="n"/>
      <c r="AD306" s="41" t="n"/>
      <c r="AE306" s="30" t="n"/>
      <c r="AF306" s="42">
        <f>IF($AA319="","",IF(LEFT(UPPER(TRIM($AA319)),8)="FELICITA","N/A",IF($AE319="","",IFERROR(VLOOKUP(UPPER(TRIM($AE319)),Config!$A$6:$D$8,2,FALSE),IFERROR(VLOOKUP(IF(LEFT(UPPER(TRIM($AE319)),5)="SUPER","SUPER SALUD",IF(LEFT(UPPER(TRIM($AE319)),8)="SECRETAR","SECRETARIA DE SALUD",IF(LEFT(UPPER(TRIM($AE319)),4)="SEDE","SEDE",UPPER(TRIM($AE319))))),Config!$A$6:$D$8,2,FALSE),"⚠")))))</f>
        <v/>
      </c>
      <c r="AG306" s="30">
        <f>IF($AA319="","",IF(LEFT(UPPER(TRIM($AA319)),8)="FELICITA","N/A",IF($AE319="","",IFERROR(VLOOKUP(UPPER(TRIM($AE319)),Config!$A$6:$D$8,3,FALSE),IFERROR(VLOOKUP(IF(LEFT(UPPER(TRIM($AE319)),5)="SUPER","SUPER SALUD",IF(LEFT(UPPER(TRIM($AE319)),8)="SECRETAR","SECRETARIA DE SALUD",IF(LEFT(UPPER(TRIM($AE319)),4)="SEDE","SEDE",UPPER(TRIM($AE319))))),Config!$A$6:$D$8,3,FALSE),"")))))</f>
        <v/>
      </c>
      <c r="AH306" s="39">
        <f>IF(OR($E319="",NOT(ISNUMBER($E319)),$AF319="",$AF319="N/A",NOT(ISNUMBER($AF319))),"",IF($AG319="Hábiles",WORKDAY(INT($E319),$AF319,Config!$F$6:$F$39),INT($E319)+$AF319))</f>
        <v/>
      </c>
      <c r="AI306" s="30">
        <f>IF($E319="","",IF(LEFT(UPPER(TRIM($AA319)),8)="FELICITA","⭐ Felicitación",IF(NOT(ISNUMBER($E319)),"⚠ Revisar fecha",IF(UPPER(TRIM($AK319))="RESPONDIDA - CERRADA","✅ Cerrada",IF($AE319="","⚠ Falta entidad",IF($AH319="","⚠ Revisar término",IF(TODAY()&gt;$AH319,"🔴 Vencida",IF($AH319-TODAY()&lt;=Config!$B$12,"🟡 Próxima a vencer","🟢 En término"))))))))</f>
        <v/>
      </c>
      <c r="AJ306" s="42">
        <f>IF(OR($E319="",NOT(ISNUMBER($E319))),"",IF(ISNUMBER($AS319),MAX(0,INT($AS319)-INT($E319)),MAX(0,TODAY()-INT($E319))))</f>
        <v/>
      </c>
      <c r="AK306" s="30" t="n"/>
      <c r="AL306" s="30" t="n"/>
      <c r="AM306" s="30" t="n"/>
      <c r="AN306" s="39" t="n"/>
      <c r="AO306" s="30" t="n"/>
      <c r="AP306" s="30" t="n"/>
      <c r="AQ306" s="39" t="n"/>
      <c r="AR306" s="30" t="n"/>
      <c r="AS306" s="39" t="n"/>
      <c r="AT306" s="30">
        <f>IF(OR($AS319="",NOT(ISNUMBER($AS319)),$AH319=""),"",IF(INT($AS319)&lt;=$AH319,"A tiempo","Fuera de término"))</f>
        <v/>
      </c>
      <c r="AU306" s="40" t="n"/>
      <c r="AV306" s="40" t="n"/>
      <c r="AW306" s="40" t="n"/>
      <c r="AX306" s="40" t="n"/>
      <c r="AY306" s="30" t="n"/>
      <c r="AZ306" s="30" t="n"/>
      <c r="BA306" s="30" t="n"/>
    </row>
    <row r="307" ht="15.75" customHeight="1" s="57">
      <c r="A307" s="29" t="n"/>
      <c r="B307" s="30" t="n"/>
      <c r="C307" s="39" t="n"/>
      <c r="D307" s="39" t="n"/>
      <c r="E307" s="39" t="n"/>
      <c r="F307" s="40" t="n"/>
      <c r="G307" s="30" t="n"/>
      <c r="H307" s="30" t="n"/>
      <c r="I307" s="30" t="n"/>
      <c r="J307" s="30" t="n"/>
      <c r="K307" s="30" t="n"/>
      <c r="L307" s="30" t="n"/>
      <c r="M307" s="30" t="n"/>
      <c r="N307" s="30" t="n"/>
      <c r="O307" s="30" t="n"/>
      <c r="P307" s="30" t="n"/>
      <c r="Q307" s="30" t="n"/>
      <c r="R307" s="30" t="n"/>
      <c r="S307" s="30" t="n"/>
      <c r="T307" s="30" t="n"/>
      <c r="U307" s="30" t="n"/>
      <c r="V307" s="30" t="n"/>
      <c r="W307" s="30" t="n"/>
      <c r="X307" s="30" t="n"/>
      <c r="Y307" s="30" t="n"/>
      <c r="Z307" s="30" t="n"/>
      <c r="AA307" s="30" t="n"/>
      <c r="AB307" s="30" t="n"/>
      <c r="AC307" s="30" t="n"/>
      <c r="AD307" s="41" t="n"/>
      <c r="AE307" s="30" t="n"/>
      <c r="AF307" s="42">
        <f>IF($AA320="","",IF(LEFT(UPPER(TRIM($AA320)),8)="FELICITA","N/A",IF($AE320="","",IFERROR(VLOOKUP(UPPER(TRIM($AE320)),Config!$A$6:$D$8,2,FALSE),IFERROR(VLOOKUP(IF(LEFT(UPPER(TRIM($AE320)),5)="SUPER","SUPER SALUD",IF(LEFT(UPPER(TRIM($AE320)),8)="SECRETAR","SECRETARIA DE SALUD",IF(LEFT(UPPER(TRIM($AE320)),4)="SEDE","SEDE",UPPER(TRIM($AE320))))),Config!$A$6:$D$8,2,FALSE),"⚠")))))</f>
        <v/>
      </c>
      <c r="AG307" s="30">
        <f>IF($AA320="","",IF(LEFT(UPPER(TRIM($AA320)),8)="FELICITA","N/A",IF($AE320="","",IFERROR(VLOOKUP(UPPER(TRIM($AE320)),Config!$A$6:$D$8,3,FALSE),IFERROR(VLOOKUP(IF(LEFT(UPPER(TRIM($AE320)),5)="SUPER","SUPER SALUD",IF(LEFT(UPPER(TRIM($AE320)),8)="SECRETAR","SECRETARIA DE SALUD",IF(LEFT(UPPER(TRIM($AE320)),4)="SEDE","SEDE",UPPER(TRIM($AE320))))),Config!$A$6:$D$8,3,FALSE),"")))))</f>
        <v/>
      </c>
      <c r="AH307" s="39">
        <f>IF(OR($E320="",NOT(ISNUMBER($E320)),$AF320="",$AF320="N/A",NOT(ISNUMBER($AF320))),"",IF($AG320="Hábiles",WORKDAY(INT($E320),$AF320,Config!$F$6:$F$39),INT($E320)+$AF320))</f>
        <v/>
      </c>
      <c r="AI307" s="30">
        <f>IF($E320="","",IF(LEFT(UPPER(TRIM($AA320)),8)="FELICITA","⭐ Felicitación",IF(NOT(ISNUMBER($E320)),"⚠ Revisar fecha",IF(UPPER(TRIM($AK320))="RESPONDIDA - CERRADA","✅ Cerrada",IF($AE320="","⚠ Falta entidad",IF($AH320="","⚠ Revisar término",IF(TODAY()&gt;$AH320,"🔴 Vencida",IF($AH320-TODAY()&lt;=Config!$B$12,"🟡 Próxima a vencer","🟢 En término"))))))))</f>
        <v/>
      </c>
      <c r="AJ307" s="42">
        <f>IF(OR($E320="",NOT(ISNUMBER($E320))),"",IF(ISNUMBER($AS320),MAX(0,INT($AS320)-INT($E320)),MAX(0,TODAY()-INT($E320))))</f>
        <v/>
      </c>
      <c r="AK307" s="30" t="n"/>
      <c r="AL307" s="30" t="n"/>
      <c r="AM307" s="30" t="n"/>
      <c r="AN307" s="39" t="n"/>
      <c r="AO307" s="30" t="n"/>
      <c r="AP307" s="30" t="n"/>
      <c r="AQ307" s="39" t="n"/>
      <c r="AR307" s="30" t="n"/>
      <c r="AS307" s="39" t="n"/>
      <c r="AT307" s="30">
        <f>IF(OR($AS320="",NOT(ISNUMBER($AS320)),$AH320=""),"",IF(INT($AS320)&lt;=$AH320,"A tiempo","Fuera de término"))</f>
        <v/>
      </c>
      <c r="AU307" s="40" t="n"/>
      <c r="AV307" s="40" t="n"/>
      <c r="AW307" s="40" t="n"/>
      <c r="AX307" s="40" t="n"/>
      <c r="AY307" s="30" t="n"/>
      <c r="AZ307" s="30" t="n"/>
      <c r="BA307" s="30" t="n"/>
    </row>
    <row r="308" ht="15.75" customHeight="1" s="57">
      <c r="A308" s="29" t="n"/>
      <c r="B308" s="30" t="n"/>
      <c r="C308" s="39" t="n"/>
      <c r="D308" s="39" t="n"/>
      <c r="E308" s="39" t="n"/>
      <c r="F308" s="40" t="n"/>
      <c r="G308" s="30" t="n"/>
      <c r="H308" s="30" t="n"/>
      <c r="I308" s="30" t="n"/>
      <c r="J308" s="30" t="n"/>
      <c r="K308" s="30" t="n"/>
      <c r="L308" s="30" t="n"/>
      <c r="M308" s="30" t="n"/>
      <c r="N308" s="30" t="n"/>
      <c r="O308" s="30" t="n"/>
      <c r="P308" s="30" t="n"/>
      <c r="Q308" s="30" t="n"/>
      <c r="R308" s="30" t="n"/>
      <c r="S308" s="30" t="n"/>
      <c r="T308" s="30" t="n"/>
      <c r="U308" s="30" t="n"/>
      <c r="V308" s="30" t="n"/>
      <c r="W308" s="30" t="n"/>
      <c r="X308" s="30" t="n"/>
      <c r="Y308" s="30" t="n"/>
      <c r="Z308" s="30" t="n"/>
      <c r="AA308" s="30" t="n"/>
      <c r="AB308" s="30" t="n"/>
      <c r="AC308" s="30" t="n"/>
      <c r="AD308" s="41" t="n"/>
      <c r="AE308" s="30" t="n"/>
      <c r="AF308" s="42">
        <f>IF($AA321="","",IF(LEFT(UPPER(TRIM($AA321)),8)="FELICITA","N/A",IF($AE321="","",IFERROR(VLOOKUP(UPPER(TRIM($AE321)),Config!$A$6:$D$8,2,FALSE),IFERROR(VLOOKUP(IF(LEFT(UPPER(TRIM($AE321)),5)="SUPER","SUPER SALUD",IF(LEFT(UPPER(TRIM($AE321)),8)="SECRETAR","SECRETARIA DE SALUD",IF(LEFT(UPPER(TRIM($AE321)),4)="SEDE","SEDE",UPPER(TRIM($AE321))))),Config!$A$6:$D$8,2,FALSE),"⚠")))))</f>
        <v/>
      </c>
      <c r="AG308" s="30">
        <f>IF($AA321="","",IF(LEFT(UPPER(TRIM($AA321)),8)="FELICITA","N/A",IF($AE321="","",IFERROR(VLOOKUP(UPPER(TRIM($AE321)),Config!$A$6:$D$8,3,FALSE),IFERROR(VLOOKUP(IF(LEFT(UPPER(TRIM($AE321)),5)="SUPER","SUPER SALUD",IF(LEFT(UPPER(TRIM($AE321)),8)="SECRETAR","SECRETARIA DE SALUD",IF(LEFT(UPPER(TRIM($AE321)),4)="SEDE","SEDE",UPPER(TRIM($AE321))))),Config!$A$6:$D$8,3,FALSE),"")))))</f>
        <v/>
      </c>
      <c r="AH308" s="39">
        <f>IF(OR($E321="",NOT(ISNUMBER($E321)),$AF321="",$AF321="N/A",NOT(ISNUMBER($AF321))),"",IF($AG321="Hábiles",WORKDAY(INT($E321),$AF321,Config!$F$6:$F$39),INT($E321)+$AF321))</f>
        <v/>
      </c>
      <c r="AI308" s="30">
        <f>IF($E321="","",IF(LEFT(UPPER(TRIM($AA321)),8)="FELICITA","⭐ Felicitación",IF(NOT(ISNUMBER($E321)),"⚠ Revisar fecha",IF(UPPER(TRIM($AK321))="RESPONDIDA - CERRADA","✅ Cerrada",IF($AE321="","⚠ Falta entidad",IF($AH321="","⚠ Revisar término",IF(TODAY()&gt;$AH321,"🔴 Vencida",IF($AH321-TODAY()&lt;=Config!$B$12,"🟡 Próxima a vencer","🟢 En término"))))))))</f>
        <v/>
      </c>
      <c r="AJ308" s="42">
        <f>IF(OR($E321="",NOT(ISNUMBER($E321))),"",IF(ISNUMBER($AS321),MAX(0,INT($AS321)-INT($E321)),MAX(0,TODAY()-INT($E321))))</f>
        <v/>
      </c>
      <c r="AK308" s="30" t="n"/>
      <c r="AL308" s="30" t="n"/>
      <c r="AM308" s="30" t="n"/>
      <c r="AN308" s="39" t="n"/>
      <c r="AO308" s="30" t="n"/>
      <c r="AP308" s="30" t="n"/>
      <c r="AQ308" s="39" t="n"/>
      <c r="AR308" s="30" t="n"/>
      <c r="AS308" s="39" t="n"/>
      <c r="AT308" s="30">
        <f>IF(OR($AS321="",NOT(ISNUMBER($AS321)),$AH321=""),"",IF(INT($AS321)&lt;=$AH321,"A tiempo","Fuera de término"))</f>
        <v/>
      </c>
      <c r="AU308" s="40" t="n"/>
      <c r="AV308" s="40" t="n"/>
      <c r="AW308" s="40" t="n"/>
      <c r="AX308" s="40" t="n"/>
      <c r="AY308" s="30" t="n"/>
      <c r="AZ308" s="30" t="n"/>
      <c r="BA308" s="30" t="n"/>
    </row>
    <row r="309" ht="15.75" customHeight="1" s="57">
      <c r="A309" s="29" t="n"/>
      <c r="B309" s="30" t="n"/>
      <c r="C309" s="39" t="n"/>
      <c r="D309" s="39" t="n"/>
      <c r="E309" s="39" t="n"/>
      <c r="F309" s="40" t="n"/>
      <c r="G309" s="30" t="n"/>
      <c r="H309" s="30" t="n"/>
      <c r="I309" s="30" t="n"/>
      <c r="J309" s="30" t="n"/>
      <c r="K309" s="30" t="n"/>
      <c r="L309" s="30" t="n"/>
      <c r="M309" s="30" t="n"/>
      <c r="N309" s="30" t="n"/>
      <c r="O309" s="30" t="n"/>
      <c r="P309" s="30" t="n"/>
      <c r="Q309" s="30" t="n"/>
      <c r="R309" s="30" t="n"/>
      <c r="S309" s="30" t="n"/>
      <c r="T309" s="30" t="n"/>
      <c r="U309" s="30" t="n"/>
      <c r="V309" s="30" t="n"/>
      <c r="W309" s="30" t="n"/>
      <c r="X309" s="30" t="n"/>
      <c r="Y309" s="30" t="n"/>
      <c r="Z309" s="30" t="n"/>
      <c r="AA309" s="30" t="n"/>
      <c r="AB309" s="30" t="n"/>
      <c r="AC309" s="30" t="n"/>
      <c r="AD309" s="41" t="n"/>
      <c r="AE309" s="30" t="n"/>
      <c r="AF309" s="42">
        <f>IF($AA322="","",IF(LEFT(UPPER(TRIM($AA322)),8)="FELICITA","N/A",IF($AE322="","",IFERROR(VLOOKUP(UPPER(TRIM($AE322)),Config!$A$6:$D$8,2,FALSE),IFERROR(VLOOKUP(IF(LEFT(UPPER(TRIM($AE322)),5)="SUPER","SUPER SALUD",IF(LEFT(UPPER(TRIM($AE322)),8)="SECRETAR","SECRETARIA DE SALUD",IF(LEFT(UPPER(TRIM($AE322)),4)="SEDE","SEDE",UPPER(TRIM($AE322))))),Config!$A$6:$D$8,2,FALSE),"⚠")))))</f>
        <v/>
      </c>
      <c r="AG309" s="30">
        <f>IF($AA322="","",IF(LEFT(UPPER(TRIM($AA322)),8)="FELICITA","N/A",IF($AE322="","",IFERROR(VLOOKUP(UPPER(TRIM($AE322)),Config!$A$6:$D$8,3,FALSE),IFERROR(VLOOKUP(IF(LEFT(UPPER(TRIM($AE322)),5)="SUPER","SUPER SALUD",IF(LEFT(UPPER(TRIM($AE322)),8)="SECRETAR","SECRETARIA DE SALUD",IF(LEFT(UPPER(TRIM($AE322)),4)="SEDE","SEDE",UPPER(TRIM($AE322))))),Config!$A$6:$D$8,3,FALSE),"")))))</f>
        <v/>
      </c>
      <c r="AH309" s="39">
        <f>IF(OR($E322="",NOT(ISNUMBER($E322)),$AF322="",$AF322="N/A",NOT(ISNUMBER($AF322))),"",IF($AG322="Hábiles",WORKDAY(INT($E322),$AF322,Config!$F$6:$F$39),INT($E322)+$AF322))</f>
        <v/>
      </c>
      <c r="AI309" s="30">
        <f>IF($E322="","",IF(LEFT(UPPER(TRIM($AA322)),8)="FELICITA","⭐ Felicitación",IF(NOT(ISNUMBER($E322)),"⚠ Revisar fecha",IF(UPPER(TRIM($AK322))="RESPONDIDA - CERRADA","✅ Cerrada",IF($AE322="","⚠ Falta entidad",IF($AH322="","⚠ Revisar término",IF(TODAY()&gt;$AH322,"🔴 Vencida",IF($AH322-TODAY()&lt;=Config!$B$12,"🟡 Próxima a vencer","🟢 En término"))))))))</f>
        <v/>
      </c>
      <c r="AJ309" s="42">
        <f>IF(OR($E322="",NOT(ISNUMBER($E322))),"",IF(ISNUMBER($AS322),MAX(0,INT($AS322)-INT($E322)),MAX(0,TODAY()-INT($E322))))</f>
        <v/>
      </c>
      <c r="AK309" s="30" t="n"/>
      <c r="AL309" s="30" t="n"/>
      <c r="AM309" s="30" t="n"/>
      <c r="AN309" s="39" t="n"/>
      <c r="AO309" s="30" t="n"/>
      <c r="AP309" s="30" t="n"/>
      <c r="AQ309" s="39" t="n"/>
      <c r="AR309" s="30" t="n"/>
      <c r="AS309" s="39" t="n"/>
      <c r="AT309" s="30">
        <f>IF(OR($AS322="",NOT(ISNUMBER($AS322)),$AH322=""),"",IF(INT($AS322)&lt;=$AH322,"A tiempo","Fuera de término"))</f>
        <v/>
      </c>
      <c r="AU309" s="40" t="n"/>
      <c r="AV309" s="40" t="n"/>
      <c r="AW309" s="40" t="n"/>
      <c r="AX309" s="40" t="n"/>
      <c r="AY309" s="30" t="n"/>
      <c r="AZ309" s="30" t="n"/>
      <c r="BA309" s="30" t="n"/>
    </row>
    <row r="310" ht="15.75" customHeight="1" s="57">
      <c r="A310" s="29" t="n"/>
      <c r="B310" s="30" t="n"/>
      <c r="C310" s="39" t="n"/>
      <c r="D310" s="39" t="n"/>
      <c r="E310" s="39" t="n"/>
      <c r="F310" s="40" t="n"/>
      <c r="G310" s="30" t="n"/>
      <c r="H310" s="30" t="n"/>
      <c r="I310" s="30" t="n"/>
      <c r="J310" s="30" t="n"/>
      <c r="K310" s="30" t="n"/>
      <c r="L310" s="30" t="n"/>
      <c r="M310" s="30" t="n"/>
      <c r="N310" s="30" t="n"/>
      <c r="O310" s="30" t="n"/>
      <c r="P310" s="30" t="n"/>
      <c r="Q310" s="30" t="n"/>
      <c r="R310" s="30" t="n"/>
      <c r="S310" s="30" t="n"/>
      <c r="T310" s="30" t="n"/>
      <c r="U310" s="30" t="n"/>
      <c r="V310" s="30" t="n"/>
      <c r="W310" s="30" t="n"/>
      <c r="X310" s="30" t="n"/>
      <c r="Y310" s="30" t="n"/>
      <c r="Z310" s="30" t="n"/>
      <c r="AA310" s="30" t="n"/>
      <c r="AB310" s="30" t="n"/>
      <c r="AC310" s="30" t="n"/>
      <c r="AD310" s="41" t="n"/>
      <c r="AE310" s="30" t="n"/>
      <c r="AF310" s="42">
        <f>IF($AA323="","",IF(LEFT(UPPER(TRIM($AA323)),8)="FELICITA","N/A",IF($AE323="","",IFERROR(VLOOKUP(UPPER(TRIM($AE323)),Config!$A$6:$D$8,2,FALSE),IFERROR(VLOOKUP(IF(LEFT(UPPER(TRIM($AE323)),5)="SUPER","SUPER SALUD",IF(LEFT(UPPER(TRIM($AE323)),8)="SECRETAR","SECRETARIA DE SALUD",IF(LEFT(UPPER(TRIM($AE323)),4)="SEDE","SEDE",UPPER(TRIM($AE323))))),Config!$A$6:$D$8,2,FALSE),"⚠")))))</f>
        <v/>
      </c>
      <c r="AG310" s="30">
        <f>IF($AA323="","",IF(LEFT(UPPER(TRIM($AA323)),8)="FELICITA","N/A",IF($AE323="","",IFERROR(VLOOKUP(UPPER(TRIM($AE323)),Config!$A$6:$D$8,3,FALSE),IFERROR(VLOOKUP(IF(LEFT(UPPER(TRIM($AE323)),5)="SUPER","SUPER SALUD",IF(LEFT(UPPER(TRIM($AE323)),8)="SECRETAR","SECRETARIA DE SALUD",IF(LEFT(UPPER(TRIM($AE323)),4)="SEDE","SEDE",UPPER(TRIM($AE323))))),Config!$A$6:$D$8,3,FALSE),"")))))</f>
        <v/>
      </c>
      <c r="AH310" s="39">
        <f>IF(OR($E323="",NOT(ISNUMBER($E323)),$AF323="",$AF323="N/A",NOT(ISNUMBER($AF323))),"",IF($AG323="Hábiles",WORKDAY(INT($E323),$AF323,Config!$F$6:$F$39),INT($E323)+$AF323))</f>
        <v/>
      </c>
      <c r="AI310" s="30">
        <f>IF($E323="","",IF(LEFT(UPPER(TRIM($AA323)),8)="FELICITA","⭐ Felicitación",IF(NOT(ISNUMBER($E323)),"⚠ Revisar fecha",IF(UPPER(TRIM($AK323))="RESPONDIDA - CERRADA","✅ Cerrada",IF($AE323="","⚠ Falta entidad",IF($AH323="","⚠ Revisar término",IF(TODAY()&gt;$AH323,"🔴 Vencida",IF($AH323-TODAY()&lt;=Config!$B$12,"🟡 Próxima a vencer","🟢 En término"))))))))</f>
        <v/>
      </c>
      <c r="AJ310" s="42">
        <f>IF(OR($E323="",NOT(ISNUMBER($E323))),"",IF(ISNUMBER($AS323),MAX(0,INT($AS323)-INT($E323)),MAX(0,TODAY()-INT($E323))))</f>
        <v/>
      </c>
      <c r="AK310" s="30" t="n"/>
      <c r="AL310" s="30" t="n"/>
      <c r="AM310" s="30" t="n"/>
      <c r="AN310" s="39" t="n"/>
      <c r="AO310" s="30" t="n"/>
      <c r="AP310" s="30" t="n"/>
      <c r="AQ310" s="39" t="n"/>
      <c r="AR310" s="30" t="n"/>
      <c r="AS310" s="39" t="n"/>
      <c r="AT310" s="30">
        <f>IF(OR($AS323="",NOT(ISNUMBER($AS323)),$AH323=""),"",IF(INT($AS323)&lt;=$AH323,"A tiempo","Fuera de término"))</f>
        <v/>
      </c>
      <c r="AU310" s="40" t="n"/>
      <c r="AV310" s="40" t="n"/>
      <c r="AW310" s="40" t="n"/>
      <c r="AX310" s="40" t="n"/>
      <c r="AY310" s="30" t="n"/>
      <c r="AZ310" s="30" t="n"/>
      <c r="BA310" s="30" t="n"/>
    </row>
    <row r="311" ht="15.75" customHeight="1" s="57">
      <c r="A311" s="29" t="n"/>
      <c r="B311" s="30" t="n"/>
      <c r="C311" s="39" t="n"/>
      <c r="D311" s="39" t="n"/>
      <c r="E311" s="39" t="n"/>
      <c r="F311" s="40" t="n"/>
      <c r="G311" s="30" t="n"/>
      <c r="H311" s="30" t="n"/>
      <c r="I311" s="30" t="n"/>
      <c r="J311" s="30" t="n"/>
      <c r="K311" s="30" t="n"/>
      <c r="L311" s="30" t="n"/>
      <c r="M311" s="30" t="n"/>
      <c r="N311" s="30" t="n"/>
      <c r="O311" s="30" t="n"/>
      <c r="P311" s="30" t="n"/>
      <c r="Q311" s="30" t="n"/>
      <c r="R311" s="30" t="n"/>
      <c r="S311" s="30" t="n"/>
      <c r="T311" s="30" t="n"/>
      <c r="U311" s="30" t="n"/>
      <c r="V311" s="30" t="n"/>
      <c r="W311" s="30" t="n"/>
      <c r="X311" s="30" t="n"/>
      <c r="Y311" s="30" t="n"/>
      <c r="Z311" s="30" t="n"/>
      <c r="AA311" s="30" t="n"/>
      <c r="AB311" s="30" t="n"/>
      <c r="AC311" s="30" t="n"/>
      <c r="AD311" s="41" t="n"/>
      <c r="AE311" s="30" t="n"/>
      <c r="AF311" s="42">
        <f>IF($AA324="","",IF(LEFT(UPPER(TRIM($AA324)),8)="FELICITA","N/A",IF($AE324="","",IFERROR(VLOOKUP(UPPER(TRIM($AE324)),Config!$A$6:$D$8,2,FALSE),IFERROR(VLOOKUP(IF(LEFT(UPPER(TRIM($AE324)),5)="SUPER","SUPER SALUD",IF(LEFT(UPPER(TRIM($AE324)),8)="SECRETAR","SECRETARIA DE SALUD",IF(LEFT(UPPER(TRIM($AE324)),4)="SEDE","SEDE",UPPER(TRIM($AE324))))),Config!$A$6:$D$8,2,FALSE),"⚠")))))</f>
        <v/>
      </c>
      <c r="AG311" s="30">
        <f>IF($AA324="","",IF(LEFT(UPPER(TRIM($AA324)),8)="FELICITA","N/A",IF($AE324="","",IFERROR(VLOOKUP(UPPER(TRIM($AE324)),Config!$A$6:$D$8,3,FALSE),IFERROR(VLOOKUP(IF(LEFT(UPPER(TRIM($AE324)),5)="SUPER","SUPER SALUD",IF(LEFT(UPPER(TRIM($AE324)),8)="SECRETAR","SECRETARIA DE SALUD",IF(LEFT(UPPER(TRIM($AE324)),4)="SEDE","SEDE",UPPER(TRIM($AE324))))),Config!$A$6:$D$8,3,FALSE),"")))))</f>
        <v/>
      </c>
      <c r="AH311" s="39">
        <f>IF(OR($E324="",NOT(ISNUMBER($E324)),$AF324="",$AF324="N/A",NOT(ISNUMBER($AF324))),"",IF($AG324="Hábiles",WORKDAY(INT($E324),$AF324,Config!$F$6:$F$39),INT($E324)+$AF324))</f>
        <v/>
      </c>
      <c r="AI311" s="30">
        <f>IF($E324="","",IF(LEFT(UPPER(TRIM($AA324)),8)="FELICITA","⭐ Felicitación",IF(NOT(ISNUMBER($E324)),"⚠ Revisar fecha",IF(UPPER(TRIM($AK324))="RESPONDIDA - CERRADA","✅ Cerrada",IF($AE324="","⚠ Falta entidad",IF($AH324="","⚠ Revisar término",IF(TODAY()&gt;$AH324,"🔴 Vencida",IF($AH324-TODAY()&lt;=Config!$B$12,"🟡 Próxima a vencer","🟢 En término"))))))))</f>
        <v/>
      </c>
      <c r="AJ311" s="42">
        <f>IF(OR($E324="",NOT(ISNUMBER($E324))),"",IF(ISNUMBER($AS324),MAX(0,INT($AS324)-INT($E324)),MAX(0,TODAY()-INT($E324))))</f>
        <v/>
      </c>
      <c r="AK311" s="30" t="n"/>
      <c r="AL311" s="30" t="n"/>
      <c r="AM311" s="30" t="n"/>
      <c r="AN311" s="39" t="n"/>
      <c r="AO311" s="30" t="n"/>
      <c r="AP311" s="30" t="n"/>
      <c r="AQ311" s="39" t="n"/>
      <c r="AR311" s="30" t="n"/>
      <c r="AS311" s="39" t="n"/>
      <c r="AT311" s="30">
        <f>IF(OR($AS324="",NOT(ISNUMBER($AS324)),$AH324=""),"",IF(INT($AS324)&lt;=$AH324,"A tiempo","Fuera de término"))</f>
        <v/>
      </c>
      <c r="AU311" s="40" t="n"/>
      <c r="AV311" s="40" t="n"/>
      <c r="AW311" s="40" t="n"/>
      <c r="AX311" s="40" t="n"/>
      <c r="AY311" s="30" t="n"/>
      <c r="AZ311" s="30" t="n"/>
      <c r="BA311" s="30" t="n"/>
    </row>
    <row r="312" ht="15.75" customHeight="1" s="57">
      <c r="A312" s="29" t="n"/>
      <c r="B312" s="30" t="n"/>
      <c r="C312" s="39" t="n"/>
      <c r="D312" s="39" t="n"/>
      <c r="E312" s="39" t="n"/>
      <c r="F312" s="40" t="n"/>
      <c r="G312" s="30" t="n"/>
      <c r="H312" s="30" t="n"/>
      <c r="I312" s="30" t="n"/>
      <c r="J312" s="30" t="n"/>
      <c r="K312" s="30" t="n"/>
      <c r="L312" s="30" t="n"/>
      <c r="M312" s="30" t="n"/>
      <c r="N312" s="30" t="n"/>
      <c r="O312" s="30" t="n"/>
      <c r="P312" s="30" t="n"/>
      <c r="Q312" s="30" t="n"/>
      <c r="R312" s="30" t="n"/>
      <c r="S312" s="30" t="n"/>
      <c r="T312" s="30" t="n"/>
      <c r="U312" s="30" t="n"/>
      <c r="V312" s="30" t="n"/>
      <c r="W312" s="30" t="n"/>
      <c r="X312" s="30" t="n"/>
      <c r="Y312" s="30" t="n"/>
      <c r="Z312" s="30" t="n"/>
      <c r="AA312" s="30" t="n"/>
      <c r="AB312" s="30" t="n"/>
      <c r="AC312" s="30" t="n"/>
      <c r="AD312" s="41" t="n"/>
      <c r="AE312" s="30" t="n"/>
      <c r="AF312" s="42">
        <f>IF($AA325="","",IF(LEFT(UPPER(TRIM($AA325)),8)="FELICITA","N/A",IF($AE325="","",IFERROR(VLOOKUP(UPPER(TRIM($AE325)),Config!$A$6:$D$8,2,FALSE),IFERROR(VLOOKUP(IF(LEFT(UPPER(TRIM($AE325)),5)="SUPER","SUPER SALUD",IF(LEFT(UPPER(TRIM($AE325)),8)="SECRETAR","SECRETARIA DE SALUD",IF(LEFT(UPPER(TRIM($AE325)),4)="SEDE","SEDE",UPPER(TRIM($AE325))))),Config!$A$6:$D$8,2,FALSE),"⚠")))))</f>
        <v/>
      </c>
      <c r="AG312" s="30">
        <f>IF($AA325="","",IF(LEFT(UPPER(TRIM($AA325)),8)="FELICITA","N/A",IF($AE325="","",IFERROR(VLOOKUP(UPPER(TRIM($AE325)),Config!$A$6:$D$8,3,FALSE),IFERROR(VLOOKUP(IF(LEFT(UPPER(TRIM($AE325)),5)="SUPER","SUPER SALUD",IF(LEFT(UPPER(TRIM($AE325)),8)="SECRETAR","SECRETARIA DE SALUD",IF(LEFT(UPPER(TRIM($AE325)),4)="SEDE","SEDE",UPPER(TRIM($AE325))))),Config!$A$6:$D$8,3,FALSE),"")))))</f>
        <v/>
      </c>
      <c r="AH312" s="39">
        <f>IF(OR($E325="",NOT(ISNUMBER($E325)),$AF325="",$AF325="N/A",NOT(ISNUMBER($AF325))),"",IF($AG325="Hábiles",WORKDAY(INT($E325),$AF325,Config!$F$6:$F$39),INT($E325)+$AF325))</f>
        <v/>
      </c>
      <c r="AI312" s="30">
        <f>IF($E325="","",IF(LEFT(UPPER(TRIM($AA325)),8)="FELICITA","⭐ Felicitación",IF(NOT(ISNUMBER($E325)),"⚠ Revisar fecha",IF(UPPER(TRIM($AK325))="RESPONDIDA - CERRADA","✅ Cerrada",IF($AE325="","⚠ Falta entidad",IF($AH325="","⚠ Revisar término",IF(TODAY()&gt;$AH325,"🔴 Vencida",IF($AH325-TODAY()&lt;=Config!$B$12,"🟡 Próxima a vencer","🟢 En término"))))))))</f>
        <v/>
      </c>
      <c r="AJ312" s="42">
        <f>IF(OR($E325="",NOT(ISNUMBER($E325))),"",IF(ISNUMBER($AS325),MAX(0,INT($AS325)-INT($E325)),MAX(0,TODAY()-INT($E325))))</f>
        <v/>
      </c>
      <c r="AK312" s="30" t="n"/>
      <c r="AL312" s="30" t="n"/>
      <c r="AM312" s="30" t="n"/>
      <c r="AN312" s="39" t="n"/>
      <c r="AO312" s="30" t="n"/>
      <c r="AP312" s="30" t="n"/>
      <c r="AQ312" s="39" t="n"/>
      <c r="AR312" s="30" t="n"/>
      <c r="AS312" s="39" t="n"/>
      <c r="AT312" s="30">
        <f>IF(OR($AS325="",NOT(ISNUMBER($AS325)),$AH325=""),"",IF(INT($AS325)&lt;=$AH325,"A tiempo","Fuera de término"))</f>
        <v/>
      </c>
      <c r="AU312" s="40" t="n"/>
      <c r="AV312" s="40" t="n"/>
      <c r="AW312" s="40" t="n"/>
      <c r="AX312" s="40" t="n"/>
      <c r="AY312" s="30" t="n"/>
      <c r="AZ312" s="30" t="n"/>
      <c r="BA312" s="30" t="n"/>
    </row>
    <row r="313" ht="15.75" customHeight="1" s="57">
      <c r="A313" s="29" t="n"/>
      <c r="B313" s="30" t="n"/>
      <c r="C313" s="39" t="n"/>
      <c r="D313" s="39" t="n"/>
      <c r="E313" s="39" t="n"/>
      <c r="F313" s="40" t="n"/>
      <c r="G313" s="30" t="n"/>
      <c r="H313" s="30" t="n"/>
      <c r="I313" s="30" t="n"/>
      <c r="J313" s="30" t="n"/>
      <c r="K313" s="30" t="n"/>
      <c r="L313" s="30" t="n"/>
      <c r="M313" s="30" t="n"/>
      <c r="N313" s="30" t="n"/>
      <c r="O313" s="30" t="n"/>
      <c r="P313" s="30" t="n"/>
      <c r="Q313" s="30" t="n"/>
      <c r="R313" s="30" t="n"/>
      <c r="S313" s="30" t="n"/>
      <c r="T313" s="30" t="n"/>
      <c r="U313" s="30" t="n"/>
      <c r="V313" s="30" t="n"/>
      <c r="W313" s="30" t="n"/>
      <c r="X313" s="30" t="n"/>
      <c r="Y313" s="30" t="n"/>
      <c r="Z313" s="30" t="n"/>
      <c r="AA313" s="30" t="n"/>
      <c r="AB313" s="30" t="n"/>
      <c r="AC313" s="30" t="n"/>
      <c r="AD313" s="41" t="n"/>
      <c r="AE313" s="30" t="n"/>
      <c r="AF313" s="42">
        <f>IF($AA326="","",IF(LEFT(UPPER(TRIM($AA326)),8)="FELICITA","N/A",IF($AE326="","",IFERROR(VLOOKUP(UPPER(TRIM($AE326)),Config!$A$6:$D$8,2,FALSE),IFERROR(VLOOKUP(IF(LEFT(UPPER(TRIM($AE326)),5)="SUPER","SUPER SALUD",IF(LEFT(UPPER(TRIM($AE326)),8)="SECRETAR","SECRETARIA DE SALUD",IF(LEFT(UPPER(TRIM($AE326)),4)="SEDE","SEDE",UPPER(TRIM($AE326))))),Config!$A$6:$D$8,2,FALSE),"⚠")))))</f>
        <v/>
      </c>
      <c r="AG313" s="30">
        <f>IF($AA326="","",IF(LEFT(UPPER(TRIM($AA326)),8)="FELICITA","N/A",IF($AE326="","",IFERROR(VLOOKUP(UPPER(TRIM($AE326)),Config!$A$6:$D$8,3,FALSE),IFERROR(VLOOKUP(IF(LEFT(UPPER(TRIM($AE326)),5)="SUPER","SUPER SALUD",IF(LEFT(UPPER(TRIM($AE326)),8)="SECRETAR","SECRETARIA DE SALUD",IF(LEFT(UPPER(TRIM($AE326)),4)="SEDE","SEDE",UPPER(TRIM($AE326))))),Config!$A$6:$D$8,3,FALSE),"")))))</f>
        <v/>
      </c>
      <c r="AH313" s="39">
        <f>IF(OR($E326="",NOT(ISNUMBER($E326)),$AF326="",$AF326="N/A",NOT(ISNUMBER($AF326))),"",IF($AG326="Hábiles",WORKDAY(INT($E326),$AF326,Config!$F$6:$F$39),INT($E326)+$AF326))</f>
        <v/>
      </c>
      <c r="AI313" s="30">
        <f>IF($E326="","",IF(LEFT(UPPER(TRIM($AA326)),8)="FELICITA","⭐ Felicitación",IF(NOT(ISNUMBER($E326)),"⚠ Revisar fecha",IF(UPPER(TRIM($AK326))="RESPONDIDA - CERRADA","✅ Cerrada",IF($AE326="","⚠ Falta entidad",IF($AH326="","⚠ Revisar término",IF(TODAY()&gt;$AH326,"🔴 Vencida",IF($AH326-TODAY()&lt;=Config!$B$12,"🟡 Próxima a vencer","🟢 En término"))))))))</f>
        <v/>
      </c>
      <c r="AJ313" s="42">
        <f>IF(OR($E326="",NOT(ISNUMBER($E326))),"",IF(ISNUMBER($AS326),MAX(0,INT($AS326)-INT($E326)),MAX(0,TODAY()-INT($E326))))</f>
        <v/>
      </c>
      <c r="AK313" s="30" t="n"/>
      <c r="AL313" s="30" t="n"/>
      <c r="AM313" s="30" t="n"/>
      <c r="AN313" s="39" t="n"/>
      <c r="AO313" s="30" t="n"/>
      <c r="AP313" s="30" t="n"/>
      <c r="AQ313" s="39" t="n"/>
      <c r="AR313" s="30" t="n"/>
      <c r="AS313" s="39" t="n"/>
      <c r="AT313" s="30">
        <f>IF(OR($AS326="",NOT(ISNUMBER($AS326)),$AH326=""),"",IF(INT($AS326)&lt;=$AH326,"A tiempo","Fuera de término"))</f>
        <v/>
      </c>
      <c r="AU313" s="40" t="n"/>
      <c r="AV313" s="40" t="n"/>
      <c r="AW313" s="40" t="n"/>
      <c r="AX313" s="40" t="n"/>
      <c r="AY313" s="30" t="n"/>
      <c r="AZ313" s="30" t="n"/>
      <c r="BA313" s="30" t="n"/>
    </row>
    <row r="314" ht="15.75" customHeight="1" s="57">
      <c r="A314" s="29" t="n"/>
      <c r="B314" s="30" t="n"/>
      <c r="C314" s="39" t="n"/>
      <c r="D314" s="39" t="n"/>
      <c r="E314" s="39" t="n"/>
      <c r="F314" s="40" t="n"/>
      <c r="G314" s="30" t="n"/>
      <c r="H314" s="30" t="n"/>
      <c r="I314" s="30" t="n"/>
      <c r="J314" s="30" t="n"/>
      <c r="K314" s="30" t="n"/>
      <c r="L314" s="30" t="n"/>
      <c r="M314" s="30" t="n"/>
      <c r="N314" s="30" t="n"/>
      <c r="O314" s="30" t="n"/>
      <c r="P314" s="30" t="n"/>
      <c r="Q314" s="30" t="n"/>
      <c r="R314" s="30" t="n"/>
      <c r="S314" s="30" t="n"/>
      <c r="T314" s="30" t="n"/>
      <c r="U314" s="30" t="n"/>
      <c r="V314" s="30" t="n"/>
      <c r="W314" s="30" t="n"/>
      <c r="X314" s="30" t="n"/>
      <c r="Y314" s="30" t="n"/>
      <c r="Z314" s="30" t="n"/>
      <c r="AA314" s="30" t="n"/>
      <c r="AB314" s="30" t="n"/>
      <c r="AC314" s="30" t="n"/>
      <c r="AD314" s="41" t="n"/>
      <c r="AE314" s="30" t="n"/>
      <c r="AF314" s="42">
        <f>IF($AA327="","",IF(LEFT(UPPER(TRIM($AA327)),8)="FELICITA","N/A",IF($AE327="","",IFERROR(VLOOKUP(UPPER(TRIM($AE327)),Config!$A$6:$D$8,2,FALSE),IFERROR(VLOOKUP(IF(LEFT(UPPER(TRIM($AE327)),5)="SUPER","SUPER SALUD",IF(LEFT(UPPER(TRIM($AE327)),8)="SECRETAR","SECRETARIA DE SALUD",IF(LEFT(UPPER(TRIM($AE327)),4)="SEDE","SEDE",UPPER(TRIM($AE327))))),Config!$A$6:$D$8,2,FALSE),"⚠")))))</f>
        <v/>
      </c>
      <c r="AG314" s="30">
        <f>IF($AA327="","",IF(LEFT(UPPER(TRIM($AA327)),8)="FELICITA","N/A",IF($AE327="","",IFERROR(VLOOKUP(UPPER(TRIM($AE327)),Config!$A$6:$D$8,3,FALSE),IFERROR(VLOOKUP(IF(LEFT(UPPER(TRIM($AE327)),5)="SUPER","SUPER SALUD",IF(LEFT(UPPER(TRIM($AE327)),8)="SECRETAR","SECRETARIA DE SALUD",IF(LEFT(UPPER(TRIM($AE327)),4)="SEDE","SEDE",UPPER(TRIM($AE327))))),Config!$A$6:$D$8,3,FALSE),"")))))</f>
        <v/>
      </c>
      <c r="AH314" s="39">
        <f>IF(OR($E327="",NOT(ISNUMBER($E327)),$AF327="",$AF327="N/A",NOT(ISNUMBER($AF327))),"",IF($AG327="Hábiles",WORKDAY(INT($E327),$AF327,Config!$F$6:$F$39),INT($E327)+$AF327))</f>
        <v/>
      </c>
      <c r="AI314" s="30">
        <f>IF($E327="","",IF(LEFT(UPPER(TRIM($AA327)),8)="FELICITA","⭐ Felicitación",IF(NOT(ISNUMBER($E327)),"⚠ Revisar fecha",IF(UPPER(TRIM($AK327))="RESPONDIDA - CERRADA","✅ Cerrada",IF($AE327="","⚠ Falta entidad",IF($AH327="","⚠ Revisar término",IF(TODAY()&gt;$AH327,"🔴 Vencida",IF($AH327-TODAY()&lt;=Config!$B$12,"🟡 Próxima a vencer","🟢 En término"))))))))</f>
        <v/>
      </c>
      <c r="AJ314" s="42">
        <f>IF(OR($E327="",NOT(ISNUMBER($E327))),"",IF(ISNUMBER($AS327),MAX(0,INT($AS327)-INT($E327)),MAX(0,TODAY()-INT($E327))))</f>
        <v/>
      </c>
      <c r="AK314" s="30" t="n"/>
      <c r="AL314" s="30" t="n"/>
      <c r="AM314" s="30" t="n"/>
      <c r="AN314" s="39" t="n"/>
      <c r="AO314" s="30" t="n"/>
      <c r="AP314" s="30" t="n"/>
      <c r="AQ314" s="39" t="n"/>
      <c r="AR314" s="30" t="n"/>
      <c r="AS314" s="39" t="n"/>
      <c r="AT314" s="30">
        <f>IF(OR($AS327="",NOT(ISNUMBER($AS327)),$AH327=""),"",IF(INT($AS327)&lt;=$AH327,"A tiempo","Fuera de término"))</f>
        <v/>
      </c>
      <c r="AU314" s="40" t="n"/>
      <c r="AV314" s="40" t="n"/>
      <c r="AW314" s="40" t="n"/>
      <c r="AX314" s="40" t="n"/>
      <c r="AY314" s="30" t="n"/>
      <c r="AZ314" s="30" t="n"/>
      <c r="BA314" s="30" t="n"/>
    </row>
    <row r="315" ht="15.75" customHeight="1" s="57">
      <c r="A315" s="29" t="n"/>
      <c r="B315" s="30" t="n"/>
      <c r="C315" s="39" t="n"/>
      <c r="D315" s="39" t="n"/>
      <c r="E315" s="39" t="n"/>
      <c r="F315" s="40" t="n"/>
      <c r="G315" s="30" t="n"/>
      <c r="H315" s="30" t="n"/>
      <c r="I315" s="30" t="n"/>
      <c r="J315" s="30" t="n"/>
      <c r="K315" s="30" t="n"/>
      <c r="L315" s="30" t="n"/>
      <c r="M315" s="30" t="n"/>
      <c r="N315" s="30" t="n"/>
      <c r="O315" s="30" t="n"/>
      <c r="P315" s="30" t="n"/>
      <c r="Q315" s="30" t="n"/>
      <c r="R315" s="30" t="n"/>
      <c r="S315" s="30" t="n"/>
      <c r="T315" s="30" t="n"/>
      <c r="U315" s="30" t="n"/>
      <c r="V315" s="30" t="n"/>
      <c r="W315" s="30" t="n"/>
      <c r="X315" s="30" t="n"/>
      <c r="Y315" s="30" t="n"/>
      <c r="Z315" s="30" t="n"/>
      <c r="AA315" s="30" t="n"/>
      <c r="AB315" s="30" t="n"/>
      <c r="AC315" s="30" t="n"/>
      <c r="AD315" s="41" t="n"/>
      <c r="AE315" s="30" t="n"/>
      <c r="AF315" s="42">
        <f>IF($AA328="","",IF(LEFT(UPPER(TRIM($AA328)),8)="FELICITA","N/A",IF($AE328="","",IFERROR(VLOOKUP(UPPER(TRIM($AE328)),Config!$A$6:$D$8,2,FALSE),IFERROR(VLOOKUP(IF(LEFT(UPPER(TRIM($AE328)),5)="SUPER","SUPER SALUD",IF(LEFT(UPPER(TRIM($AE328)),8)="SECRETAR","SECRETARIA DE SALUD",IF(LEFT(UPPER(TRIM($AE328)),4)="SEDE","SEDE",UPPER(TRIM($AE328))))),Config!$A$6:$D$8,2,FALSE),"⚠")))))</f>
        <v/>
      </c>
      <c r="AG315" s="30">
        <f>IF($AA328="","",IF(LEFT(UPPER(TRIM($AA328)),8)="FELICITA","N/A",IF($AE328="","",IFERROR(VLOOKUP(UPPER(TRIM($AE328)),Config!$A$6:$D$8,3,FALSE),IFERROR(VLOOKUP(IF(LEFT(UPPER(TRIM($AE328)),5)="SUPER","SUPER SALUD",IF(LEFT(UPPER(TRIM($AE328)),8)="SECRETAR","SECRETARIA DE SALUD",IF(LEFT(UPPER(TRIM($AE328)),4)="SEDE","SEDE",UPPER(TRIM($AE328))))),Config!$A$6:$D$8,3,FALSE),"")))))</f>
        <v/>
      </c>
      <c r="AH315" s="39">
        <f>IF(OR($E328="",NOT(ISNUMBER($E328)),$AF328="",$AF328="N/A",NOT(ISNUMBER($AF328))),"",IF($AG328="Hábiles",WORKDAY(INT($E328),$AF328,Config!$F$6:$F$39),INT($E328)+$AF328))</f>
        <v/>
      </c>
      <c r="AI315" s="30">
        <f>IF($E328="","",IF(LEFT(UPPER(TRIM($AA328)),8)="FELICITA","⭐ Felicitación",IF(NOT(ISNUMBER($E328)),"⚠ Revisar fecha",IF(UPPER(TRIM($AK328))="RESPONDIDA - CERRADA","✅ Cerrada",IF($AE328="","⚠ Falta entidad",IF($AH328="","⚠ Revisar término",IF(TODAY()&gt;$AH328,"🔴 Vencida",IF($AH328-TODAY()&lt;=Config!$B$12,"🟡 Próxima a vencer","🟢 En término"))))))))</f>
        <v/>
      </c>
      <c r="AJ315" s="42">
        <f>IF(OR($E328="",NOT(ISNUMBER($E328))),"",IF(ISNUMBER($AS328),MAX(0,INT($AS328)-INT($E328)),MAX(0,TODAY()-INT($E328))))</f>
        <v/>
      </c>
      <c r="AK315" s="30" t="n"/>
      <c r="AL315" s="30" t="n"/>
      <c r="AM315" s="30" t="n"/>
      <c r="AN315" s="39" t="n"/>
      <c r="AO315" s="30" t="n"/>
      <c r="AP315" s="30" t="n"/>
      <c r="AQ315" s="39" t="n"/>
      <c r="AR315" s="30" t="n"/>
      <c r="AS315" s="39" t="n"/>
      <c r="AT315" s="30">
        <f>IF(OR($AS328="",NOT(ISNUMBER($AS328)),$AH328=""),"",IF(INT($AS328)&lt;=$AH328,"A tiempo","Fuera de término"))</f>
        <v/>
      </c>
      <c r="AU315" s="40" t="n"/>
      <c r="AV315" s="40" t="n"/>
      <c r="AW315" s="40" t="n"/>
      <c r="AX315" s="40" t="n"/>
      <c r="AY315" s="30" t="n"/>
      <c r="AZ315" s="30" t="n"/>
      <c r="BA315" s="30" t="n"/>
    </row>
    <row r="316" ht="15.75" customHeight="1" s="57">
      <c r="A316" s="29" t="n"/>
      <c r="B316" s="30" t="n"/>
      <c r="C316" s="39" t="n"/>
      <c r="D316" s="39" t="n"/>
      <c r="E316" s="39" t="n"/>
      <c r="F316" s="40" t="n"/>
      <c r="G316" s="30" t="n"/>
      <c r="H316" s="30" t="n"/>
      <c r="I316" s="30" t="n"/>
      <c r="J316" s="30" t="n"/>
      <c r="K316" s="30" t="n"/>
      <c r="L316" s="30" t="n"/>
      <c r="M316" s="30" t="n"/>
      <c r="N316" s="30" t="n"/>
      <c r="O316" s="30" t="n"/>
      <c r="P316" s="30" t="n"/>
      <c r="Q316" s="30" t="n"/>
      <c r="R316" s="30" t="n"/>
      <c r="S316" s="30" t="n"/>
      <c r="T316" s="30" t="n"/>
      <c r="U316" s="30" t="n"/>
      <c r="V316" s="30" t="n"/>
      <c r="W316" s="30" t="n"/>
      <c r="X316" s="30" t="n"/>
      <c r="Y316" s="30" t="n"/>
      <c r="Z316" s="30" t="n"/>
      <c r="AA316" s="30" t="n"/>
      <c r="AB316" s="30" t="n"/>
      <c r="AC316" s="30" t="n"/>
      <c r="AD316" s="41" t="n"/>
      <c r="AE316" s="30" t="n"/>
      <c r="AF316" s="42">
        <f>IF($AA329="","",IF(LEFT(UPPER(TRIM($AA329)),8)="FELICITA","N/A",IF($AE329="","",IFERROR(VLOOKUP(UPPER(TRIM($AE329)),Config!$A$6:$D$8,2,FALSE),IFERROR(VLOOKUP(IF(LEFT(UPPER(TRIM($AE329)),5)="SUPER","SUPER SALUD",IF(LEFT(UPPER(TRIM($AE329)),8)="SECRETAR","SECRETARIA DE SALUD",IF(LEFT(UPPER(TRIM($AE329)),4)="SEDE","SEDE",UPPER(TRIM($AE329))))),Config!$A$6:$D$8,2,FALSE),"⚠")))))</f>
        <v/>
      </c>
      <c r="AG316" s="30">
        <f>IF($AA329="","",IF(LEFT(UPPER(TRIM($AA329)),8)="FELICITA","N/A",IF($AE329="","",IFERROR(VLOOKUP(UPPER(TRIM($AE329)),Config!$A$6:$D$8,3,FALSE),IFERROR(VLOOKUP(IF(LEFT(UPPER(TRIM($AE329)),5)="SUPER","SUPER SALUD",IF(LEFT(UPPER(TRIM($AE329)),8)="SECRETAR","SECRETARIA DE SALUD",IF(LEFT(UPPER(TRIM($AE329)),4)="SEDE","SEDE",UPPER(TRIM($AE329))))),Config!$A$6:$D$8,3,FALSE),"")))))</f>
        <v/>
      </c>
      <c r="AH316" s="39">
        <f>IF(OR($E329="",NOT(ISNUMBER($E329)),$AF329="",$AF329="N/A",NOT(ISNUMBER($AF329))),"",IF($AG329="Hábiles",WORKDAY(INT($E329),$AF329,Config!$F$6:$F$39),INT($E329)+$AF329))</f>
        <v/>
      </c>
      <c r="AI316" s="30">
        <f>IF($E329="","",IF(LEFT(UPPER(TRIM($AA329)),8)="FELICITA","⭐ Felicitación",IF(NOT(ISNUMBER($E329)),"⚠ Revisar fecha",IF(UPPER(TRIM($AK329))="RESPONDIDA - CERRADA","✅ Cerrada",IF($AE329="","⚠ Falta entidad",IF($AH329="","⚠ Revisar término",IF(TODAY()&gt;$AH329,"🔴 Vencida",IF($AH329-TODAY()&lt;=Config!$B$12,"🟡 Próxima a vencer","🟢 En término"))))))))</f>
        <v/>
      </c>
      <c r="AJ316" s="42">
        <f>IF(OR($E329="",NOT(ISNUMBER($E329))),"",IF(ISNUMBER($AS329),MAX(0,INT($AS329)-INT($E329)),MAX(0,TODAY()-INT($E329))))</f>
        <v/>
      </c>
      <c r="AK316" s="30" t="n"/>
      <c r="AL316" s="30" t="n"/>
      <c r="AM316" s="30" t="n"/>
      <c r="AN316" s="39" t="n"/>
      <c r="AO316" s="30" t="n"/>
      <c r="AP316" s="30" t="n"/>
      <c r="AQ316" s="39" t="n"/>
      <c r="AR316" s="30" t="n"/>
      <c r="AS316" s="39" t="n"/>
      <c r="AT316" s="30">
        <f>IF(OR($AS329="",NOT(ISNUMBER($AS329)),$AH329=""),"",IF(INT($AS329)&lt;=$AH329,"A tiempo","Fuera de término"))</f>
        <v/>
      </c>
      <c r="AU316" s="40" t="n"/>
      <c r="AV316" s="40" t="n"/>
      <c r="AW316" s="40" t="n"/>
      <c r="AX316" s="40" t="n"/>
      <c r="AY316" s="30" t="n"/>
      <c r="AZ316" s="30" t="n"/>
      <c r="BA316" s="30" t="n"/>
    </row>
    <row r="317" ht="15.75" customHeight="1" s="57">
      <c r="A317" s="29" t="n"/>
      <c r="B317" s="30" t="n"/>
      <c r="C317" s="39" t="n"/>
      <c r="D317" s="39" t="n"/>
      <c r="E317" s="39" t="n"/>
      <c r="F317" s="40" t="n"/>
      <c r="G317" s="30" t="n"/>
      <c r="H317" s="30" t="n"/>
      <c r="I317" s="30" t="n"/>
      <c r="J317" s="30" t="n"/>
      <c r="K317" s="30" t="n"/>
      <c r="L317" s="30" t="n"/>
      <c r="M317" s="30" t="n"/>
      <c r="N317" s="30" t="n"/>
      <c r="O317" s="30" t="n"/>
      <c r="P317" s="30" t="n"/>
      <c r="Q317" s="30" t="n"/>
      <c r="R317" s="30" t="n"/>
      <c r="S317" s="30" t="n"/>
      <c r="T317" s="30" t="n"/>
      <c r="U317" s="30" t="n"/>
      <c r="V317" s="30" t="n"/>
      <c r="W317" s="30" t="n"/>
      <c r="X317" s="30" t="n"/>
      <c r="Y317" s="30" t="n"/>
      <c r="Z317" s="30" t="n"/>
      <c r="AA317" s="30" t="n"/>
      <c r="AB317" s="30" t="n"/>
      <c r="AC317" s="30" t="n"/>
      <c r="AD317" s="41" t="n"/>
      <c r="AE317" s="30" t="n"/>
      <c r="AF317" s="42">
        <f>IF($AA330="","",IF(LEFT(UPPER(TRIM($AA330)),8)="FELICITA","N/A",IF($AE330="","",IFERROR(VLOOKUP(UPPER(TRIM($AE330)),Config!$A$6:$D$8,2,FALSE),IFERROR(VLOOKUP(IF(LEFT(UPPER(TRIM($AE330)),5)="SUPER","SUPER SALUD",IF(LEFT(UPPER(TRIM($AE330)),8)="SECRETAR","SECRETARIA DE SALUD",IF(LEFT(UPPER(TRIM($AE330)),4)="SEDE","SEDE",UPPER(TRIM($AE330))))),Config!$A$6:$D$8,2,FALSE),"⚠")))))</f>
        <v/>
      </c>
      <c r="AG317" s="30">
        <f>IF($AA330="","",IF(LEFT(UPPER(TRIM($AA330)),8)="FELICITA","N/A",IF($AE330="","",IFERROR(VLOOKUP(UPPER(TRIM($AE330)),Config!$A$6:$D$8,3,FALSE),IFERROR(VLOOKUP(IF(LEFT(UPPER(TRIM($AE330)),5)="SUPER","SUPER SALUD",IF(LEFT(UPPER(TRIM($AE330)),8)="SECRETAR","SECRETARIA DE SALUD",IF(LEFT(UPPER(TRIM($AE330)),4)="SEDE","SEDE",UPPER(TRIM($AE330))))),Config!$A$6:$D$8,3,FALSE),"")))))</f>
        <v/>
      </c>
      <c r="AH317" s="39">
        <f>IF(OR($E330="",NOT(ISNUMBER($E330)),$AF330="",$AF330="N/A",NOT(ISNUMBER($AF330))),"",IF($AG330="Hábiles",WORKDAY(INT($E330),$AF330,Config!$F$6:$F$39),INT($E330)+$AF330))</f>
        <v/>
      </c>
      <c r="AI317" s="30">
        <f>IF($E330="","",IF(LEFT(UPPER(TRIM($AA330)),8)="FELICITA","⭐ Felicitación",IF(NOT(ISNUMBER($E330)),"⚠ Revisar fecha",IF(UPPER(TRIM($AK330))="RESPONDIDA - CERRADA","✅ Cerrada",IF($AE330="","⚠ Falta entidad",IF($AH330="","⚠ Revisar término",IF(TODAY()&gt;$AH330,"🔴 Vencida",IF($AH330-TODAY()&lt;=Config!$B$12,"🟡 Próxima a vencer","🟢 En término"))))))))</f>
        <v/>
      </c>
      <c r="AJ317" s="42">
        <f>IF(OR($E330="",NOT(ISNUMBER($E330))),"",IF(ISNUMBER($AS330),MAX(0,INT($AS330)-INT($E330)),MAX(0,TODAY()-INT($E330))))</f>
        <v/>
      </c>
      <c r="AK317" s="30" t="n"/>
      <c r="AL317" s="30" t="n"/>
      <c r="AM317" s="30" t="n"/>
      <c r="AN317" s="39" t="n"/>
      <c r="AO317" s="30" t="n"/>
      <c r="AP317" s="30" t="n"/>
      <c r="AQ317" s="39" t="n"/>
      <c r="AR317" s="30" t="n"/>
      <c r="AS317" s="39" t="n"/>
      <c r="AT317" s="30">
        <f>IF(OR($AS330="",NOT(ISNUMBER($AS330)),$AH330=""),"",IF(INT($AS330)&lt;=$AH330,"A tiempo","Fuera de término"))</f>
        <v/>
      </c>
      <c r="AU317" s="40" t="n"/>
      <c r="AV317" s="40" t="n"/>
      <c r="AW317" s="40" t="n"/>
      <c r="AX317" s="40" t="n"/>
      <c r="AY317" s="30" t="n"/>
      <c r="AZ317" s="30" t="n"/>
      <c r="BA317" s="30" t="n"/>
    </row>
    <row r="318" ht="15.75" customHeight="1" s="57">
      <c r="A318" s="29" t="n"/>
      <c r="B318" s="30" t="n"/>
      <c r="C318" s="39" t="n"/>
      <c r="D318" s="39" t="n"/>
      <c r="E318" s="39" t="n"/>
      <c r="F318" s="40" t="n"/>
      <c r="G318" s="30" t="n"/>
      <c r="H318" s="30" t="n"/>
      <c r="I318" s="30" t="n"/>
      <c r="J318" s="30" t="n"/>
      <c r="K318" s="30" t="n"/>
      <c r="L318" s="30" t="n"/>
      <c r="M318" s="30" t="n"/>
      <c r="N318" s="30" t="n"/>
      <c r="O318" s="30" t="n"/>
      <c r="P318" s="30" t="n"/>
      <c r="Q318" s="30" t="n"/>
      <c r="R318" s="30" t="n"/>
      <c r="S318" s="30" t="n"/>
      <c r="T318" s="30" t="n"/>
      <c r="U318" s="30" t="n"/>
      <c r="V318" s="30" t="n"/>
      <c r="W318" s="30" t="n"/>
      <c r="X318" s="30" t="n"/>
      <c r="Y318" s="30" t="n"/>
      <c r="Z318" s="30" t="n"/>
      <c r="AA318" s="30" t="n"/>
      <c r="AB318" s="30" t="n"/>
      <c r="AC318" s="30" t="n"/>
      <c r="AD318" s="41" t="n"/>
      <c r="AE318" s="30" t="n"/>
      <c r="AF318" s="42">
        <f>IF($AA331="","",IF(LEFT(UPPER(TRIM($AA331)),8)="FELICITA","N/A",IF($AE331="","",IFERROR(VLOOKUP(UPPER(TRIM($AE331)),Config!$A$6:$D$8,2,FALSE),IFERROR(VLOOKUP(IF(LEFT(UPPER(TRIM($AE331)),5)="SUPER","SUPER SALUD",IF(LEFT(UPPER(TRIM($AE331)),8)="SECRETAR","SECRETARIA DE SALUD",IF(LEFT(UPPER(TRIM($AE331)),4)="SEDE","SEDE",UPPER(TRIM($AE331))))),Config!$A$6:$D$8,2,FALSE),"⚠")))))</f>
        <v/>
      </c>
      <c r="AG318" s="30">
        <f>IF($AA331="","",IF(LEFT(UPPER(TRIM($AA331)),8)="FELICITA","N/A",IF($AE331="","",IFERROR(VLOOKUP(UPPER(TRIM($AE331)),Config!$A$6:$D$8,3,FALSE),IFERROR(VLOOKUP(IF(LEFT(UPPER(TRIM($AE331)),5)="SUPER","SUPER SALUD",IF(LEFT(UPPER(TRIM($AE331)),8)="SECRETAR","SECRETARIA DE SALUD",IF(LEFT(UPPER(TRIM($AE331)),4)="SEDE","SEDE",UPPER(TRIM($AE331))))),Config!$A$6:$D$8,3,FALSE),"")))))</f>
        <v/>
      </c>
      <c r="AH318" s="39">
        <f>IF(OR($E331="",NOT(ISNUMBER($E331)),$AF331="",$AF331="N/A",NOT(ISNUMBER($AF331))),"",IF($AG331="Hábiles",WORKDAY(INT($E331),$AF331,Config!$F$6:$F$39),INT($E331)+$AF331))</f>
        <v/>
      </c>
      <c r="AI318" s="30">
        <f>IF($E331="","",IF(LEFT(UPPER(TRIM($AA331)),8)="FELICITA","⭐ Felicitación",IF(NOT(ISNUMBER($E331)),"⚠ Revisar fecha",IF(UPPER(TRIM($AK331))="RESPONDIDA - CERRADA","✅ Cerrada",IF($AE331="","⚠ Falta entidad",IF($AH331="","⚠ Revisar término",IF(TODAY()&gt;$AH331,"🔴 Vencida",IF($AH331-TODAY()&lt;=Config!$B$12,"🟡 Próxima a vencer","🟢 En término"))))))))</f>
        <v/>
      </c>
      <c r="AJ318" s="42">
        <f>IF(OR($E331="",NOT(ISNUMBER($E331))),"",IF(ISNUMBER($AS331),MAX(0,INT($AS331)-INT($E331)),MAX(0,TODAY()-INT($E331))))</f>
        <v/>
      </c>
      <c r="AK318" s="30" t="n"/>
      <c r="AL318" s="30" t="n"/>
      <c r="AM318" s="30" t="n"/>
      <c r="AN318" s="39" t="n"/>
      <c r="AO318" s="30" t="n"/>
      <c r="AP318" s="30" t="n"/>
      <c r="AQ318" s="39" t="n"/>
      <c r="AR318" s="30" t="n"/>
      <c r="AS318" s="39" t="n"/>
      <c r="AT318" s="30">
        <f>IF(OR($AS331="",NOT(ISNUMBER($AS331)),$AH331=""),"",IF(INT($AS331)&lt;=$AH331,"A tiempo","Fuera de término"))</f>
        <v/>
      </c>
      <c r="AU318" s="40" t="n"/>
      <c r="AV318" s="40" t="n"/>
      <c r="AW318" s="40" t="n"/>
      <c r="AX318" s="40" t="n"/>
      <c r="AY318" s="30" t="n"/>
      <c r="AZ318" s="30" t="n"/>
      <c r="BA318" s="30" t="n"/>
    </row>
    <row r="319" ht="15.75" customHeight="1" s="57">
      <c r="A319" s="29" t="n"/>
      <c r="B319" s="30" t="n"/>
      <c r="C319" s="39" t="n"/>
      <c r="D319" s="39" t="n"/>
      <c r="E319" s="39" t="n"/>
      <c r="F319" s="40" t="n"/>
      <c r="G319" s="30" t="n"/>
      <c r="H319" s="30" t="n"/>
      <c r="I319" s="30" t="n"/>
      <c r="J319" s="30" t="n"/>
      <c r="K319" s="30" t="n"/>
      <c r="L319" s="30" t="n"/>
      <c r="M319" s="30" t="n"/>
      <c r="N319" s="30" t="n"/>
      <c r="O319" s="30" t="n"/>
      <c r="P319" s="30" t="n"/>
      <c r="Q319" s="30" t="n"/>
      <c r="R319" s="30" t="n"/>
      <c r="S319" s="30" t="n"/>
      <c r="T319" s="30" t="n"/>
      <c r="U319" s="30" t="n"/>
      <c r="V319" s="30" t="n"/>
      <c r="W319" s="30" t="n"/>
      <c r="X319" s="30" t="n"/>
      <c r="Y319" s="30" t="n"/>
      <c r="Z319" s="30" t="n"/>
      <c r="AA319" s="30" t="n"/>
      <c r="AB319" s="30" t="n"/>
      <c r="AC319" s="30" t="n"/>
      <c r="AD319" s="41" t="n"/>
      <c r="AE319" s="30" t="n"/>
      <c r="AF319" s="42">
        <f>IF($AA332="","",IF(LEFT(UPPER(TRIM($AA332)),8)="FELICITA","N/A",IF($AE332="","",IFERROR(VLOOKUP(UPPER(TRIM($AE332)),Config!$A$6:$D$8,2,FALSE),IFERROR(VLOOKUP(IF(LEFT(UPPER(TRIM($AE332)),5)="SUPER","SUPER SALUD",IF(LEFT(UPPER(TRIM($AE332)),8)="SECRETAR","SECRETARIA DE SALUD",IF(LEFT(UPPER(TRIM($AE332)),4)="SEDE","SEDE",UPPER(TRIM($AE332))))),Config!$A$6:$D$8,2,FALSE),"⚠")))))</f>
        <v/>
      </c>
      <c r="AG319" s="30">
        <f>IF($AA332="","",IF(LEFT(UPPER(TRIM($AA332)),8)="FELICITA","N/A",IF($AE332="","",IFERROR(VLOOKUP(UPPER(TRIM($AE332)),Config!$A$6:$D$8,3,FALSE),IFERROR(VLOOKUP(IF(LEFT(UPPER(TRIM($AE332)),5)="SUPER","SUPER SALUD",IF(LEFT(UPPER(TRIM($AE332)),8)="SECRETAR","SECRETARIA DE SALUD",IF(LEFT(UPPER(TRIM($AE332)),4)="SEDE","SEDE",UPPER(TRIM($AE332))))),Config!$A$6:$D$8,3,FALSE),"")))))</f>
        <v/>
      </c>
      <c r="AH319" s="39">
        <f>IF(OR($E332="",NOT(ISNUMBER($E332)),$AF332="",$AF332="N/A",NOT(ISNUMBER($AF332))),"",IF($AG332="Hábiles",WORKDAY(INT($E332),$AF332,Config!$F$6:$F$39),INT($E332)+$AF332))</f>
        <v/>
      </c>
      <c r="AI319" s="30">
        <f>IF($E332="","",IF(LEFT(UPPER(TRIM($AA332)),8)="FELICITA","⭐ Felicitación",IF(NOT(ISNUMBER($E332)),"⚠ Revisar fecha",IF(UPPER(TRIM($AK332))="RESPONDIDA - CERRADA","✅ Cerrada",IF($AE332="","⚠ Falta entidad",IF($AH332="","⚠ Revisar término",IF(TODAY()&gt;$AH332,"🔴 Vencida",IF($AH332-TODAY()&lt;=Config!$B$12,"🟡 Próxima a vencer","🟢 En término"))))))))</f>
        <v/>
      </c>
      <c r="AJ319" s="42">
        <f>IF(OR($E332="",NOT(ISNUMBER($E332))),"",IF(ISNUMBER($AS332),MAX(0,INT($AS332)-INT($E332)),MAX(0,TODAY()-INT($E332))))</f>
        <v/>
      </c>
      <c r="AK319" s="30" t="n"/>
      <c r="AL319" s="30" t="n"/>
      <c r="AM319" s="30" t="n"/>
      <c r="AN319" s="39" t="n"/>
      <c r="AO319" s="30" t="n"/>
      <c r="AP319" s="30" t="n"/>
      <c r="AQ319" s="39" t="n"/>
      <c r="AR319" s="30" t="n"/>
      <c r="AS319" s="39" t="n"/>
      <c r="AT319" s="30">
        <f>IF(OR($AS332="",NOT(ISNUMBER($AS332)),$AH332=""),"",IF(INT($AS332)&lt;=$AH332,"A tiempo","Fuera de término"))</f>
        <v/>
      </c>
      <c r="AU319" s="40" t="n"/>
      <c r="AV319" s="40" t="n"/>
      <c r="AW319" s="40" t="n"/>
      <c r="AX319" s="40" t="n"/>
      <c r="AY319" s="30" t="n"/>
      <c r="AZ319" s="30" t="n"/>
      <c r="BA319" s="30" t="n"/>
    </row>
    <row r="320" ht="15.75" customHeight="1" s="57">
      <c r="A320" s="29" t="n"/>
      <c r="B320" s="30" t="n"/>
      <c r="C320" s="39" t="n"/>
      <c r="D320" s="39" t="n"/>
      <c r="E320" s="39" t="n"/>
      <c r="F320" s="40" t="n"/>
      <c r="G320" s="30" t="n"/>
      <c r="H320" s="30" t="n"/>
      <c r="I320" s="30" t="n"/>
      <c r="J320" s="30" t="n"/>
      <c r="K320" s="30" t="n"/>
      <c r="L320" s="30" t="n"/>
      <c r="M320" s="30" t="n"/>
      <c r="N320" s="30" t="n"/>
      <c r="O320" s="30" t="n"/>
      <c r="P320" s="30" t="n"/>
      <c r="Q320" s="30" t="n"/>
      <c r="R320" s="30" t="n"/>
      <c r="S320" s="30" t="n"/>
      <c r="T320" s="30" t="n"/>
      <c r="U320" s="30" t="n"/>
      <c r="V320" s="30" t="n"/>
      <c r="W320" s="30" t="n"/>
      <c r="X320" s="30" t="n"/>
      <c r="Y320" s="30" t="n"/>
      <c r="Z320" s="30" t="n"/>
      <c r="AA320" s="30" t="n"/>
      <c r="AB320" s="30" t="n"/>
      <c r="AC320" s="30" t="n"/>
      <c r="AD320" s="41" t="n"/>
      <c r="AE320" s="30" t="n"/>
      <c r="AF320" s="42">
        <f>IF($AA333="","",IF(LEFT(UPPER(TRIM($AA333)),8)="FELICITA","N/A",IF($AE333="","",IFERROR(VLOOKUP(UPPER(TRIM($AE333)),Config!$A$6:$D$8,2,FALSE),IFERROR(VLOOKUP(IF(LEFT(UPPER(TRIM($AE333)),5)="SUPER","SUPER SALUD",IF(LEFT(UPPER(TRIM($AE333)),8)="SECRETAR","SECRETARIA DE SALUD",IF(LEFT(UPPER(TRIM($AE333)),4)="SEDE","SEDE",UPPER(TRIM($AE333))))),Config!$A$6:$D$8,2,FALSE),"⚠")))))</f>
        <v/>
      </c>
      <c r="AG320" s="30">
        <f>IF($AA333="","",IF(LEFT(UPPER(TRIM($AA333)),8)="FELICITA","N/A",IF($AE333="","",IFERROR(VLOOKUP(UPPER(TRIM($AE333)),Config!$A$6:$D$8,3,FALSE),IFERROR(VLOOKUP(IF(LEFT(UPPER(TRIM($AE333)),5)="SUPER","SUPER SALUD",IF(LEFT(UPPER(TRIM($AE333)),8)="SECRETAR","SECRETARIA DE SALUD",IF(LEFT(UPPER(TRIM($AE333)),4)="SEDE","SEDE",UPPER(TRIM($AE333))))),Config!$A$6:$D$8,3,FALSE),"")))))</f>
        <v/>
      </c>
      <c r="AH320" s="39">
        <f>IF(OR($E333="",NOT(ISNUMBER($E333)),$AF333="",$AF333="N/A",NOT(ISNUMBER($AF333))),"",IF($AG333="Hábiles",WORKDAY(INT($E333),$AF333,Config!$F$6:$F$39),INT($E333)+$AF333))</f>
        <v/>
      </c>
      <c r="AI320" s="30">
        <f>IF($E333="","",IF(LEFT(UPPER(TRIM($AA333)),8)="FELICITA","⭐ Felicitación",IF(NOT(ISNUMBER($E333)),"⚠ Revisar fecha",IF(UPPER(TRIM($AK333))="RESPONDIDA - CERRADA","✅ Cerrada",IF($AE333="","⚠ Falta entidad",IF($AH333="","⚠ Revisar término",IF(TODAY()&gt;$AH333,"🔴 Vencida",IF($AH333-TODAY()&lt;=Config!$B$12,"🟡 Próxima a vencer","🟢 En término"))))))))</f>
        <v/>
      </c>
      <c r="AJ320" s="42">
        <f>IF(OR($E333="",NOT(ISNUMBER($E333))),"",IF(ISNUMBER($AS333),MAX(0,INT($AS333)-INT($E333)),MAX(0,TODAY()-INT($E333))))</f>
        <v/>
      </c>
      <c r="AK320" s="30" t="n"/>
      <c r="AL320" s="30" t="n"/>
      <c r="AM320" s="30" t="n"/>
      <c r="AN320" s="39" t="n"/>
      <c r="AO320" s="30" t="n"/>
      <c r="AP320" s="30" t="n"/>
      <c r="AQ320" s="39" t="n"/>
      <c r="AR320" s="30" t="n"/>
      <c r="AS320" s="39" t="n"/>
      <c r="AT320" s="30">
        <f>IF(OR($AS333="",NOT(ISNUMBER($AS333)),$AH333=""),"",IF(INT($AS333)&lt;=$AH333,"A tiempo","Fuera de término"))</f>
        <v/>
      </c>
      <c r="AU320" s="40" t="n"/>
      <c r="AV320" s="40" t="n"/>
      <c r="AW320" s="40" t="n"/>
      <c r="AX320" s="40" t="n"/>
      <c r="AY320" s="30" t="n"/>
      <c r="AZ320" s="30" t="n"/>
      <c r="BA320" s="30" t="n"/>
    </row>
    <row r="321" ht="15.75" customHeight="1" s="57">
      <c r="A321" s="29" t="n"/>
      <c r="B321" s="30" t="n"/>
      <c r="C321" s="39" t="n"/>
      <c r="D321" s="39" t="n"/>
      <c r="E321" s="39" t="n"/>
      <c r="F321" s="40" t="n"/>
      <c r="G321" s="30" t="n"/>
      <c r="H321" s="30" t="n"/>
      <c r="I321" s="30" t="n"/>
      <c r="J321" s="30" t="n"/>
      <c r="K321" s="30" t="n"/>
      <c r="L321" s="30" t="n"/>
      <c r="M321" s="30" t="n"/>
      <c r="N321" s="30" t="n"/>
      <c r="O321" s="30" t="n"/>
      <c r="P321" s="30" t="n"/>
      <c r="Q321" s="30" t="n"/>
      <c r="R321" s="30" t="n"/>
      <c r="S321" s="30" t="n"/>
      <c r="T321" s="30" t="n"/>
      <c r="U321" s="30" t="n"/>
      <c r="V321" s="30" t="n"/>
      <c r="W321" s="30" t="n"/>
      <c r="X321" s="30" t="n"/>
      <c r="Y321" s="30" t="n"/>
      <c r="Z321" s="30" t="n"/>
      <c r="AA321" s="30" t="n"/>
      <c r="AB321" s="30" t="n"/>
      <c r="AC321" s="30" t="n"/>
      <c r="AD321" s="41" t="n"/>
      <c r="AE321" s="30" t="n"/>
      <c r="AF321" s="42">
        <f>IF($AA334="","",IF(LEFT(UPPER(TRIM($AA334)),8)="FELICITA","N/A",IF($AE334="","",IFERROR(VLOOKUP(UPPER(TRIM($AE334)),Config!$A$6:$D$8,2,FALSE),IFERROR(VLOOKUP(IF(LEFT(UPPER(TRIM($AE334)),5)="SUPER","SUPER SALUD",IF(LEFT(UPPER(TRIM($AE334)),8)="SECRETAR","SECRETARIA DE SALUD",IF(LEFT(UPPER(TRIM($AE334)),4)="SEDE","SEDE",UPPER(TRIM($AE334))))),Config!$A$6:$D$8,2,FALSE),"⚠")))))</f>
        <v/>
      </c>
      <c r="AG321" s="30">
        <f>IF($AA334="","",IF(LEFT(UPPER(TRIM($AA334)),8)="FELICITA","N/A",IF($AE334="","",IFERROR(VLOOKUP(UPPER(TRIM($AE334)),Config!$A$6:$D$8,3,FALSE),IFERROR(VLOOKUP(IF(LEFT(UPPER(TRIM($AE334)),5)="SUPER","SUPER SALUD",IF(LEFT(UPPER(TRIM($AE334)),8)="SECRETAR","SECRETARIA DE SALUD",IF(LEFT(UPPER(TRIM($AE334)),4)="SEDE","SEDE",UPPER(TRIM($AE334))))),Config!$A$6:$D$8,3,FALSE),"")))))</f>
        <v/>
      </c>
      <c r="AH321" s="39">
        <f>IF(OR($E334="",NOT(ISNUMBER($E334)),$AF334="",$AF334="N/A",NOT(ISNUMBER($AF334))),"",IF($AG334="Hábiles",WORKDAY(INT($E334),$AF334,Config!$F$6:$F$39),INT($E334)+$AF334))</f>
        <v/>
      </c>
      <c r="AI321" s="30">
        <f>IF($E334="","",IF(LEFT(UPPER(TRIM($AA334)),8)="FELICITA","⭐ Felicitación",IF(NOT(ISNUMBER($E334)),"⚠ Revisar fecha",IF(UPPER(TRIM($AK334))="RESPONDIDA - CERRADA","✅ Cerrada",IF($AE334="","⚠ Falta entidad",IF($AH334="","⚠ Revisar término",IF(TODAY()&gt;$AH334,"🔴 Vencida",IF($AH334-TODAY()&lt;=Config!$B$12,"🟡 Próxima a vencer","🟢 En término"))))))))</f>
        <v/>
      </c>
      <c r="AJ321" s="42">
        <f>IF(OR($E334="",NOT(ISNUMBER($E334))),"",IF(ISNUMBER($AS334),MAX(0,INT($AS334)-INT($E334)),MAX(0,TODAY()-INT($E334))))</f>
        <v/>
      </c>
      <c r="AK321" s="30" t="n"/>
      <c r="AL321" s="30" t="n"/>
      <c r="AM321" s="30" t="n"/>
      <c r="AN321" s="39" t="n"/>
      <c r="AO321" s="30" t="n"/>
      <c r="AP321" s="30" t="n"/>
      <c r="AQ321" s="39" t="n"/>
      <c r="AR321" s="30" t="n"/>
      <c r="AS321" s="39" t="n"/>
      <c r="AT321" s="30">
        <f>IF(OR($AS334="",NOT(ISNUMBER($AS334)),$AH334=""),"",IF(INT($AS334)&lt;=$AH334,"A tiempo","Fuera de término"))</f>
        <v/>
      </c>
      <c r="AU321" s="40" t="n"/>
      <c r="AV321" s="40" t="n"/>
      <c r="AW321" s="40" t="n"/>
      <c r="AX321" s="40" t="n"/>
      <c r="AY321" s="30" t="n"/>
      <c r="AZ321" s="30" t="n"/>
      <c r="BA321" s="30" t="n"/>
    </row>
    <row r="322" ht="15.75" customHeight="1" s="57">
      <c r="A322" s="29" t="n"/>
      <c r="B322" s="30" t="n"/>
      <c r="C322" s="39" t="n"/>
      <c r="D322" s="39" t="n"/>
      <c r="E322" s="39" t="n"/>
      <c r="F322" s="40" t="n"/>
      <c r="G322" s="30" t="n"/>
      <c r="H322" s="30" t="n"/>
      <c r="I322" s="30" t="n"/>
      <c r="J322" s="30" t="n"/>
      <c r="K322" s="30" t="n"/>
      <c r="L322" s="30" t="n"/>
      <c r="M322" s="30" t="n"/>
      <c r="N322" s="30" t="n"/>
      <c r="O322" s="30" t="n"/>
      <c r="P322" s="30" t="n"/>
      <c r="Q322" s="30" t="n"/>
      <c r="R322" s="30" t="n"/>
      <c r="S322" s="30" t="n"/>
      <c r="T322" s="30" t="n"/>
      <c r="U322" s="30" t="n"/>
      <c r="V322" s="30" t="n"/>
      <c r="W322" s="30" t="n"/>
      <c r="X322" s="30" t="n"/>
      <c r="Y322" s="30" t="n"/>
      <c r="Z322" s="30" t="n"/>
      <c r="AA322" s="30" t="n"/>
      <c r="AB322" s="30" t="n"/>
      <c r="AC322" s="30" t="n"/>
      <c r="AD322" s="41" t="n"/>
      <c r="AE322" s="30" t="n"/>
      <c r="AF322" s="42">
        <f>IF($AA335="","",IF(LEFT(UPPER(TRIM($AA335)),8)="FELICITA","N/A",IF($AE335="","",IFERROR(VLOOKUP(UPPER(TRIM($AE335)),Config!$A$6:$D$8,2,FALSE),IFERROR(VLOOKUP(IF(LEFT(UPPER(TRIM($AE335)),5)="SUPER","SUPER SALUD",IF(LEFT(UPPER(TRIM($AE335)),8)="SECRETAR","SECRETARIA DE SALUD",IF(LEFT(UPPER(TRIM($AE335)),4)="SEDE","SEDE",UPPER(TRIM($AE335))))),Config!$A$6:$D$8,2,FALSE),"⚠")))))</f>
        <v/>
      </c>
      <c r="AG322" s="30">
        <f>IF($AA335="","",IF(LEFT(UPPER(TRIM($AA335)),8)="FELICITA","N/A",IF($AE335="","",IFERROR(VLOOKUP(UPPER(TRIM($AE335)),Config!$A$6:$D$8,3,FALSE),IFERROR(VLOOKUP(IF(LEFT(UPPER(TRIM($AE335)),5)="SUPER","SUPER SALUD",IF(LEFT(UPPER(TRIM($AE335)),8)="SECRETAR","SECRETARIA DE SALUD",IF(LEFT(UPPER(TRIM($AE335)),4)="SEDE","SEDE",UPPER(TRIM($AE335))))),Config!$A$6:$D$8,3,FALSE),"")))))</f>
        <v/>
      </c>
      <c r="AH322" s="39">
        <f>IF(OR($E335="",NOT(ISNUMBER($E335)),$AF335="",$AF335="N/A",NOT(ISNUMBER($AF335))),"",IF($AG335="Hábiles",WORKDAY(INT($E335),$AF335,Config!$F$6:$F$39),INT($E335)+$AF335))</f>
        <v/>
      </c>
      <c r="AI322" s="30">
        <f>IF($E335="","",IF(LEFT(UPPER(TRIM($AA335)),8)="FELICITA","⭐ Felicitación",IF(NOT(ISNUMBER($E335)),"⚠ Revisar fecha",IF(UPPER(TRIM($AK335))="RESPONDIDA - CERRADA","✅ Cerrada",IF($AE335="","⚠ Falta entidad",IF($AH335="","⚠ Revisar término",IF(TODAY()&gt;$AH335,"🔴 Vencida",IF($AH335-TODAY()&lt;=Config!$B$12,"🟡 Próxima a vencer","🟢 En término"))))))))</f>
        <v/>
      </c>
      <c r="AJ322" s="42">
        <f>IF(OR($E335="",NOT(ISNUMBER($E335))),"",IF(ISNUMBER($AS335),MAX(0,INT($AS335)-INT($E335)),MAX(0,TODAY()-INT($E335))))</f>
        <v/>
      </c>
      <c r="AK322" s="30" t="n"/>
      <c r="AL322" s="30" t="n"/>
      <c r="AM322" s="30" t="n"/>
      <c r="AN322" s="39" t="n"/>
      <c r="AO322" s="30" t="n"/>
      <c r="AP322" s="30" t="n"/>
      <c r="AQ322" s="39" t="n"/>
      <c r="AR322" s="30" t="n"/>
      <c r="AS322" s="39" t="n"/>
      <c r="AT322" s="30">
        <f>IF(OR($AS335="",NOT(ISNUMBER($AS335)),$AH335=""),"",IF(INT($AS335)&lt;=$AH335,"A tiempo","Fuera de término"))</f>
        <v/>
      </c>
      <c r="AU322" s="40" t="n"/>
      <c r="AV322" s="40" t="n"/>
      <c r="AW322" s="40" t="n"/>
      <c r="AX322" s="40" t="n"/>
      <c r="AY322" s="30" t="n"/>
      <c r="AZ322" s="30" t="n"/>
      <c r="BA322" s="30" t="n"/>
    </row>
    <row r="323" ht="15.75" customHeight="1" s="57">
      <c r="A323" s="29" t="n"/>
      <c r="B323" s="30" t="n"/>
      <c r="C323" s="39" t="n"/>
      <c r="D323" s="39" t="n"/>
      <c r="E323" s="39" t="n"/>
      <c r="F323" s="40" t="n"/>
      <c r="G323" s="30" t="n"/>
      <c r="H323" s="30" t="n"/>
      <c r="I323" s="30" t="n"/>
      <c r="J323" s="30" t="n"/>
      <c r="K323" s="30" t="n"/>
      <c r="L323" s="30" t="n"/>
      <c r="M323" s="30" t="n"/>
      <c r="N323" s="30" t="n"/>
      <c r="O323" s="30" t="n"/>
      <c r="P323" s="30" t="n"/>
      <c r="Q323" s="30" t="n"/>
      <c r="R323" s="30" t="n"/>
      <c r="S323" s="30" t="n"/>
      <c r="T323" s="30" t="n"/>
      <c r="U323" s="30" t="n"/>
      <c r="V323" s="30" t="n"/>
      <c r="W323" s="30" t="n"/>
      <c r="X323" s="30" t="n"/>
      <c r="Y323" s="30" t="n"/>
      <c r="Z323" s="30" t="n"/>
      <c r="AA323" s="30" t="n"/>
      <c r="AB323" s="30" t="n"/>
      <c r="AC323" s="30" t="n"/>
      <c r="AD323" s="41" t="n"/>
      <c r="AE323" s="30" t="n"/>
      <c r="AF323" s="42">
        <f>IF($AA336="","",IF(LEFT(UPPER(TRIM($AA336)),8)="FELICITA","N/A",IF($AE336="","",IFERROR(VLOOKUP(UPPER(TRIM($AE336)),Config!$A$6:$D$8,2,FALSE),IFERROR(VLOOKUP(IF(LEFT(UPPER(TRIM($AE336)),5)="SUPER","SUPER SALUD",IF(LEFT(UPPER(TRIM($AE336)),8)="SECRETAR","SECRETARIA DE SALUD",IF(LEFT(UPPER(TRIM($AE336)),4)="SEDE","SEDE",UPPER(TRIM($AE336))))),Config!$A$6:$D$8,2,FALSE),"⚠")))))</f>
        <v/>
      </c>
      <c r="AG323" s="30">
        <f>IF($AA336="","",IF(LEFT(UPPER(TRIM($AA336)),8)="FELICITA","N/A",IF($AE336="","",IFERROR(VLOOKUP(UPPER(TRIM($AE336)),Config!$A$6:$D$8,3,FALSE),IFERROR(VLOOKUP(IF(LEFT(UPPER(TRIM($AE336)),5)="SUPER","SUPER SALUD",IF(LEFT(UPPER(TRIM($AE336)),8)="SECRETAR","SECRETARIA DE SALUD",IF(LEFT(UPPER(TRIM($AE336)),4)="SEDE","SEDE",UPPER(TRIM($AE336))))),Config!$A$6:$D$8,3,FALSE),"")))))</f>
        <v/>
      </c>
      <c r="AH323" s="39">
        <f>IF(OR($E336="",NOT(ISNUMBER($E336)),$AF336="",$AF336="N/A",NOT(ISNUMBER($AF336))),"",IF($AG336="Hábiles",WORKDAY(INT($E336),$AF336,Config!$F$6:$F$39),INT($E336)+$AF336))</f>
        <v/>
      </c>
      <c r="AI323" s="30">
        <f>IF($E336="","",IF(LEFT(UPPER(TRIM($AA336)),8)="FELICITA","⭐ Felicitación",IF(NOT(ISNUMBER($E336)),"⚠ Revisar fecha",IF(UPPER(TRIM($AK336))="RESPONDIDA - CERRADA","✅ Cerrada",IF($AE336="","⚠ Falta entidad",IF($AH336="","⚠ Revisar término",IF(TODAY()&gt;$AH336,"🔴 Vencida",IF($AH336-TODAY()&lt;=Config!$B$12,"🟡 Próxima a vencer","🟢 En término"))))))))</f>
        <v/>
      </c>
      <c r="AJ323" s="42">
        <f>IF(OR($E336="",NOT(ISNUMBER($E336))),"",IF(ISNUMBER($AS336),MAX(0,INT($AS336)-INT($E336)),MAX(0,TODAY()-INT($E336))))</f>
        <v/>
      </c>
      <c r="AK323" s="30" t="n"/>
      <c r="AL323" s="30" t="n"/>
      <c r="AM323" s="30" t="n"/>
      <c r="AN323" s="39" t="n"/>
      <c r="AO323" s="30" t="n"/>
      <c r="AP323" s="30" t="n"/>
      <c r="AQ323" s="39" t="n"/>
      <c r="AR323" s="30" t="n"/>
      <c r="AS323" s="39" t="n"/>
      <c r="AT323" s="30">
        <f>IF(OR($AS336="",NOT(ISNUMBER($AS336)),$AH336=""),"",IF(INT($AS336)&lt;=$AH336,"A tiempo","Fuera de término"))</f>
        <v/>
      </c>
      <c r="AU323" s="40" t="n"/>
      <c r="AV323" s="40" t="n"/>
      <c r="AW323" s="40" t="n"/>
      <c r="AX323" s="40" t="n"/>
      <c r="AY323" s="30" t="n"/>
      <c r="AZ323" s="30" t="n"/>
      <c r="BA323" s="30" t="n"/>
    </row>
    <row r="324" ht="15.75" customHeight="1" s="57">
      <c r="A324" s="29" t="n"/>
      <c r="B324" s="30" t="n"/>
      <c r="C324" s="39" t="n"/>
      <c r="D324" s="39" t="n"/>
      <c r="E324" s="39" t="n"/>
      <c r="F324" s="40" t="n"/>
      <c r="G324" s="30" t="n"/>
      <c r="H324" s="30" t="n"/>
      <c r="I324" s="30" t="n"/>
      <c r="J324" s="30" t="n"/>
      <c r="K324" s="30" t="n"/>
      <c r="L324" s="30" t="n"/>
      <c r="M324" s="30" t="n"/>
      <c r="N324" s="30" t="n"/>
      <c r="O324" s="30" t="n"/>
      <c r="P324" s="30" t="n"/>
      <c r="Q324" s="30" t="n"/>
      <c r="R324" s="30" t="n"/>
      <c r="S324" s="30" t="n"/>
      <c r="T324" s="30" t="n"/>
      <c r="U324" s="30" t="n"/>
      <c r="V324" s="30" t="n"/>
      <c r="W324" s="30" t="n"/>
      <c r="X324" s="30" t="n"/>
      <c r="Y324" s="30" t="n"/>
      <c r="Z324" s="30" t="n"/>
      <c r="AA324" s="30" t="n"/>
      <c r="AB324" s="30" t="n"/>
      <c r="AC324" s="30" t="n"/>
      <c r="AD324" s="41" t="n"/>
      <c r="AE324" s="30" t="n"/>
      <c r="AF324" s="42">
        <f>IF($AA337="","",IF(LEFT(UPPER(TRIM($AA337)),8)="FELICITA","N/A",IF($AE337="","",IFERROR(VLOOKUP(UPPER(TRIM($AE337)),Config!$A$6:$D$8,2,FALSE),IFERROR(VLOOKUP(IF(LEFT(UPPER(TRIM($AE337)),5)="SUPER","SUPER SALUD",IF(LEFT(UPPER(TRIM($AE337)),8)="SECRETAR","SECRETARIA DE SALUD",IF(LEFT(UPPER(TRIM($AE337)),4)="SEDE","SEDE",UPPER(TRIM($AE337))))),Config!$A$6:$D$8,2,FALSE),"⚠")))))</f>
        <v/>
      </c>
      <c r="AG324" s="30">
        <f>IF($AA337="","",IF(LEFT(UPPER(TRIM($AA337)),8)="FELICITA","N/A",IF($AE337="","",IFERROR(VLOOKUP(UPPER(TRIM($AE337)),Config!$A$6:$D$8,3,FALSE),IFERROR(VLOOKUP(IF(LEFT(UPPER(TRIM($AE337)),5)="SUPER","SUPER SALUD",IF(LEFT(UPPER(TRIM($AE337)),8)="SECRETAR","SECRETARIA DE SALUD",IF(LEFT(UPPER(TRIM($AE337)),4)="SEDE","SEDE",UPPER(TRIM($AE337))))),Config!$A$6:$D$8,3,FALSE),"")))))</f>
        <v/>
      </c>
      <c r="AH324" s="39">
        <f>IF(OR($E337="",NOT(ISNUMBER($E337)),$AF337="",$AF337="N/A",NOT(ISNUMBER($AF337))),"",IF($AG337="Hábiles",WORKDAY(INT($E337),$AF337,Config!$F$6:$F$39),INT($E337)+$AF337))</f>
        <v/>
      </c>
      <c r="AI324" s="30">
        <f>IF($E337="","",IF(LEFT(UPPER(TRIM($AA337)),8)="FELICITA","⭐ Felicitación",IF(NOT(ISNUMBER($E337)),"⚠ Revisar fecha",IF(UPPER(TRIM($AK337))="RESPONDIDA - CERRADA","✅ Cerrada",IF($AE337="","⚠ Falta entidad",IF($AH337="","⚠ Revisar término",IF(TODAY()&gt;$AH337,"🔴 Vencida",IF($AH337-TODAY()&lt;=Config!$B$12,"🟡 Próxima a vencer","🟢 En término"))))))))</f>
        <v/>
      </c>
      <c r="AJ324" s="42">
        <f>IF(OR($E337="",NOT(ISNUMBER($E337))),"",IF(ISNUMBER($AS337),MAX(0,INT($AS337)-INT($E337)),MAX(0,TODAY()-INT($E337))))</f>
        <v/>
      </c>
      <c r="AK324" s="30" t="n"/>
      <c r="AL324" s="30" t="n"/>
      <c r="AM324" s="30" t="n"/>
      <c r="AN324" s="39" t="n"/>
      <c r="AO324" s="30" t="n"/>
      <c r="AP324" s="30" t="n"/>
      <c r="AQ324" s="39" t="n"/>
      <c r="AR324" s="30" t="n"/>
      <c r="AS324" s="39" t="n"/>
      <c r="AT324" s="30">
        <f>IF(OR($AS337="",NOT(ISNUMBER($AS337)),$AH337=""),"",IF(INT($AS337)&lt;=$AH337,"A tiempo","Fuera de término"))</f>
        <v/>
      </c>
      <c r="AU324" s="40" t="n"/>
      <c r="AV324" s="40" t="n"/>
      <c r="AW324" s="40" t="n"/>
      <c r="AX324" s="40" t="n"/>
      <c r="AY324" s="30" t="n"/>
      <c r="AZ324" s="30" t="n"/>
      <c r="BA324" s="30" t="n"/>
    </row>
    <row r="325" ht="15.75" customHeight="1" s="57">
      <c r="A325" s="29" t="n"/>
      <c r="B325" s="30" t="n"/>
      <c r="C325" s="39" t="n"/>
      <c r="D325" s="39" t="n"/>
      <c r="E325" s="39" t="n"/>
      <c r="F325" s="40" t="n"/>
      <c r="G325" s="30" t="n"/>
      <c r="H325" s="30" t="n"/>
      <c r="I325" s="30" t="n"/>
      <c r="J325" s="30" t="n"/>
      <c r="K325" s="30" t="n"/>
      <c r="L325" s="30" t="n"/>
      <c r="M325" s="30" t="n"/>
      <c r="N325" s="30" t="n"/>
      <c r="O325" s="30" t="n"/>
      <c r="P325" s="30" t="n"/>
      <c r="Q325" s="30" t="n"/>
      <c r="R325" s="30" t="n"/>
      <c r="S325" s="30" t="n"/>
      <c r="T325" s="30" t="n"/>
      <c r="U325" s="30" t="n"/>
      <c r="V325" s="30" t="n"/>
      <c r="W325" s="30" t="n"/>
      <c r="X325" s="30" t="n"/>
      <c r="Y325" s="30" t="n"/>
      <c r="Z325" s="30" t="n"/>
      <c r="AA325" s="30" t="n"/>
      <c r="AB325" s="30" t="n"/>
      <c r="AC325" s="30" t="n"/>
      <c r="AD325" s="41" t="n"/>
      <c r="AE325" s="30" t="n"/>
      <c r="AF325" s="42">
        <f>IF($AA338="","",IF(LEFT(UPPER(TRIM($AA338)),8)="FELICITA","N/A",IF($AE338="","",IFERROR(VLOOKUP(UPPER(TRIM($AE338)),Config!$A$6:$D$8,2,FALSE),IFERROR(VLOOKUP(IF(LEFT(UPPER(TRIM($AE338)),5)="SUPER","SUPER SALUD",IF(LEFT(UPPER(TRIM($AE338)),8)="SECRETAR","SECRETARIA DE SALUD",IF(LEFT(UPPER(TRIM($AE338)),4)="SEDE","SEDE",UPPER(TRIM($AE338))))),Config!$A$6:$D$8,2,FALSE),"⚠")))))</f>
        <v/>
      </c>
      <c r="AG325" s="30">
        <f>IF($AA338="","",IF(LEFT(UPPER(TRIM($AA338)),8)="FELICITA","N/A",IF($AE338="","",IFERROR(VLOOKUP(UPPER(TRIM($AE338)),Config!$A$6:$D$8,3,FALSE),IFERROR(VLOOKUP(IF(LEFT(UPPER(TRIM($AE338)),5)="SUPER","SUPER SALUD",IF(LEFT(UPPER(TRIM($AE338)),8)="SECRETAR","SECRETARIA DE SALUD",IF(LEFT(UPPER(TRIM($AE338)),4)="SEDE","SEDE",UPPER(TRIM($AE338))))),Config!$A$6:$D$8,3,FALSE),"")))))</f>
        <v/>
      </c>
      <c r="AH325" s="39">
        <f>IF(OR($E338="",NOT(ISNUMBER($E338)),$AF338="",$AF338="N/A",NOT(ISNUMBER($AF338))),"",IF($AG338="Hábiles",WORKDAY(INT($E338),$AF338,Config!$F$6:$F$39),INT($E338)+$AF338))</f>
        <v/>
      </c>
      <c r="AI325" s="30">
        <f>IF($E338="","",IF(LEFT(UPPER(TRIM($AA338)),8)="FELICITA","⭐ Felicitación",IF(NOT(ISNUMBER($E338)),"⚠ Revisar fecha",IF(UPPER(TRIM($AK338))="RESPONDIDA - CERRADA","✅ Cerrada",IF($AE338="","⚠ Falta entidad",IF($AH338="","⚠ Revisar término",IF(TODAY()&gt;$AH338,"🔴 Vencida",IF($AH338-TODAY()&lt;=Config!$B$12,"🟡 Próxima a vencer","🟢 En término"))))))))</f>
        <v/>
      </c>
      <c r="AJ325" s="42">
        <f>IF(OR($E338="",NOT(ISNUMBER($E338))),"",IF(ISNUMBER($AS338),MAX(0,INT($AS338)-INT($E338)),MAX(0,TODAY()-INT($E338))))</f>
        <v/>
      </c>
      <c r="AK325" s="30" t="n"/>
      <c r="AL325" s="30" t="n"/>
      <c r="AM325" s="30" t="n"/>
      <c r="AN325" s="39" t="n"/>
      <c r="AO325" s="30" t="n"/>
      <c r="AP325" s="30" t="n"/>
      <c r="AQ325" s="39" t="n"/>
      <c r="AR325" s="30" t="n"/>
      <c r="AS325" s="39" t="n"/>
      <c r="AT325" s="30">
        <f>IF(OR($AS338="",NOT(ISNUMBER($AS338)),$AH338=""),"",IF(INT($AS338)&lt;=$AH338,"A tiempo","Fuera de término"))</f>
        <v/>
      </c>
      <c r="AU325" s="40" t="n"/>
      <c r="AV325" s="40" t="n"/>
      <c r="AW325" s="40" t="n"/>
      <c r="AX325" s="40" t="n"/>
      <c r="AY325" s="30" t="n"/>
      <c r="AZ325" s="30" t="n"/>
      <c r="BA325" s="30" t="n"/>
    </row>
    <row r="326" ht="15.75" customHeight="1" s="57">
      <c r="A326" s="29" t="n"/>
      <c r="B326" s="30" t="n"/>
      <c r="C326" s="39" t="n"/>
      <c r="D326" s="39" t="n"/>
      <c r="E326" s="39" t="n"/>
      <c r="F326" s="40" t="n"/>
      <c r="G326" s="30" t="n"/>
      <c r="H326" s="30" t="n"/>
      <c r="I326" s="30" t="n"/>
      <c r="J326" s="30" t="n"/>
      <c r="K326" s="30" t="n"/>
      <c r="L326" s="30" t="n"/>
      <c r="M326" s="30" t="n"/>
      <c r="N326" s="30" t="n"/>
      <c r="O326" s="30" t="n"/>
      <c r="P326" s="30" t="n"/>
      <c r="Q326" s="30" t="n"/>
      <c r="R326" s="30" t="n"/>
      <c r="S326" s="30" t="n"/>
      <c r="T326" s="30" t="n"/>
      <c r="U326" s="30" t="n"/>
      <c r="V326" s="30" t="n"/>
      <c r="W326" s="30" t="n"/>
      <c r="X326" s="30" t="n"/>
      <c r="Y326" s="30" t="n"/>
      <c r="Z326" s="30" t="n"/>
      <c r="AA326" s="30" t="n"/>
      <c r="AB326" s="30" t="n"/>
      <c r="AC326" s="30" t="n"/>
      <c r="AD326" s="41" t="n"/>
      <c r="AE326" s="30" t="n"/>
      <c r="AF326" s="42">
        <f>IF($AA339="","",IF(LEFT(UPPER(TRIM($AA339)),8)="FELICITA","N/A",IF($AE339="","",IFERROR(VLOOKUP(UPPER(TRIM($AE339)),Config!$A$6:$D$8,2,FALSE),IFERROR(VLOOKUP(IF(LEFT(UPPER(TRIM($AE339)),5)="SUPER","SUPER SALUD",IF(LEFT(UPPER(TRIM($AE339)),8)="SECRETAR","SECRETARIA DE SALUD",IF(LEFT(UPPER(TRIM($AE339)),4)="SEDE","SEDE",UPPER(TRIM($AE339))))),Config!$A$6:$D$8,2,FALSE),"⚠")))))</f>
        <v/>
      </c>
      <c r="AG326" s="30">
        <f>IF($AA339="","",IF(LEFT(UPPER(TRIM($AA339)),8)="FELICITA","N/A",IF($AE339="","",IFERROR(VLOOKUP(UPPER(TRIM($AE339)),Config!$A$6:$D$8,3,FALSE),IFERROR(VLOOKUP(IF(LEFT(UPPER(TRIM($AE339)),5)="SUPER","SUPER SALUD",IF(LEFT(UPPER(TRIM($AE339)),8)="SECRETAR","SECRETARIA DE SALUD",IF(LEFT(UPPER(TRIM($AE339)),4)="SEDE","SEDE",UPPER(TRIM($AE339))))),Config!$A$6:$D$8,3,FALSE),"")))))</f>
        <v/>
      </c>
      <c r="AH326" s="39">
        <f>IF(OR($E339="",NOT(ISNUMBER($E339)),$AF339="",$AF339="N/A",NOT(ISNUMBER($AF339))),"",IF($AG339="Hábiles",WORKDAY(INT($E339),$AF339,Config!$F$6:$F$39),INT($E339)+$AF339))</f>
        <v/>
      </c>
      <c r="AI326" s="30">
        <f>IF($E339="","",IF(LEFT(UPPER(TRIM($AA339)),8)="FELICITA","⭐ Felicitación",IF(NOT(ISNUMBER($E339)),"⚠ Revisar fecha",IF(UPPER(TRIM($AK339))="RESPONDIDA - CERRADA","✅ Cerrada",IF($AE339="","⚠ Falta entidad",IF($AH339="","⚠ Revisar término",IF(TODAY()&gt;$AH339,"🔴 Vencida",IF($AH339-TODAY()&lt;=Config!$B$12,"🟡 Próxima a vencer","🟢 En término"))))))))</f>
        <v/>
      </c>
      <c r="AJ326" s="42">
        <f>IF(OR($E339="",NOT(ISNUMBER($E339))),"",IF(ISNUMBER($AS339),MAX(0,INT($AS339)-INT($E339)),MAX(0,TODAY()-INT($E339))))</f>
        <v/>
      </c>
      <c r="AK326" s="30" t="n"/>
      <c r="AL326" s="30" t="n"/>
      <c r="AM326" s="30" t="n"/>
      <c r="AN326" s="39" t="n"/>
      <c r="AO326" s="30" t="n"/>
      <c r="AP326" s="30" t="n"/>
      <c r="AQ326" s="39" t="n"/>
      <c r="AR326" s="30" t="n"/>
      <c r="AS326" s="39" t="n"/>
      <c r="AT326" s="30">
        <f>IF(OR($AS339="",NOT(ISNUMBER($AS339)),$AH339=""),"",IF(INT($AS339)&lt;=$AH339,"A tiempo","Fuera de término"))</f>
        <v/>
      </c>
      <c r="AU326" s="40" t="n"/>
      <c r="AV326" s="40" t="n"/>
      <c r="AW326" s="40" t="n"/>
      <c r="AX326" s="40" t="n"/>
      <c r="AY326" s="30" t="n"/>
      <c r="AZ326" s="30" t="n"/>
      <c r="BA326" s="30" t="n"/>
    </row>
    <row r="327" ht="15.75" customHeight="1" s="57">
      <c r="A327" s="29" t="n"/>
      <c r="B327" s="30" t="n"/>
      <c r="C327" s="39" t="n"/>
      <c r="D327" s="39" t="n"/>
      <c r="E327" s="39" t="n"/>
      <c r="F327" s="40" t="n"/>
      <c r="G327" s="30" t="n"/>
      <c r="H327" s="30" t="n"/>
      <c r="I327" s="30" t="n"/>
      <c r="J327" s="30" t="n"/>
      <c r="K327" s="30" t="n"/>
      <c r="L327" s="30" t="n"/>
      <c r="M327" s="30" t="n"/>
      <c r="N327" s="30" t="n"/>
      <c r="O327" s="30" t="n"/>
      <c r="P327" s="30" t="n"/>
      <c r="Q327" s="30" t="n"/>
      <c r="R327" s="30" t="n"/>
      <c r="S327" s="30" t="n"/>
      <c r="T327" s="30" t="n"/>
      <c r="U327" s="30" t="n"/>
      <c r="V327" s="30" t="n"/>
      <c r="W327" s="30" t="n"/>
      <c r="X327" s="30" t="n"/>
      <c r="Y327" s="30" t="n"/>
      <c r="Z327" s="30" t="n"/>
      <c r="AA327" s="30" t="n"/>
      <c r="AB327" s="30" t="n"/>
      <c r="AC327" s="30" t="n"/>
      <c r="AD327" s="41" t="n"/>
      <c r="AE327" s="30" t="n"/>
      <c r="AF327" s="42">
        <f>IF($AA340="","",IF(LEFT(UPPER(TRIM($AA340)),8)="FELICITA","N/A",IF($AE340="","",IFERROR(VLOOKUP(UPPER(TRIM($AE340)),Config!$A$6:$D$8,2,FALSE),IFERROR(VLOOKUP(IF(LEFT(UPPER(TRIM($AE340)),5)="SUPER","SUPER SALUD",IF(LEFT(UPPER(TRIM($AE340)),8)="SECRETAR","SECRETARIA DE SALUD",IF(LEFT(UPPER(TRIM($AE340)),4)="SEDE","SEDE",UPPER(TRIM($AE340))))),Config!$A$6:$D$8,2,FALSE),"⚠")))))</f>
        <v/>
      </c>
      <c r="AG327" s="30">
        <f>IF($AA340="","",IF(LEFT(UPPER(TRIM($AA340)),8)="FELICITA","N/A",IF($AE340="","",IFERROR(VLOOKUP(UPPER(TRIM($AE340)),Config!$A$6:$D$8,3,FALSE),IFERROR(VLOOKUP(IF(LEFT(UPPER(TRIM($AE340)),5)="SUPER","SUPER SALUD",IF(LEFT(UPPER(TRIM($AE340)),8)="SECRETAR","SECRETARIA DE SALUD",IF(LEFT(UPPER(TRIM($AE340)),4)="SEDE","SEDE",UPPER(TRIM($AE340))))),Config!$A$6:$D$8,3,FALSE),"")))))</f>
        <v/>
      </c>
      <c r="AH327" s="39">
        <f>IF(OR($E340="",NOT(ISNUMBER($E340)),$AF340="",$AF340="N/A",NOT(ISNUMBER($AF340))),"",IF($AG340="Hábiles",WORKDAY(INT($E340),$AF340,Config!$F$6:$F$39),INT($E340)+$AF340))</f>
        <v/>
      </c>
      <c r="AI327" s="30">
        <f>IF($E340="","",IF(LEFT(UPPER(TRIM($AA340)),8)="FELICITA","⭐ Felicitación",IF(NOT(ISNUMBER($E340)),"⚠ Revisar fecha",IF(UPPER(TRIM($AK340))="RESPONDIDA - CERRADA","✅ Cerrada",IF($AE340="","⚠ Falta entidad",IF($AH340="","⚠ Revisar término",IF(TODAY()&gt;$AH340,"🔴 Vencida",IF($AH340-TODAY()&lt;=Config!$B$12,"🟡 Próxima a vencer","🟢 En término"))))))))</f>
        <v/>
      </c>
      <c r="AJ327" s="42">
        <f>IF(OR($E340="",NOT(ISNUMBER($E340))),"",IF(ISNUMBER($AS340),MAX(0,INT($AS340)-INT($E340)),MAX(0,TODAY()-INT($E340))))</f>
        <v/>
      </c>
      <c r="AK327" s="30" t="n"/>
      <c r="AL327" s="30" t="n"/>
      <c r="AM327" s="30" t="n"/>
      <c r="AN327" s="39" t="n"/>
      <c r="AO327" s="30" t="n"/>
      <c r="AP327" s="30" t="n"/>
      <c r="AQ327" s="39" t="n"/>
      <c r="AR327" s="30" t="n"/>
      <c r="AS327" s="39" t="n"/>
      <c r="AT327" s="30">
        <f>IF(OR($AS340="",NOT(ISNUMBER($AS340)),$AH340=""),"",IF(INT($AS340)&lt;=$AH340,"A tiempo","Fuera de término"))</f>
        <v/>
      </c>
      <c r="AU327" s="40" t="n"/>
      <c r="AV327" s="40" t="n"/>
      <c r="AW327" s="40" t="n"/>
      <c r="AX327" s="40" t="n"/>
      <c r="AY327" s="30" t="n"/>
      <c r="AZ327" s="30" t="n"/>
      <c r="BA327" s="30" t="n"/>
    </row>
    <row r="328" ht="15.75" customHeight="1" s="57">
      <c r="A328" s="29" t="n"/>
      <c r="B328" s="30" t="n"/>
      <c r="C328" s="39" t="n"/>
      <c r="D328" s="39" t="n"/>
      <c r="E328" s="39" t="n"/>
      <c r="F328" s="40" t="n"/>
      <c r="G328" s="30" t="n"/>
      <c r="H328" s="30" t="n"/>
      <c r="I328" s="30" t="n"/>
      <c r="J328" s="30" t="n"/>
      <c r="K328" s="30" t="n"/>
      <c r="L328" s="30" t="n"/>
      <c r="M328" s="30" t="n"/>
      <c r="N328" s="30" t="n"/>
      <c r="O328" s="30" t="n"/>
      <c r="P328" s="30" t="n"/>
      <c r="Q328" s="30" t="n"/>
      <c r="R328" s="30" t="n"/>
      <c r="S328" s="30" t="n"/>
      <c r="T328" s="30" t="n"/>
      <c r="U328" s="30" t="n"/>
      <c r="V328" s="30" t="n"/>
      <c r="W328" s="30" t="n"/>
      <c r="X328" s="30" t="n"/>
      <c r="Y328" s="30" t="n"/>
      <c r="Z328" s="30" t="n"/>
      <c r="AA328" s="30" t="n"/>
      <c r="AB328" s="30" t="n"/>
      <c r="AC328" s="30" t="n"/>
      <c r="AD328" s="41" t="n"/>
      <c r="AE328" s="30" t="n"/>
      <c r="AF328" s="42">
        <f>IF($AA341="","",IF(LEFT(UPPER(TRIM($AA341)),8)="FELICITA","N/A",IF($AE341="","",IFERROR(VLOOKUP(UPPER(TRIM($AE341)),Config!$A$6:$D$8,2,FALSE),IFERROR(VLOOKUP(IF(LEFT(UPPER(TRIM($AE341)),5)="SUPER","SUPER SALUD",IF(LEFT(UPPER(TRIM($AE341)),8)="SECRETAR","SECRETARIA DE SALUD",IF(LEFT(UPPER(TRIM($AE341)),4)="SEDE","SEDE",UPPER(TRIM($AE341))))),Config!$A$6:$D$8,2,FALSE),"⚠")))))</f>
        <v/>
      </c>
      <c r="AG328" s="30">
        <f>IF($AA341="","",IF(LEFT(UPPER(TRIM($AA341)),8)="FELICITA","N/A",IF($AE341="","",IFERROR(VLOOKUP(UPPER(TRIM($AE341)),Config!$A$6:$D$8,3,FALSE),IFERROR(VLOOKUP(IF(LEFT(UPPER(TRIM($AE341)),5)="SUPER","SUPER SALUD",IF(LEFT(UPPER(TRIM($AE341)),8)="SECRETAR","SECRETARIA DE SALUD",IF(LEFT(UPPER(TRIM($AE341)),4)="SEDE","SEDE",UPPER(TRIM($AE341))))),Config!$A$6:$D$8,3,FALSE),"")))))</f>
        <v/>
      </c>
      <c r="AH328" s="39">
        <f>IF(OR($E341="",NOT(ISNUMBER($E341)),$AF341="",$AF341="N/A",NOT(ISNUMBER($AF341))),"",IF($AG341="Hábiles",WORKDAY(INT($E341),$AF341,Config!$F$6:$F$39),INT($E341)+$AF341))</f>
        <v/>
      </c>
      <c r="AI328" s="30">
        <f>IF($E341="","",IF(LEFT(UPPER(TRIM($AA341)),8)="FELICITA","⭐ Felicitación",IF(NOT(ISNUMBER($E341)),"⚠ Revisar fecha",IF(UPPER(TRIM($AK341))="RESPONDIDA - CERRADA","✅ Cerrada",IF($AE341="","⚠ Falta entidad",IF($AH341="","⚠ Revisar término",IF(TODAY()&gt;$AH341,"🔴 Vencida",IF($AH341-TODAY()&lt;=Config!$B$12,"🟡 Próxima a vencer","🟢 En término"))))))))</f>
        <v/>
      </c>
      <c r="AJ328" s="42">
        <f>IF(OR($E341="",NOT(ISNUMBER($E341))),"",IF(ISNUMBER($AS341),MAX(0,INT($AS341)-INT($E341)),MAX(0,TODAY()-INT($E341))))</f>
        <v/>
      </c>
      <c r="AK328" s="30" t="n"/>
      <c r="AL328" s="30" t="n"/>
      <c r="AM328" s="30" t="n"/>
      <c r="AN328" s="39" t="n"/>
      <c r="AO328" s="30" t="n"/>
      <c r="AP328" s="30" t="n"/>
      <c r="AQ328" s="39" t="n"/>
      <c r="AR328" s="30" t="n"/>
      <c r="AS328" s="39" t="n"/>
      <c r="AT328" s="30">
        <f>IF(OR($AS341="",NOT(ISNUMBER($AS341)),$AH341=""),"",IF(INT($AS341)&lt;=$AH341,"A tiempo","Fuera de término"))</f>
        <v/>
      </c>
      <c r="AU328" s="40" t="n"/>
      <c r="AV328" s="40" t="n"/>
      <c r="AW328" s="40" t="n"/>
      <c r="AX328" s="40" t="n"/>
      <c r="AY328" s="30" t="n"/>
      <c r="AZ328" s="30" t="n"/>
      <c r="BA328" s="30" t="n"/>
    </row>
    <row r="329" ht="15.75" customHeight="1" s="57">
      <c r="A329" s="29" t="n"/>
      <c r="B329" s="30" t="n"/>
      <c r="C329" s="39" t="n"/>
      <c r="D329" s="39" t="n"/>
      <c r="E329" s="39" t="n"/>
      <c r="F329" s="40" t="n"/>
      <c r="G329" s="30" t="n"/>
      <c r="H329" s="30" t="n"/>
      <c r="I329" s="30" t="n"/>
      <c r="J329" s="30" t="n"/>
      <c r="K329" s="30" t="n"/>
      <c r="L329" s="30" t="n"/>
      <c r="M329" s="30" t="n"/>
      <c r="N329" s="30" t="n"/>
      <c r="O329" s="30" t="n"/>
      <c r="P329" s="30" t="n"/>
      <c r="Q329" s="30" t="n"/>
      <c r="R329" s="30" t="n"/>
      <c r="S329" s="30" t="n"/>
      <c r="T329" s="30" t="n"/>
      <c r="U329" s="30" t="n"/>
      <c r="V329" s="30" t="n"/>
      <c r="W329" s="30" t="n"/>
      <c r="X329" s="30" t="n"/>
      <c r="Y329" s="30" t="n"/>
      <c r="Z329" s="30" t="n"/>
      <c r="AA329" s="30" t="n"/>
      <c r="AB329" s="30" t="n"/>
      <c r="AC329" s="30" t="n"/>
      <c r="AD329" s="41" t="n"/>
      <c r="AE329" s="30" t="n"/>
      <c r="AF329" s="42">
        <f>IF($AA342="","",IF(LEFT(UPPER(TRIM($AA342)),8)="FELICITA","N/A",IF($AE342="","",IFERROR(VLOOKUP(UPPER(TRIM($AE342)),Config!$A$6:$D$8,2,FALSE),IFERROR(VLOOKUP(IF(LEFT(UPPER(TRIM($AE342)),5)="SUPER","SUPER SALUD",IF(LEFT(UPPER(TRIM($AE342)),8)="SECRETAR","SECRETARIA DE SALUD",IF(LEFT(UPPER(TRIM($AE342)),4)="SEDE","SEDE",UPPER(TRIM($AE342))))),Config!$A$6:$D$8,2,FALSE),"⚠")))))</f>
        <v/>
      </c>
      <c r="AG329" s="30">
        <f>IF($AA342="","",IF(LEFT(UPPER(TRIM($AA342)),8)="FELICITA","N/A",IF($AE342="","",IFERROR(VLOOKUP(UPPER(TRIM($AE342)),Config!$A$6:$D$8,3,FALSE),IFERROR(VLOOKUP(IF(LEFT(UPPER(TRIM($AE342)),5)="SUPER","SUPER SALUD",IF(LEFT(UPPER(TRIM($AE342)),8)="SECRETAR","SECRETARIA DE SALUD",IF(LEFT(UPPER(TRIM($AE342)),4)="SEDE","SEDE",UPPER(TRIM($AE342))))),Config!$A$6:$D$8,3,FALSE),"")))))</f>
        <v/>
      </c>
      <c r="AH329" s="39">
        <f>IF(OR($E342="",NOT(ISNUMBER($E342)),$AF342="",$AF342="N/A",NOT(ISNUMBER($AF342))),"",IF($AG342="Hábiles",WORKDAY(INT($E342),$AF342,Config!$F$6:$F$39),INT($E342)+$AF342))</f>
        <v/>
      </c>
      <c r="AI329" s="30">
        <f>IF($E342="","",IF(LEFT(UPPER(TRIM($AA342)),8)="FELICITA","⭐ Felicitación",IF(NOT(ISNUMBER($E342)),"⚠ Revisar fecha",IF(UPPER(TRIM($AK342))="RESPONDIDA - CERRADA","✅ Cerrada",IF($AE342="","⚠ Falta entidad",IF($AH342="","⚠ Revisar término",IF(TODAY()&gt;$AH342,"🔴 Vencida",IF($AH342-TODAY()&lt;=Config!$B$12,"🟡 Próxima a vencer","🟢 En término"))))))))</f>
        <v/>
      </c>
      <c r="AJ329" s="42">
        <f>IF(OR($E342="",NOT(ISNUMBER($E342))),"",IF(ISNUMBER($AS342),MAX(0,INT($AS342)-INT($E342)),MAX(0,TODAY()-INT($E342))))</f>
        <v/>
      </c>
      <c r="AK329" s="30" t="n"/>
      <c r="AL329" s="30" t="n"/>
      <c r="AM329" s="30" t="n"/>
      <c r="AN329" s="39" t="n"/>
      <c r="AO329" s="30" t="n"/>
      <c r="AP329" s="30" t="n"/>
      <c r="AQ329" s="39" t="n"/>
      <c r="AR329" s="30" t="n"/>
      <c r="AS329" s="39" t="n"/>
      <c r="AT329" s="30">
        <f>IF(OR($AS342="",NOT(ISNUMBER($AS342)),$AH342=""),"",IF(INT($AS342)&lt;=$AH342,"A tiempo","Fuera de término"))</f>
        <v/>
      </c>
      <c r="AU329" s="40" t="n"/>
      <c r="AV329" s="40" t="n"/>
      <c r="AW329" s="40" t="n"/>
      <c r="AX329" s="40" t="n"/>
      <c r="AY329" s="30" t="n"/>
      <c r="AZ329" s="30" t="n"/>
      <c r="BA329" s="30" t="n"/>
    </row>
    <row r="330" ht="15.75" customHeight="1" s="57">
      <c r="A330" s="29" t="n"/>
      <c r="B330" s="30" t="n"/>
      <c r="C330" s="39" t="n"/>
      <c r="D330" s="39" t="n"/>
      <c r="E330" s="39" t="n"/>
      <c r="F330" s="40" t="n"/>
      <c r="G330" s="30" t="n"/>
      <c r="H330" s="30" t="n"/>
      <c r="I330" s="30" t="n"/>
      <c r="J330" s="30" t="n"/>
      <c r="K330" s="30" t="n"/>
      <c r="L330" s="30" t="n"/>
      <c r="M330" s="30" t="n"/>
      <c r="N330" s="30" t="n"/>
      <c r="O330" s="30" t="n"/>
      <c r="P330" s="30" t="n"/>
      <c r="Q330" s="30" t="n"/>
      <c r="R330" s="30" t="n"/>
      <c r="S330" s="30" t="n"/>
      <c r="T330" s="30" t="n"/>
      <c r="U330" s="30" t="n"/>
      <c r="V330" s="30" t="n"/>
      <c r="W330" s="30" t="n"/>
      <c r="X330" s="30" t="n"/>
      <c r="Y330" s="30" t="n"/>
      <c r="Z330" s="30" t="n"/>
      <c r="AA330" s="30" t="n"/>
      <c r="AB330" s="30" t="n"/>
      <c r="AC330" s="30" t="n"/>
      <c r="AD330" s="41" t="n"/>
      <c r="AE330" s="30" t="n"/>
      <c r="AF330" s="42">
        <f>IF($AA343="","",IF(LEFT(UPPER(TRIM($AA343)),8)="FELICITA","N/A",IF($AE343="","",IFERROR(VLOOKUP(UPPER(TRIM($AE343)),Config!$A$6:$D$8,2,FALSE),IFERROR(VLOOKUP(IF(LEFT(UPPER(TRIM($AE343)),5)="SUPER","SUPER SALUD",IF(LEFT(UPPER(TRIM($AE343)),8)="SECRETAR","SECRETARIA DE SALUD",IF(LEFT(UPPER(TRIM($AE343)),4)="SEDE","SEDE",UPPER(TRIM($AE343))))),Config!$A$6:$D$8,2,FALSE),"⚠")))))</f>
        <v/>
      </c>
      <c r="AG330" s="30">
        <f>IF($AA343="","",IF(LEFT(UPPER(TRIM($AA343)),8)="FELICITA","N/A",IF($AE343="","",IFERROR(VLOOKUP(UPPER(TRIM($AE343)),Config!$A$6:$D$8,3,FALSE),IFERROR(VLOOKUP(IF(LEFT(UPPER(TRIM($AE343)),5)="SUPER","SUPER SALUD",IF(LEFT(UPPER(TRIM($AE343)),8)="SECRETAR","SECRETARIA DE SALUD",IF(LEFT(UPPER(TRIM($AE343)),4)="SEDE","SEDE",UPPER(TRIM($AE343))))),Config!$A$6:$D$8,3,FALSE),"")))))</f>
        <v/>
      </c>
      <c r="AH330" s="39">
        <f>IF(OR($E343="",NOT(ISNUMBER($E343)),$AF343="",$AF343="N/A",NOT(ISNUMBER($AF343))),"",IF($AG343="Hábiles",WORKDAY(INT($E343),$AF343,Config!$F$6:$F$39),INT($E343)+$AF343))</f>
        <v/>
      </c>
      <c r="AI330" s="30">
        <f>IF($E343="","",IF(LEFT(UPPER(TRIM($AA343)),8)="FELICITA","⭐ Felicitación",IF(NOT(ISNUMBER($E343)),"⚠ Revisar fecha",IF(UPPER(TRIM($AK343))="RESPONDIDA - CERRADA","✅ Cerrada",IF($AE343="","⚠ Falta entidad",IF($AH343="","⚠ Revisar término",IF(TODAY()&gt;$AH343,"🔴 Vencida",IF($AH343-TODAY()&lt;=Config!$B$12,"🟡 Próxima a vencer","🟢 En término"))))))))</f>
        <v/>
      </c>
      <c r="AJ330" s="42">
        <f>IF(OR($E343="",NOT(ISNUMBER($E343))),"",IF(ISNUMBER($AS343),MAX(0,INT($AS343)-INT($E343)),MAX(0,TODAY()-INT($E343))))</f>
        <v/>
      </c>
      <c r="AK330" s="30" t="n"/>
      <c r="AL330" s="30" t="n"/>
      <c r="AM330" s="30" t="n"/>
      <c r="AN330" s="39" t="n"/>
      <c r="AO330" s="30" t="n"/>
      <c r="AP330" s="30" t="n"/>
      <c r="AQ330" s="39" t="n"/>
      <c r="AR330" s="30" t="n"/>
      <c r="AS330" s="39" t="n"/>
      <c r="AT330" s="30">
        <f>IF(OR($AS343="",NOT(ISNUMBER($AS343)),$AH343=""),"",IF(INT($AS343)&lt;=$AH343,"A tiempo","Fuera de término"))</f>
        <v/>
      </c>
      <c r="AU330" s="40" t="n"/>
      <c r="AV330" s="40" t="n"/>
      <c r="AW330" s="40" t="n"/>
      <c r="AX330" s="40" t="n"/>
      <c r="AY330" s="30" t="n"/>
      <c r="AZ330" s="30" t="n"/>
      <c r="BA330" s="30" t="n"/>
    </row>
    <row r="331" ht="15.75" customHeight="1" s="57">
      <c r="A331" s="29" t="n"/>
      <c r="B331" s="30" t="n"/>
      <c r="C331" s="39" t="n"/>
      <c r="D331" s="39" t="n"/>
      <c r="E331" s="39" t="n"/>
      <c r="F331" s="40" t="n"/>
      <c r="G331" s="30" t="n"/>
      <c r="H331" s="30" t="n"/>
      <c r="I331" s="30" t="n"/>
      <c r="J331" s="30" t="n"/>
      <c r="K331" s="30" t="n"/>
      <c r="L331" s="30" t="n"/>
      <c r="M331" s="30" t="n"/>
      <c r="N331" s="30" t="n"/>
      <c r="O331" s="30" t="n"/>
      <c r="P331" s="30" t="n"/>
      <c r="Q331" s="30" t="n"/>
      <c r="R331" s="30" t="n"/>
      <c r="S331" s="30" t="n"/>
      <c r="T331" s="30" t="n"/>
      <c r="U331" s="30" t="n"/>
      <c r="V331" s="30" t="n"/>
      <c r="W331" s="30" t="n"/>
      <c r="X331" s="30" t="n"/>
      <c r="Y331" s="30" t="n"/>
      <c r="Z331" s="30" t="n"/>
      <c r="AA331" s="30" t="n"/>
      <c r="AB331" s="30" t="n"/>
      <c r="AC331" s="30" t="n"/>
      <c r="AD331" s="41" t="n"/>
      <c r="AE331" s="30" t="n"/>
      <c r="AF331" s="42">
        <f>IF($AA344="","",IF(LEFT(UPPER(TRIM($AA344)),8)="FELICITA","N/A",IF($AE344="","",IFERROR(VLOOKUP(UPPER(TRIM($AE344)),Config!$A$6:$D$8,2,FALSE),IFERROR(VLOOKUP(IF(LEFT(UPPER(TRIM($AE344)),5)="SUPER","SUPER SALUD",IF(LEFT(UPPER(TRIM($AE344)),8)="SECRETAR","SECRETARIA DE SALUD",IF(LEFT(UPPER(TRIM($AE344)),4)="SEDE","SEDE",UPPER(TRIM($AE344))))),Config!$A$6:$D$8,2,FALSE),"⚠")))))</f>
        <v/>
      </c>
      <c r="AG331" s="30">
        <f>IF($AA344="","",IF(LEFT(UPPER(TRIM($AA344)),8)="FELICITA","N/A",IF($AE344="","",IFERROR(VLOOKUP(UPPER(TRIM($AE344)),Config!$A$6:$D$8,3,FALSE),IFERROR(VLOOKUP(IF(LEFT(UPPER(TRIM($AE344)),5)="SUPER","SUPER SALUD",IF(LEFT(UPPER(TRIM($AE344)),8)="SECRETAR","SECRETARIA DE SALUD",IF(LEFT(UPPER(TRIM($AE344)),4)="SEDE","SEDE",UPPER(TRIM($AE344))))),Config!$A$6:$D$8,3,FALSE),"")))))</f>
        <v/>
      </c>
      <c r="AH331" s="39">
        <f>IF(OR($E344="",NOT(ISNUMBER($E344)),$AF344="",$AF344="N/A",NOT(ISNUMBER($AF344))),"",IF($AG344="Hábiles",WORKDAY(INT($E344),$AF344,Config!$F$6:$F$39),INT($E344)+$AF344))</f>
        <v/>
      </c>
      <c r="AI331" s="30">
        <f>IF($E344="","",IF(LEFT(UPPER(TRIM($AA344)),8)="FELICITA","⭐ Felicitación",IF(NOT(ISNUMBER($E344)),"⚠ Revisar fecha",IF(UPPER(TRIM($AK344))="RESPONDIDA - CERRADA","✅ Cerrada",IF($AE344="","⚠ Falta entidad",IF($AH344="","⚠ Revisar término",IF(TODAY()&gt;$AH344,"🔴 Vencida",IF($AH344-TODAY()&lt;=Config!$B$12,"🟡 Próxima a vencer","🟢 En término"))))))))</f>
        <v/>
      </c>
      <c r="AJ331" s="42">
        <f>IF(OR($E344="",NOT(ISNUMBER($E344))),"",IF(ISNUMBER($AS344),MAX(0,INT($AS344)-INT($E344)),MAX(0,TODAY()-INT($E344))))</f>
        <v/>
      </c>
      <c r="AK331" s="30" t="n"/>
      <c r="AL331" s="30" t="n"/>
      <c r="AM331" s="30" t="n"/>
      <c r="AN331" s="39" t="n"/>
      <c r="AO331" s="30" t="n"/>
      <c r="AP331" s="30" t="n"/>
      <c r="AQ331" s="39" t="n"/>
      <c r="AR331" s="30" t="n"/>
      <c r="AS331" s="39" t="n"/>
      <c r="AT331" s="30">
        <f>IF(OR($AS344="",NOT(ISNUMBER($AS344)),$AH344=""),"",IF(INT($AS344)&lt;=$AH344,"A tiempo","Fuera de término"))</f>
        <v/>
      </c>
      <c r="AU331" s="40" t="n"/>
      <c r="AV331" s="40" t="n"/>
      <c r="AW331" s="40" t="n"/>
      <c r="AX331" s="40" t="n"/>
      <c r="AY331" s="30" t="n"/>
      <c r="AZ331" s="30" t="n"/>
      <c r="BA331" s="30" t="n"/>
    </row>
    <row r="332" ht="15.75" customHeight="1" s="57">
      <c r="A332" s="29" t="n"/>
      <c r="B332" s="30" t="n"/>
      <c r="C332" s="39" t="n"/>
      <c r="D332" s="39" t="n"/>
      <c r="E332" s="39" t="n"/>
      <c r="F332" s="40" t="n"/>
      <c r="G332" s="30" t="n"/>
      <c r="H332" s="30" t="n"/>
      <c r="I332" s="30" t="n"/>
      <c r="J332" s="30" t="n"/>
      <c r="K332" s="30" t="n"/>
      <c r="L332" s="30" t="n"/>
      <c r="M332" s="30" t="n"/>
      <c r="N332" s="30" t="n"/>
      <c r="O332" s="30" t="n"/>
      <c r="P332" s="30" t="n"/>
      <c r="Q332" s="30" t="n"/>
      <c r="R332" s="30" t="n"/>
      <c r="S332" s="30" t="n"/>
      <c r="T332" s="30" t="n"/>
      <c r="U332" s="30" t="n"/>
      <c r="V332" s="30" t="n"/>
      <c r="W332" s="30" t="n"/>
      <c r="X332" s="30" t="n"/>
      <c r="Y332" s="30" t="n"/>
      <c r="Z332" s="30" t="n"/>
      <c r="AA332" s="30" t="n"/>
      <c r="AB332" s="30" t="n"/>
      <c r="AC332" s="30" t="n"/>
      <c r="AD332" s="41" t="n"/>
      <c r="AE332" s="30" t="n"/>
      <c r="AF332" s="42">
        <f>IF($AA345="","",IF(LEFT(UPPER(TRIM($AA345)),8)="FELICITA","N/A",IF($AE345="","",IFERROR(VLOOKUP(UPPER(TRIM($AE345)),Config!$A$6:$D$8,2,FALSE),IFERROR(VLOOKUP(IF(LEFT(UPPER(TRIM($AE345)),5)="SUPER","SUPER SALUD",IF(LEFT(UPPER(TRIM($AE345)),8)="SECRETAR","SECRETARIA DE SALUD",IF(LEFT(UPPER(TRIM($AE345)),4)="SEDE","SEDE",UPPER(TRIM($AE345))))),Config!$A$6:$D$8,2,FALSE),"⚠")))))</f>
        <v/>
      </c>
      <c r="AG332" s="30">
        <f>IF($AA345="","",IF(LEFT(UPPER(TRIM($AA345)),8)="FELICITA","N/A",IF($AE345="","",IFERROR(VLOOKUP(UPPER(TRIM($AE345)),Config!$A$6:$D$8,3,FALSE),IFERROR(VLOOKUP(IF(LEFT(UPPER(TRIM($AE345)),5)="SUPER","SUPER SALUD",IF(LEFT(UPPER(TRIM($AE345)),8)="SECRETAR","SECRETARIA DE SALUD",IF(LEFT(UPPER(TRIM($AE345)),4)="SEDE","SEDE",UPPER(TRIM($AE345))))),Config!$A$6:$D$8,3,FALSE),"")))))</f>
        <v/>
      </c>
      <c r="AH332" s="39">
        <f>IF(OR($E345="",NOT(ISNUMBER($E345)),$AF345="",$AF345="N/A",NOT(ISNUMBER($AF345))),"",IF($AG345="Hábiles",WORKDAY(INT($E345),$AF345,Config!$F$6:$F$39),INT($E345)+$AF345))</f>
        <v/>
      </c>
      <c r="AI332" s="30">
        <f>IF($E345="","",IF(LEFT(UPPER(TRIM($AA345)),8)="FELICITA","⭐ Felicitación",IF(NOT(ISNUMBER($E345)),"⚠ Revisar fecha",IF(UPPER(TRIM($AK345))="RESPONDIDA - CERRADA","✅ Cerrada",IF($AE345="","⚠ Falta entidad",IF($AH345="","⚠ Revisar término",IF(TODAY()&gt;$AH345,"🔴 Vencida",IF($AH345-TODAY()&lt;=Config!$B$12,"🟡 Próxima a vencer","🟢 En término"))))))))</f>
        <v/>
      </c>
      <c r="AJ332" s="42">
        <f>IF(OR($E345="",NOT(ISNUMBER($E345))),"",IF(ISNUMBER($AS345),MAX(0,INT($AS345)-INT($E345)),MAX(0,TODAY()-INT($E345))))</f>
        <v/>
      </c>
      <c r="AK332" s="30" t="n"/>
      <c r="AL332" s="30" t="n"/>
      <c r="AM332" s="30" t="n"/>
      <c r="AN332" s="39" t="n"/>
      <c r="AO332" s="30" t="n"/>
      <c r="AP332" s="30" t="n"/>
      <c r="AQ332" s="39" t="n"/>
      <c r="AR332" s="30" t="n"/>
      <c r="AS332" s="39" t="n"/>
      <c r="AT332" s="30">
        <f>IF(OR($AS345="",NOT(ISNUMBER($AS345)),$AH345=""),"",IF(INT($AS345)&lt;=$AH345,"A tiempo","Fuera de término"))</f>
        <v/>
      </c>
      <c r="AU332" s="40" t="n"/>
      <c r="AV332" s="40" t="n"/>
      <c r="AW332" s="40" t="n"/>
      <c r="AX332" s="40" t="n"/>
      <c r="AY332" s="30" t="n"/>
      <c r="AZ332" s="30" t="n"/>
      <c r="BA332" s="30" t="n"/>
    </row>
    <row r="333" ht="15.75" customHeight="1" s="57">
      <c r="A333" s="29" t="n"/>
      <c r="B333" s="30" t="n"/>
      <c r="C333" s="39" t="n"/>
      <c r="D333" s="39" t="n"/>
      <c r="E333" s="39" t="n"/>
      <c r="F333" s="40" t="n"/>
      <c r="G333" s="30" t="n"/>
      <c r="H333" s="30" t="n"/>
      <c r="I333" s="30" t="n"/>
      <c r="J333" s="30" t="n"/>
      <c r="K333" s="30" t="n"/>
      <c r="L333" s="30" t="n"/>
      <c r="M333" s="30" t="n"/>
      <c r="N333" s="30" t="n"/>
      <c r="O333" s="30" t="n"/>
      <c r="P333" s="30" t="n"/>
      <c r="Q333" s="30" t="n"/>
      <c r="R333" s="30" t="n"/>
      <c r="S333" s="30" t="n"/>
      <c r="T333" s="30" t="n"/>
      <c r="U333" s="30" t="n"/>
      <c r="V333" s="30" t="n"/>
      <c r="W333" s="30" t="n"/>
      <c r="X333" s="30" t="n"/>
      <c r="Y333" s="30" t="n"/>
      <c r="Z333" s="30" t="n"/>
      <c r="AA333" s="30" t="n"/>
      <c r="AB333" s="30" t="n"/>
      <c r="AC333" s="30" t="n"/>
      <c r="AD333" s="41" t="n"/>
      <c r="AE333" s="30" t="n"/>
      <c r="AF333" s="42">
        <f>IF($AA346="","",IF(LEFT(UPPER(TRIM($AA346)),8)="FELICITA","N/A",IF($AE346="","",IFERROR(VLOOKUP(UPPER(TRIM($AE346)),Config!$A$6:$D$8,2,FALSE),IFERROR(VLOOKUP(IF(LEFT(UPPER(TRIM($AE346)),5)="SUPER","SUPER SALUD",IF(LEFT(UPPER(TRIM($AE346)),8)="SECRETAR","SECRETARIA DE SALUD",IF(LEFT(UPPER(TRIM($AE346)),4)="SEDE","SEDE",UPPER(TRIM($AE346))))),Config!$A$6:$D$8,2,FALSE),"⚠")))))</f>
        <v/>
      </c>
      <c r="AG333" s="30">
        <f>IF($AA346="","",IF(LEFT(UPPER(TRIM($AA346)),8)="FELICITA","N/A",IF($AE346="","",IFERROR(VLOOKUP(UPPER(TRIM($AE346)),Config!$A$6:$D$8,3,FALSE),IFERROR(VLOOKUP(IF(LEFT(UPPER(TRIM($AE346)),5)="SUPER","SUPER SALUD",IF(LEFT(UPPER(TRIM($AE346)),8)="SECRETAR","SECRETARIA DE SALUD",IF(LEFT(UPPER(TRIM($AE346)),4)="SEDE","SEDE",UPPER(TRIM($AE346))))),Config!$A$6:$D$8,3,FALSE),"")))))</f>
        <v/>
      </c>
      <c r="AH333" s="39">
        <f>IF(OR($E346="",NOT(ISNUMBER($E346)),$AF346="",$AF346="N/A",NOT(ISNUMBER($AF346))),"",IF($AG346="Hábiles",WORKDAY(INT($E346),$AF346,Config!$F$6:$F$39),INT($E346)+$AF346))</f>
        <v/>
      </c>
      <c r="AI333" s="30">
        <f>IF($E346="","",IF(LEFT(UPPER(TRIM($AA346)),8)="FELICITA","⭐ Felicitación",IF(NOT(ISNUMBER($E346)),"⚠ Revisar fecha",IF(UPPER(TRIM($AK346))="RESPONDIDA - CERRADA","✅ Cerrada",IF($AE346="","⚠ Falta entidad",IF($AH346="","⚠ Revisar término",IF(TODAY()&gt;$AH346,"🔴 Vencida",IF($AH346-TODAY()&lt;=Config!$B$12,"🟡 Próxima a vencer","🟢 En término"))))))))</f>
        <v/>
      </c>
      <c r="AJ333" s="42">
        <f>IF(OR($E346="",NOT(ISNUMBER($E346))),"",IF(ISNUMBER($AS346),MAX(0,INT($AS346)-INT($E346)),MAX(0,TODAY()-INT($E346))))</f>
        <v/>
      </c>
      <c r="AK333" s="30" t="n"/>
      <c r="AL333" s="30" t="n"/>
      <c r="AM333" s="30" t="n"/>
      <c r="AN333" s="39" t="n"/>
      <c r="AO333" s="30" t="n"/>
      <c r="AP333" s="30" t="n"/>
      <c r="AQ333" s="39" t="n"/>
      <c r="AR333" s="30" t="n"/>
      <c r="AS333" s="39" t="n"/>
      <c r="AT333" s="30">
        <f>IF(OR($AS346="",NOT(ISNUMBER($AS346)),$AH346=""),"",IF(INT($AS346)&lt;=$AH346,"A tiempo","Fuera de término"))</f>
        <v/>
      </c>
      <c r="AU333" s="40" t="n"/>
      <c r="AV333" s="40" t="n"/>
      <c r="AW333" s="40" t="n"/>
      <c r="AX333" s="40" t="n"/>
      <c r="AY333" s="30" t="n"/>
      <c r="AZ333" s="30" t="n"/>
      <c r="BA333" s="30" t="n"/>
    </row>
    <row r="334" ht="15.75" customHeight="1" s="57">
      <c r="A334" s="29" t="n"/>
      <c r="B334" s="30" t="n"/>
      <c r="C334" s="39" t="n"/>
      <c r="D334" s="39" t="n"/>
      <c r="E334" s="39" t="n"/>
      <c r="F334" s="40" t="n"/>
      <c r="G334" s="30" t="n"/>
      <c r="H334" s="30" t="n"/>
      <c r="I334" s="30" t="n"/>
      <c r="J334" s="30" t="n"/>
      <c r="K334" s="30" t="n"/>
      <c r="L334" s="30" t="n"/>
      <c r="M334" s="30" t="n"/>
      <c r="N334" s="30" t="n"/>
      <c r="O334" s="30" t="n"/>
      <c r="P334" s="30" t="n"/>
      <c r="Q334" s="30" t="n"/>
      <c r="R334" s="30" t="n"/>
      <c r="S334" s="30" t="n"/>
      <c r="T334" s="30" t="n"/>
      <c r="U334" s="30" t="n"/>
      <c r="V334" s="30" t="n"/>
      <c r="W334" s="30" t="n"/>
      <c r="X334" s="30" t="n"/>
      <c r="Y334" s="30" t="n"/>
      <c r="Z334" s="30" t="n"/>
      <c r="AA334" s="30" t="n"/>
      <c r="AB334" s="30" t="n"/>
      <c r="AC334" s="30" t="n"/>
      <c r="AD334" s="41" t="n"/>
      <c r="AE334" s="30" t="n"/>
      <c r="AF334" s="42">
        <f>IF($AA347="","",IF(LEFT(UPPER(TRIM($AA347)),8)="FELICITA","N/A",IF($AE347="","",IFERROR(VLOOKUP(UPPER(TRIM($AE347)),Config!$A$6:$D$8,2,FALSE),IFERROR(VLOOKUP(IF(LEFT(UPPER(TRIM($AE347)),5)="SUPER","SUPER SALUD",IF(LEFT(UPPER(TRIM($AE347)),8)="SECRETAR","SECRETARIA DE SALUD",IF(LEFT(UPPER(TRIM($AE347)),4)="SEDE","SEDE",UPPER(TRIM($AE347))))),Config!$A$6:$D$8,2,FALSE),"⚠")))))</f>
        <v/>
      </c>
      <c r="AG334" s="30">
        <f>IF($AA347="","",IF(LEFT(UPPER(TRIM($AA347)),8)="FELICITA","N/A",IF($AE347="","",IFERROR(VLOOKUP(UPPER(TRIM($AE347)),Config!$A$6:$D$8,3,FALSE),IFERROR(VLOOKUP(IF(LEFT(UPPER(TRIM($AE347)),5)="SUPER","SUPER SALUD",IF(LEFT(UPPER(TRIM($AE347)),8)="SECRETAR","SECRETARIA DE SALUD",IF(LEFT(UPPER(TRIM($AE347)),4)="SEDE","SEDE",UPPER(TRIM($AE347))))),Config!$A$6:$D$8,3,FALSE),"")))))</f>
        <v/>
      </c>
      <c r="AH334" s="39">
        <f>IF(OR($E347="",NOT(ISNUMBER($E347)),$AF347="",$AF347="N/A",NOT(ISNUMBER($AF347))),"",IF($AG347="Hábiles",WORKDAY(INT($E347),$AF347,Config!$F$6:$F$39),INT($E347)+$AF347))</f>
        <v/>
      </c>
      <c r="AI334" s="30">
        <f>IF($E347="","",IF(LEFT(UPPER(TRIM($AA347)),8)="FELICITA","⭐ Felicitación",IF(NOT(ISNUMBER($E347)),"⚠ Revisar fecha",IF(UPPER(TRIM($AK347))="RESPONDIDA - CERRADA","✅ Cerrada",IF($AE347="","⚠ Falta entidad",IF($AH347="","⚠ Revisar término",IF(TODAY()&gt;$AH347,"🔴 Vencida",IF($AH347-TODAY()&lt;=Config!$B$12,"🟡 Próxima a vencer","🟢 En término"))))))))</f>
        <v/>
      </c>
      <c r="AJ334" s="42">
        <f>IF(OR($E347="",NOT(ISNUMBER($E347))),"",IF(ISNUMBER($AS347),MAX(0,INT($AS347)-INT($E347)),MAX(0,TODAY()-INT($E347))))</f>
        <v/>
      </c>
      <c r="AK334" s="30" t="n"/>
      <c r="AL334" s="30" t="n"/>
      <c r="AM334" s="30" t="n"/>
      <c r="AN334" s="39" t="n"/>
      <c r="AO334" s="30" t="n"/>
      <c r="AP334" s="30" t="n"/>
      <c r="AQ334" s="39" t="n"/>
      <c r="AR334" s="30" t="n"/>
      <c r="AS334" s="39" t="n"/>
      <c r="AT334" s="30">
        <f>IF(OR($AS347="",NOT(ISNUMBER($AS347)),$AH347=""),"",IF(INT($AS347)&lt;=$AH347,"A tiempo","Fuera de término"))</f>
        <v/>
      </c>
      <c r="AU334" s="40" t="n"/>
      <c r="AV334" s="40" t="n"/>
      <c r="AW334" s="40" t="n"/>
      <c r="AX334" s="40" t="n"/>
      <c r="AY334" s="30" t="n"/>
      <c r="AZ334" s="30" t="n"/>
      <c r="BA334" s="30" t="n"/>
    </row>
    <row r="335" ht="15.75" customHeight="1" s="57">
      <c r="A335" s="29" t="n"/>
      <c r="B335" s="30" t="n"/>
      <c r="C335" s="39" t="n"/>
      <c r="D335" s="39" t="n"/>
      <c r="E335" s="39" t="n"/>
      <c r="F335" s="40" t="n"/>
      <c r="G335" s="30" t="n"/>
      <c r="H335" s="30" t="n"/>
      <c r="I335" s="30" t="n"/>
      <c r="J335" s="30" t="n"/>
      <c r="K335" s="30" t="n"/>
      <c r="L335" s="30" t="n"/>
      <c r="M335" s="30" t="n"/>
      <c r="N335" s="30" t="n"/>
      <c r="O335" s="30" t="n"/>
      <c r="P335" s="30" t="n"/>
      <c r="Q335" s="30" t="n"/>
      <c r="R335" s="30" t="n"/>
      <c r="S335" s="30" t="n"/>
      <c r="T335" s="30" t="n"/>
      <c r="U335" s="30" t="n"/>
      <c r="V335" s="30" t="n"/>
      <c r="W335" s="30" t="n"/>
      <c r="X335" s="30" t="n"/>
      <c r="Y335" s="30" t="n"/>
      <c r="Z335" s="30" t="n"/>
      <c r="AA335" s="30" t="n"/>
      <c r="AB335" s="30" t="n"/>
      <c r="AC335" s="30" t="n"/>
      <c r="AD335" s="41" t="n"/>
      <c r="AE335" s="30" t="n"/>
      <c r="AF335" s="42">
        <f>IF($AA348="","",IF(LEFT(UPPER(TRIM($AA348)),8)="FELICITA","N/A",IF($AE348="","",IFERROR(VLOOKUP(UPPER(TRIM($AE348)),Config!$A$6:$D$8,2,FALSE),IFERROR(VLOOKUP(IF(LEFT(UPPER(TRIM($AE348)),5)="SUPER","SUPER SALUD",IF(LEFT(UPPER(TRIM($AE348)),8)="SECRETAR","SECRETARIA DE SALUD",IF(LEFT(UPPER(TRIM($AE348)),4)="SEDE","SEDE",UPPER(TRIM($AE348))))),Config!$A$6:$D$8,2,FALSE),"⚠")))))</f>
        <v/>
      </c>
      <c r="AG335" s="30">
        <f>IF($AA348="","",IF(LEFT(UPPER(TRIM($AA348)),8)="FELICITA","N/A",IF($AE348="","",IFERROR(VLOOKUP(UPPER(TRIM($AE348)),Config!$A$6:$D$8,3,FALSE),IFERROR(VLOOKUP(IF(LEFT(UPPER(TRIM($AE348)),5)="SUPER","SUPER SALUD",IF(LEFT(UPPER(TRIM($AE348)),8)="SECRETAR","SECRETARIA DE SALUD",IF(LEFT(UPPER(TRIM($AE348)),4)="SEDE","SEDE",UPPER(TRIM($AE348))))),Config!$A$6:$D$8,3,FALSE),"")))))</f>
        <v/>
      </c>
      <c r="AH335" s="39">
        <f>IF(OR($E348="",NOT(ISNUMBER($E348)),$AF348="",$AF348="N/A",NOT(ISNUMBER($AF348))),"",IF($AG348="Hábiles",WORKDAY(INT($E348),$AF348,Config!$F$6:$F$39),INT($E348)+$AF348))</f>
        <v/>
      </c>
      <c r="AI335" s="30">
        <f>IF($E348="","",IF(LEFT(UPPER(TRIM($AA348)),8)="FELICITA","⭐ Felicitación",IF(NOT(ISNUMBER($E348)),"⚠ Revisar fecha",IF(UPPER(TRIM($AK348))="RESPONDIDA - CERRADA","✅ Cerrada",IF($AE348="","⚠ Falta entidad",IF($AH348="","⚠ Revisar término",IF(TODAY()&gt;$AH348,"🔴 Vencida",IF($AH348-TODAY()&lt;=Config!$B$12,"🟡 Próxima a vencer","🟢 En término"))))))))</f>
        <v/>
      </c>
      <c r="AJ335" s="42">
        <f>IF(OR($E348="",NOT(ISNUMBER($E348))),"",IF(ISNUMBER($AS348),MAX(0,INT($AS348)-INT($E348)),MAX(0,TODAY()-INT($E348))))</f>
        <v/>
      </c>
      <c r="AK335" s="30" t="n"/>
      <c r="AL335" s="30" t="n"/>
      <c r="AM335" s="30" t="n"/>
      <c r="AN335" s="39" t="n"/>
      <c r="AO335" s="30" t="n"/>
      <c r="AP335" s="30" t="n"/>
      <c r="AQ335" s="39" t="n"/>
      <c r="AR335" s="30" t="n"/>
      <c r="AS335" s="39" t="n"/>
      <c r="AT335" s="30">
        <f>IF(OR($AS348="",NOT(ISNUMBER($AS348)),$AH348=""),"",IF(INT($AS348)&lt;=$AH348,"A tiempo","Fuera de término"))</f>
        <v/>
      </c>
      <c r="AU335" s="40" t="n"/>
      <c r="AV335" s="40" t="n"/>
      <c r="AW335" s="40" t="n"/>
      <c r="AX335" s="40" t="n"/>
      <c r="AY335" s="30" t="n"/>
      <c r="AZ335" s="30" t="n"/>
      <c r="BA335" s="30" t="n"/>
    </row>
    <row r="336" ht="15.75" customHeight="1" s="57">
      <c r="A336" s="29" t="n"/>
      <c r="B336" s="30" t="n"/>
      <c r="C336" s="39" t="n"/>
      <c r="D336" s="39" t="n"/>
      <c r="E336" s="39" t="n"/>
      <c r="F336" s="40" t="n"/>
      <c r="G336" s="30" t="n"/>
      <c r="H336" s="30" t="n"/>
      <c r="I336" s="30" t="n"/>
      <c r="J336" s="30" t="n"/>
      <c r="K336" s="30" t="n"/>
      <c r="L336" s="30" t="n"/>
      <c r="M336" s="30" t="n"/>
      <c r="N336" s="30" t="n"/>
      <c r="O336" s="30" t="n"/>
      <c r="P336" s="30" t="n"/>
      <c r="Q336" s="30" t="n"/>
      <c r="R336" s="30" t="n"/>
      <c r="S336" s="30" t="n"/>
      <c r="T336" s="30" t="n"/>
      <c r="U336" s="30" t="n"/>
      <c r="V336" s="30" t="n"/>
      <c r="W336" s="30" t="n"/>
      <c r="X336" s="30" t="n"/>
      <c r="Y336" s="30" t="n"/>
      <c r="Z336" s="30" t="n"/>
      <c r="AA336" s="30" t="n"/>
      <c r="AB336" s="30" t="n"/>
      <c r="AC336" s="30" t="n"/>
      <c r="AD336" s="41" t="n"/>
      <c r="AE336" s="30" t="n"/>
      <c r="AF336" s="42">
        <f>IF($AA349="","",IF(LEFT(UPPER(TRIM($AA349)),8)="FELICITA","N/A",IF($AE349="","",IFERROR(VLOOKUP(UPPER(TRIM($AE349)),Config!$A$6:$D$8,2,FALSE),IFERROR(VLOOKUP(IF(LEFT(UPPER(TRIM($AE349)),5)="SUPER","SUPER SALUD",IF(LEFT(UPPER(TRIM($AE349)),8)="SECRETAR","SECRETARIA DE SALUD",IF(LEFT(UPPER(TRIM($AE349)),4)="SEDE","SEDE",UPPER(TRIM($AE349))))),Config!$A$6:$D$8,2,FALSE),"⚠")))))</f>
        <v/>
      </c>
      <c r="AG336" s="30">
        <f>IF($AA349="","",IF(LEFT(UPPER(TRIM($AA349)),8)="FELICITA","N/A",IF($AE349="","",IFERROR(VLOOKUP(UPPER(TRIM($AE349)),Config!$A$6:$D$8,3,FALSE),IFERROR(VLOOKUP(IF(LEFT(UPPER(TRIM($AE349)),5)="SUPER","SUPER SALUD",IF(LEFT(UPPER(TRIM($AE349)),8)="SECRETAR","SECRETARIA DE SALUD",IF(LEFT(UPPER(TRIM($AE349)),4)="SEDE","SEDE",UPPER(TRIM($AE349))))),Config!$A$6:$D$8,3,FALSE),"")))))</f>
        <v/>
      </c>
      <c r="AH336" s="39">
        <f>IF(OR($E349="",NOT(ISNUMBER($E349)),$AF349="",$AF349="N/A",NOT(ISNUMBER($AF349))),"",IF($AG349="Hábiles",WORKDAY(INT($E349),$AF349,Config!$F$6:$F$39),INT($E349)+$AF349))</f>
        <v/>
      </c>
      <c r="AI336" s="30">
        <f>IF($E349="","",IF(LEFT(UPPER(TRIM($AA349)),8)="FELICITA","⭐ Felicitación",IF(NOT(ISNUMBER($E349)),"⚠ Revisar fecha",IF(UPPER(TRIM($AK349))="RESPONDIDA - CERRADA","✅ Cerrada",IF($AE349="","⚠ Falta entidad",IF($AH349="","⚠ Revisar término",IF(TODAY()&gt;$AH349,"🔴 Vencida",IF($AH349-TODAY()&lt;=Config!$B$12,"🟡 Próxima a vencer","🟢 En término"))))))))</f>
        <v/>
      </c>
      <c r="AJ336" s="42">
        <f>IF(OR($E349="",NOT(ISNUMBER($E349))),"",IF(ISNUMBER($AS349),MAX(0,INT($AS349)-INT($E349)),MAX(0,TODAY()-INT($E349))))</f>
        <v/>
      </c>
      <c r="AK336" s="30" t="n"/>
      <c r="AL336" s="30" t="n"/>
      <c r="AM336" s="30" t="n"/>
      <c r="AN336" s="39" t="n"/>
      <c r="AO336" s="30" t="n"/>
      <c r="AP336" s="30" t="n"/>
      <c r="AQ336" s="39" t="n"/>
      <c r="AR336" s="30" t="n"/>
      <c r="AS336" s="39" t="n"/>
      <c r="AT336" s="30">
        <f>IF(OR($AS349="",NOT(ISNUMBER($AS349)),$AH349=""),"",IF(INT($AS349)&lt;=$AH349,"A tiempo","Fuera de término"))</f>
        <v/>
      </c>
      <c r="AU336" s="40" t="n"/>
      <c r="AV336" s="40" t="n"/>
      <c r="AW336" s="40" t="n"/>
      <c r="AX336" s="40" t="n"/>
      <c r="AY336" s="30" t="n"/>
      <c r="AZ336" s="30" t="n"/>
      <c r="BA336" s="30" t="n"/>
    </row>
    <row r="337" ht="15.75" customHeight="1" s="57">
      <c r="A337" s="29" t="n"/>
      <c r="B337" s="30" t="n"/>
      <c r="C337" s="39" t="n"/>
      <c r="D337" s="39" t="n"/>
      <c r="E337" s="39" t="n"/>
      <c r="F337" s="40" t="n"/>
      <c r="G337" s="30" t="n"/>
      <c r="H337" s="30" t="n"/>
      <c r="I337" s="30" t="n"/>
      <c r="J337" s="30" t="n"/>
      <c r="K337" s="30" t="n"/>
      <c r="L337" s="30" t="n"/>
      <c r="M337" s="30" t="n"/>
      <c r="N337" s="30" t="n"/>
      <c r="O337" s="30" t="n"/>
      <c r="P337" s="30" t="n"/>
      <c r="Q337" s="30" t="n"/>
      <c r="R337" s="30" t="n"/>
      <c r="S337" s="30" t="n"/>
      <c r="T337" s="30" t="n"/>
      <c r="U337" s="30" t="n"/>
      <c r="V337" s="30" t="n"/>
      <c r="W337" s="30" t="n"/>
      <c r="X337" s="30" t="n"/>
      <c r="Y337" s="30" t="n"/>
      <c r="Z337" s="30" t="n"/>
      <c r="AA337" s="30" t="n"/>
      <c r="AB337" s="30" t="n"/>
      <c r="AC337" s="30" t="n"/>
      <c r="AD337" s="41" t="n"/>
      <c r="AE337" s="30" t="n"/>
      <c r="AF337" s="42">
        <f>IF($AA350="","",IF(LEFT(UPPER(TRIM($AA350)),8)="FELICITA","N/A",IF($AE350="","",IFERROR(VLOOKUP(UPPER(TRIM($AE350)),Config!$A$6:$D$8,2,FALSE),IFERROR(VLOOKUP(IF(LEFT(UPPER(TRIM($AE350)),5)="SUPER","SUPER SALUD",IF(LEFT(UPPER(TRIM($AE350)),8)="SECRETAR","SECRETARIA DE SALUD",IF(LEFT(UPPER(TRIM($AE350)),4)="SEDE","SEDE",UPPER(TRIM($AE350))))),Config!$A$6:$D$8,2,FALSE),"⚠")))))</f>
        <v/>
      </c>
      <c r="AG337" s="30">
        <f>IF($AA350="","",IF(LEFT(UPPER(TRIM($AA350)),8)="FELICITA","N/A",IF($AE350="","",IFERROR(VLOOKUP(UPPER(TRIM($AE350)),Config!$A$6:$D$8,3,FALSE),IFERROR(VLOOKUP(IF(LEFT(UPPER(TRIM($AE350)),5)="SUPER","SUPER SALUD",IF(LEFT(UPPER(TRIM($AE350)),8)="SECRETAR","SECRETARIA DE SALUD",IF(LEFT(UPPER(TRIM($AE350)),4)="SEDE","SEDE",UPPER(TRIM($AE350))))),Config!$A$6:$D$8,3,FALSE),"")))))</f>
        <v/>
      </c>
      <c r="AH337" s="39">
        <f>IF(OR($E350="",NOT(ISNUMBER($E350)),$AF350="",$AF350="N/A",NOT(ISNUMBER($AF350))),"",IF($AG350="Hábiles",WORKDAY(INT($E350),$AF350,Config!$F$6:$F$39),INT($E350)+$AF350))</f>
        <v/>
      </c>
      <c r="AI337" s="30">
        <f>IF($E350="","",IF(LEFT(UPPER(TRIM($AA350)),8)="FELICITA","⭐ Felicitación",IF(NOT(ISNUMBER($E350)),"⚠ Revisar fecha",IF(UPPER(TRIM($AK350))="RESPONDIDA - CERRADA","✅ Cerrada",IF($AE350="","⚠ Falta entidad",IF($AH350="","⚠ Revisar término",IF(TODAY()&gt;$AH350,"🔴 Vencida",IF($AH350-TODAY()&lt;=Config!$B$12,"🟡 Próxima a vencer","🟢 En término"))))))))</f>
        <v/>
      </c>
      <c r="AJ337" s="42">
        <f>IF(OR($E350="",NOT(ISNUMBER($E350))),"",IF(ISNUMBER($AS350),MAX(0,INT($AS350)-INT($E350)),MAX(0,TODAY()-INT($E350))))</f>
        <v/>
      </c>
      <c r="AK337" s="30" t="n"/>
      <c r="AL337" s="30" t="n"/>
      <c r="AM337" s="30" t="n"/>
      <c r="AN337" s="39" t="n"/>
      <c r="AO337" s="30" t="n"/>
      <c r="AP337" s="30" t="n"/>
      <c r="AQ337" s="39" t="n"/>
      <c r="AR337" s="30" t="n"/>
      <c r="AS337" s="39" t="n"/>
      <c r="AT337" s="30">
        <f>IF(OR($AS350="",NOT(ISNUMBER($AS350)),$AH350=""),"",IF(INT($AS350)&lt;=$AH350,"A tiempo","Fuera de término"))</f>
        <v/>
      </c>
      <c r="AU337" s="40" t="n"/>
      <c r="AV337" s="40" t="n"/>
      <c r="AW337" s="40" t="n"/>
      <c r="AX337" s="40" t="n"/>
      <c r="AY337" s="30" t="n"/>
      <c r="AZ337" s="30" t="n"/>
      <c r="BA337" s="30" t="n"/>
    </row>
    <row r="338" ht="15.75" customHeight="1" s="57">
      <c r="A338" s="29" t="n"/>
      <c r="B338" s="30" t="n"/>
      <c r="C338" s="39" t="n"/>
      <c r="D338" s="39" t="n"/>
      <c r="E338" s="39" t="n"/>
      <c r="F338" s="40" t="n"/>
      <c r="G338" s="30" t="n"/>
      <c r="H338" s="30" t="n"/>
      <c r="I338" s="30" t="n"/>
      <c r="J338" s="30" t="n"/>
      <c r="K338" s="30" t="n"/>
      <c r="L338" s="30" t="n"/>
      <c r="M338" s="30" t="n"/>
      <c r="N338" s="30" t="n"/>
      <c r="O338" s="30" t="n"/>
      <c r="P338" s="30" t="n"/>
      <c r="Q338" s="30" t="n"/>
      <c r="R338" s="30" t="n"/>
      <c r="S338" s="30" t="n"/>
      <c r="T338" s="30" t="n"/>
      <c r="U338" s="30" t="n"/>
      <c r="V338" s="30" t="n"/>
      <c r="W338" s="30" t="n"/>
      <c r="X338" s="30" t="n"/>
      <c r="Y338" s="30" t="n"/>
      <c r="Z338" s="30" t="n"/>
      <c r="AA338" s="30" t="n"/>
      <c r="AB338" s="30" t="n"/>
      <c r="AC338" s="30" t="n"/>
      <c r="AD338" s="41" t="n"/>
      <c r="AE338" s="30" t="n"/>
      <c r="AF338" s="42">
        <f>IF($AA351="","",IF(LEFT(UPPER(TRIM($AA351)),8)="FELICITA","N/A",IF($AE351="","",IFERROR(VLOOKUP(UPPER(TRIM($AE351)),Config!$A$6:$D$8,2,FALSE),IFERROR(VLOOKUP(IF(LEFT(UPPER(TRIM($AE351)),5)="SUPER","SUPER SALUD",IF(LEFT(UPPER(TRIM($AE351)),8)="SECRETAR","SECRETARIA DE SALUD",IF(LEFT(UPPER(TRIM($AE351)),4)="SEDE","SEDE",UPPER(TRIM($AE351))))),Config!$A$6:$D$8,2,FALSE),"⚠")))))</f>
        <v/>
      </c>
      <c r="AG338" s="30">
        <f>IF($AA351="","",IF(LEFT(UPPER(TRIM($AA351)),8)="FELICITA","N/A",IF($AE351="","",IFERROR(VLOOKUP(UPPER(TRIM($AE351)),Config!$A$6:$D$8,3,FALSE),IFERROR(VLOOKUP(IF(LEFT(UPPER(TRIM($AE351)),5)="SUPER","SUPER SALUD",IF(LEFT(UPPER(TRIM($AE351)),8)="SECRETAR","SECRETARIA DE SALUD",IF(LEFT(UPPER(TRIM($AE351)),4)="SEDE","SEDE",UPPER(TRIM($AE351))))),Config!$A$6:$D$8,3,FALSE),"")))))</f>
        <v/>
      </c>
      <c r="AH338" s="39">
        <f>IF(OR($E351="",NOT(ISNUMBER($E351)),$AF351="",$AF351="N/A",NOT(ISNUMBER($AF351))),"",IF($AG351="Hábiles",WORKDAY(INT($E351),$AF351,Config!$F$6:$F$39),INT($E351)+$AF351))</f>
        <v/>
      </c>
      <c r="AI338" s="30">
        <f>IF($E351="","",IF(LEFT(UPPER(TRIM($AA351)),8)="FELICITA","⭐ Felicitación",IF(NOT(ISNUMBER($E351)),"⚠ Revisar fecha",IF(UPPER(TRIM($AK351))="RESPONDIDA - CERRADA","✅ Cerrada",IF($AE351="","⚠ Falta entidad",IF($AH351="","⚠ Revisar término",IF(TODAY()&gt;$AH351,"🔴 Vencida",IF($AH351-TODAY()&lt;=Config!$B$12,"🟡 Próxima a vencer","🟢 En término"))))))))</f>
        <v/>
      </c>
      <c r="AJ338" s="42">
        <f>IF(OR($E351="",NOT(ISNUMBER($E351))),"",IF(ISNUMBER($AS351),MAX(0,INT($AS351)-INT($E351)),MAX(0,TODAY()-INT($E351))))</f>
        <v/>
      </c>
      <c r="AK338" s="30" t="n"/>
      <c r="AL338" s="30" t="n"/>
      <c r="AM338" s="30" t="n"/>
      <c r="AN338" s="39" t="n"/>
      <c r="AO338" s="30" t="n"/>
      <c r="AP338" s="30" t="n"/>
      <c r="AQ338" s="39" t="n"/>
      <c r="AR338" s="30" t="n"/>
      <c r="AS338" s="39" t="n"/>
      <c r="AT338" s="30">
        <f>IF(OR($AS351="",NOT(ISNUMBER($AS351)),$AH351=""),"",IF(INT($AS351)&lt;=$AH351,"A tiempo","Fuera de término"))</f>
        <v/>
      </c>
      <c r="AU338" s="40" t="n"/>
      <c r="AV338" s="40" t="n"/>
      <c r="AW338" s="40" t="n"/>
      <c r="AX338" s="40" t="n"/>
      <c r="AY338" s="30" t="n"/>
      <c r="AZ338" s="30" t="n"/>
      <c r="BA338" s="30" t="n"/>
    </row>
    <row r="339" ht="15.75" customHeight="1" s="57">
      <c r="A339" s="29" t="n"/>
      <c r="B339" s="30" t="n"/>
      <c r="C339" s="39" t="n"/>
      <c r="D339" s="39" t="n"/>
      <c r="E339" s="39" t="n"/>
      <c r="F339" s="40" t="n"/>
      <c r="G339" s="30" t="n"/>
      <c r="H339" s="30" t="n"/>
      <c r="I339" s="30" t="n"/>
      <c r="J339" s="30" t="n"/>
      <c r="K339" s="30" t="n"/>
      <c r="L339" s="30" t="n"/>
      <c r="M339" s="30" t="n"/>
      <c r="N339" s="30" t="n"/>
      <c r="O339" s="30" t="n"/>
      <c r="P339" s="30" t="n"/>
      <c r="Q339" s="30" t="n"/>
      <c r="R339" s="30" t="n"/>
      <c r="S339" s="30" t="n"/>
      <c r="T339" s="30" t="n"/>
      <c r="U339" s="30" t="n"/>
      <c r="V339" s="30" t="n"/>
      <c r="W339" s="30" t="n"/>
      <c r="X339" s="30" t="n"/>
      <c r="Y339" s="30" t="n"/>
      <c r="Z339" s="30" t="n"/>
      <c r="AA339" s="30" t="n"/>
      <c r="AB339" s="30" t="n"/>
      <c r="AC339" s="30" t="n"/>
      <c r="AD339" s="41" t="n"/>
      <c r="AE339" s="30" t="n"/>
      <c r="AF339" s="42">
        <f>IF($AA352="","",IF(LEFT(UPPER(TRIM($AA352)),8)="FELICITA","N/A",IF($AE352="","",IFERROR(VLOOKUP(UPPER(TRIM($AE352)),Config!$A$6:$D$8,2,FALSE),IFERROR(VLOOKUP(IF(LEFT(UPPER(TRIM($AE352)),5)="SUPER","SUPER SALUD",IF(LEFT(UPPER(TRIM($AE352)),8)="SECRETAR","SECRETARIA DE SALUD",IF(LEFT(UPPER(TRIM($AE352)),4)="SEDE","SEDE",UPPER(TRIM($AE352))))),Config!$A$6:$D$8,2,FALSE),"⚠")))))</f>
        <v/>
      </c>
      <c r="AG339" s="30">
        <f>IF($AA352="","",IF(LEFT(UPPER(TRIM($AA352)),8)="FELICITA","N/A",IF($AE352="","",IFERROR(VLOOKUP(UPPER(TRIM($AE352)),Config!$A$6:$D$8,3,FALSE),IFERROR(VLOOKUP(IF(LEFT(UPPER(TRIM($AE352)),5)="SUPER","SUPER SALUD",IF(LEFT(UPPER(TRIM($AE352)),8)="SECRETAR","SECRETARIA DE SALUD",IF(LEFT(UPPER(TRIM($AE352)),4)="SEDE","SEDE",UPPER(TRIM($AE352))))),Config!$A$6:$D$8,3,FALSE),"")))))</f>
        <v/>
      </c>
      <c r="AH339" s="39">
        <f>IF(OR($E352="",NOT(ISNUMBER($E352)),$AF352="",$AF352="N/A",NOT(ISNUMBER($AF352))),"",IF($AG352="Hábiles",WORKDAY(INT($E352),$AF352,Config!$F$6:$F$39),INT($E352)+$AF352))</f>
        <v/>
      </c>
      <c r="AI339" s="30">
        <f>IF($E352="","",IF(LEFT(UPPER(TRIM($AA352)),8)="FELICITA","⭐ Felicitación",IF(NOT(ISNUMBER($E352)),"⚠ Revisar fecha",IF(UPPER(TRIM($AK352))="RESPONDIDA - CERRADA","✅ Cerrada",IF($AE352="","⚠ Falta entidad",IF($AH352="","⚠ Revisar término",IF(TODAY()&gt;$AH352,"🔴 Vencida",IF($AH352-TODAY()&lt;=Config!$B$12,"🟡 Próxima a vencer","🟢 En término"))))))))</f>
        <v/>
      </c>
      <c r="AJ339" s="42">
        <f>IF(OR($E352="",NOT(ISNUMBER($E352))),"",IF(ISNUMBER($AS352),MAX(0,INT($AS352)-INT($E352)),MAX(0,TODAY()-INT($E352))))</f>
        <v/>
      </c>
      <c r="AK339" s="30" t="n"/>
      <c r="AL339" s="30" t="n"/>
      <c r="AM339" s="30" t="n"/>
      <c r="AN339" s="39" t="n"/>
      <c r="AO339" s="30" t="n"/>
      <c r="AP339" s="30" t="n"/>
      <c r="AQ339" s="39" t="n"/>
      <c r="AR339" s="30" t="n"/>
      <c r="AS339" s="39" t="n"/>
      <c r="AT339" s="30">
        <f>IF(OR($AS352="",NOT(ISNUMBER($AS352)),$AH352=""),"",IF(INT($AS352)&lt;=$AH352,"A tiempo","Fuera de término"))</f>
        <v/>
      </c>
      <c r="AU339" s="40" t="n"/>
      <c r="AV339" s="40" t="n"/>
      <c r="AW339" s="40" t="n"/>
      <c r="AX339" s="40" t="n"/>
      <c r="AY339" s="30" t="n"/>
      <c r="AZ339" s="30" t="n"/>
      <c r="BA339" s="30" t="n"/>
    </row>
    <row r="340" ht="15.75" customHeight="1" s="57">
      <c r="A340" s="29" t="n"/>
      <c r="B340" s="30" t="n"/>
      <c r="C340" s="39" t="n"/>
      <c r="D340" s="39" t="n"/>
      <c r="E340" s="39" t="n"/>
      <c r="F340" s="40" t="n"/>
      <c r="G340" s="30" t="n"/>
      <c r="H340" s="30" t="n"/>
      <c r="I340" s="30" t="n"/>
      <c r="J340" s="30" t="n"/>
      <c r="K340" s="30" t="n"/>
      <c r="L340" s="30" t="n"/>
      <c r="M340" s="30" t="n"/>
      <c r="N340" s="30" t="n"/>
      <c r="O340" s="30" t="n"/>
      <c r="P340" s="30" t="n"/>
      <c r="Q340" s="30" t="n"/>
      <c r="R340" s="30" t="n"/>
      <c r="S340" s="30" t="n"/>
      <c r="T340" s="30" t="n"/>
      <c r="U340" s="30" t="n"/>
      <c r="V340" s="30" t="n"/>
      <c r="W340" s="30" t="n"/>
      <c r="X340" s="30" t="n"/>
      <c r="Y340" s="30" t="n"/>
      <c r="Z340" s="30" t="n"/>
      <c r="AA340" s="30" t="n"/>
      <c r="AB340" s="30" t="n"/>
      <c r="AC340" s="30" t="n"/>
      <c r="AD340" s="41" t="n"/>
      <c r="AE340" s="30" t="n"/>
      <c r="AF340" s="42">
        <f>IF($AA353="","",IF(LEFT(UPPER(TRIM($AA353)),8)="FELICITA","N/A",IF($AE353="","",IFERROR(VLOOKUP(UPPER(TRIM($AE353)),Config!$A$6:$D$8,2,FALSE),IFERROR(VLOOKUP(IF(LEFT(UPPER(TRIM($AE353)),5)="SUPER","SUPER SALUD",IF(LEFT(UPPER(TRIM($AE353)),8)="SECRETAR","SECRETARIA DE SALUD",IF(LEFT(UPPER(TRIM($AE353)),4)="SEDE","SEDE",UPPER(TRIM($AE353))))),Config!$A$6:$D$8,2,FALSE),"⚠")))))</f>
        <v/>
      </c>
      <c r="AG340" s="30">
        <f>IF($AA353="","",IF(LEFT(UPPER(TRIM($AA353)),8)="FELICITA","N/A",IF($AE353="","",IFERROR(VLOOKUP(UPPER(TRIM($AE353)),Config!$A$6:$D$8,3,FALSE),IFERROR(VLOOKUP(IF(LEFT(UPPER(TRIM($AE353)),5)="SUPER","SUPER SALUD",IF(LEFT(UPPER(TRIM($AE353)),8)="SECRETAR","SECRETARIA DE SALUD",IF(LEFT(UPPER(TRIM($AE353)),4)="SEDE","SEDE",UPPER(TRIM($AE353))))),Config!$A$6:$D$8,3,FALSE),"")))))</f>
        <v/>
      </c>
      <c r="AH340" s="39">
        <f>IF(OR($E353="",NOT(ISNUMBER($E353)),$AF353="",$AF353="N/A",NOT(ISNUMBER($AF353))),"",IF($AG353="Hábiles",WORKDAY(INT($E353),$AF353,Config!$F$6:$F$39),INT($E353)+$AF353))</f>
        <v/>
      </c>
      <c r="AI340" s="30">
        <f>IF($E353="","",IF(LEFT(UPPER(TRIM($AA353)),8)="FELICITA","⭐ Felicitación",IF(NOT(ISNUMBER($E353)),"⚠ Revisar fecha",IF(UPPER(TRIM($AK353))="RESPONDIDA - CERRADA","✅ Cerrada",IF($AE353="","⚠ Falta entidad",IF($AH353="","⚠ Revisar término",IF(TODAY()&gt;$AH353,"🔴 Vencida",IF($AH353-TODAY()&lt;=Config!$B$12,"🟡 Próxima a vencer","🟢 En término"))))))))</f>
        <v/>
      </c>
      <c r="AJ340" s="42">
        <f>IF(OR($E353="",NOT(ISNUMBER($E353))),"",IF(ISNUMBER($AS353),MAX(0,INT($AS353)-INT($E353)),MAX(0,TODAY()-INT($E353))))</f>
        <v/>
      </c>
      <c r="AK340" s="30" t="n"/>
      <c r="AL340" s="30" t="n"/>
      <c r="AM340" s="30" t="n"/>
      <c r="AN340" s="39" t="n"/>
      <c r="AO340" s="30" t="n"/>
      <c r="AP340" s="30" t="n"/>
      <c r="AQ340" s="39" t="n"/>
      <c r="AR340" s="30" t="n"/>
      <c r="AS340" s="39" t="n"/>
      <c r="AT340" s="30">
        <f>IF(OR($AS353="",NOT(ISNUMBER($AS353)),$AH353=""),"",IF(INT($AS353)&lt;=$AH353,"A tiempo","Fuera de término"))</f>
        <v/>
      </c>
      <c r="AU340" s="40" t="n"/>
      <c r="AV340" s="40" t="n"/>
      <c r="AW340" s="40" t="n"/>
      <c r="AX340" s="40" t="n"/>
      <c r="AY340" s="30" t="n"/>
      <c r="AZ340" s="30" t="n"/>
      <c r="BA340" s="30" t="n"/>
    </row>
    <row r="341" ht="15.75" customHeight="1" s="57">
      <c r="A341" s="29" t="n"/>
      <c r="B341" s="30" t="n"/>
      <c r="C341" s="39" t="n"/>
      <c r="D341" s="39" t="n"/>
      <c r="E341" s="39" t="n"/>
      <c r="F341" s="40" t="n"/>
      <c r="G341" s="30" t="n"/>
      <c r="H341" s="30" t="n"/>
      <c r="I341" s="30" t="n"/>
      <c r="J341" s="30" t="n"/>
      <c r="K341" s="30" t="n"/>
      <c r="L341" s="30" t="n"/>
      <c r="M341" s="30" t="n"/>
      <c r="N341" s="30" t="n"/>
      <c r="O341" s="30" t="n"/>
      <c r="P341" s="30" t="n"/>
      <c r="Q341" s="30" t="n"/>
      <c r="R341" s="30" t="n"/>
      <c r="S341" s="30" t="n"/>
      <c r="T341" s="30" t="n"/>
      <c r="U341" s="30" t="n"/>
      <c r="V341" s="30" t="n"/>
      <c r="W341" s="30" t="n"/>
      <c r="X341" s="30" t="n"/>
      <c r="Y341" s="30" t="n"/>
      <c r="Z341" s="30" t="n"/>
      <c r="AA341" s="30" t="n"/>
      <c r="AB341" s="30" t="n"/>
      <c r="AC341" s="30" t="n"/>
      <c r="AD341" s="41" t="n"/>
      <c r="AE341" s="30" t="n"/>
      <c r="AF341" s="42">
        <f>IF($AA354="","",IF(LEFT(UPPER(TRIM($AA354)),8)="FELICITA","N/A",IF($AE354="","",IFERROR(VLOOKUP(UPPER(TRIM($AE354)),Config!$A$6:$D$8,2,FALSE),IFERROR(VLOOKUP(IF(LEFT(UPPER(TRIM($AE354)),5)="SUPER","SUPER SALUD",IF(LEFT(UPPER(TRIM($AE354)),8)="SECRETAR","SECRETARIA DE SALUD",IF(LEFT(UPPER(TRIM($AE354)),4)="SEDE","SEDE",UPPER(TRIM($AE354))))),Config!$A$6:$D$8,2,FALSE),"⚠")))))</f>
        <v/>
      </c>
      <c r="AG341" s="30">
        <f>IF($AA354="","",IF(LEFT(UPPER(TRIM($AA354)),8)="FELICITA","N/A",IF($AE354="","",IFERROR(VLOOKUP(UPPER(TRIM($AE354)),Config!$A$6:$D$8,3,FALSE),IFERROR(VLOOKUP(IF(LEFT(UPPER(TRIM($AE354)),5)="SUPER","SUPER SALUD",IF(LEFT(UPPER(TRIM($AE354)),8)="SECRETAR","SECRETARIA DE SALUD",IF(LEFT(UPPER(TRIM($AE354)),4)="SEDE","SEDE",UPPER(TRIM($AE354))))),Config!$A$6:$D$8,3,FALSE),"")))))</f>
        <v/>
      </c>
      <c r="AH341" s="39">
        <f>IF(OR($E354="",NOT(ISNUMBER($E354)),$AF354="",$AF354="N/A",NOT(ISNUMBER($AF354))),"",IF($AG354="Hábiles",WORKDAY(INT($E354),$AF354,Config!$F$6:$F$39),INT($E354)+$AF354))</f>
        <v/>
      </c>
      <c r="AI341" s="30">
        <f>IF($E354="","",IF(LEFT(UPPER(TRIM($AA354)),8)="FELICITA","⭐ Felicitación",IF(NOT(ISNUMBER($E354)),"⚠ Revisar fecha",IF(UPPER(TRIM($AK354))="RESPONDIDA - CERRADA","✅ Cerrada",IF($AE354="","⚠ Falta entidad",IF($AH354="","⚠ Revisar término",IF(TODAY()&gt;$AH354,"🔴 Vencida",IF($AH354-TODAY()&lt;=Config!$B$12,"🟡 Próxima a vencer","🟢 En término"))))))))</f>
        <v/>
      </c>
      <c r="AJ341" s="42">
        <f>IF(OR($E354="",NOT(ISNUMBER($E354))),"",IF(ISNUMBER($AS354),MAX(0,INT($AS354)-INT($E354)),MAX(0,TODAY()-INT($E354))))</f>
        <v/>
      </c>
      <c r="AK341" s="30" t="n"/>
      <c r="AL341" s="30" t="n"/>
      <c r="AM341" s="30" t="n"/>
      <c r="AN341" s="39" t="n"/>
      <c r="AO341" s="30" t="n"/>
      <c r="AP341" s="30" t="n"/>
      <c r="AQ341" s="39" t="n"/>
      <c r="AR341" s="30" t="n"/>
      <c r="AS341" s="39" t="n"/>
      <c r="AT341" s="30">
        <f>IF(OR($AS354="",NOT(ISNUMBER($AS354)),$AH354=""),"",IF(INT($AS354)&lt;=$AH354,"A tiempo","Fuera de término"))</f>
        <v/>
      </c>
      <c r="AU341" s="40" t="n"/>
      <c r="AV341" s="40" t="n"/>
      <c r="AW341" s="40" t="n"/>
      <c r="AX341" s="40" t="n"/>
      <c r="AY341" s="30" t="n"/>
      <c r="AZ341" s="30" t="n"/>
      <c r="BA341" s="30" t="n"/>
    </row>
    <row r="342" ht="15.75" customHeight="1" s="57">
      <c r="A342" s="29" t="n"/>
      <c r="B342" s="30" t="n"/>
      <c r="C342" s="39" t="n"/>
      <c r="D342" s="39" t="n"/>
      <c r="E342" s="39" t="n"/>
      <c r="F342" s="40" t="n"/>
      <c r="G342" s="30" t="n"/>
      <c r="H342" s="30" t="n"/>
      <c r="I342" s="30" t="n"/>
      <c r="J342" s="30" t="n"/>
      <c r="K342" s="30" t="n"/>
      <c r="L342" s="30" t="n"/>
      <c r="M342" s="30" t="n"/>
      <c r="N342" s="30" t="n"/>
      <c r="O342" s="30" t="n"/>
      <c r="P342" s="30" t="n"/>
      <c r="Q342" s="30" t="n"/>
      <c r="R342" s="30" t="n"/>
      <c r="S342" s="30" t="n"/>
      <c r="T342" s="30" t="n"/>
      <c r="U342" s="30" t="n"/>
      <c r="V342" s="30" t="n"/>
      <c r="W342" s="30" t="n"/>
      <c r="X342" s="30" t="n"/>
      <c r="Y342" s="30" t="n"/>
      <c r="Z342" s="30" t="n"/>
      <c r="AA342" s="30" t="n"/>
      <c r="AB342" s="30" t="n"/>
      <c r="AC342" s="30" t="n"/>
      <c r="AD342" s="41" t="n"/>
      <c r="AE342" s="30" t="n"/>
      <c r="AF342" s="42">
        <f>IF($AA355="","",IF(LEFT(UPPER(TRIM($AA355)),8)="FELICITA","N/A",IF($AE355="","",IFERROR(VLOOKUP(UPPER(TRIM($AE355)),Config!$A$6:$D$8,2,FALSE),IFERROR(VLOOKUP(IF(LEFT(UPPER(TRIM($AE355)),5)="SUPER","SUPER SALUD",IF(LEFT(UPPER(TRIM($AE355)),8)="SECRETAR","SECRETARIA DE SALUD",IF(LEFT(UPPER(TRIM($AE355)),4)="SEDE","SEDE",UPPER(TRIM($AE355))))),Config!$A$6:$D$8,2,FALSE),"⚠")))))</f>
        <v/>
      </c>
      <c r="AG342" s="30">
        <f>IF($AA355="","",IF(LEFT(UPPER(TRIM($AA355)),8)="FELICITA","N/A",IF($AE355="","",IFERROR(VLOOKUP(UPPER(TRIM($AE355)),Config!$A$6:$D$8,3,FALSE),IFERROR(VLOOKUP(IF(LEFT(UPPER(TRIM($AE355)),5)="SUPER","SUPER SALUD",IF(LEFT(UPPER(TRIM($AE355)),8)="SECRETAR","SECRETARIA DE SALUD",IF(LEFT(UPPER(TRIM($AE355)),4)="SEDE","SEDE",UPPER(TRIM($AE355))))),Config!$A$6:$D$8,3,FALSE),"")))))</f>
        <v/>
      </c>
      <c r="AH342" s="39">
        <f>IF(OR($E355="",NOT(ISNUMBER($E355)),$AF355="",$AF355="N/A",NOT(ISNUMBER($AF355))),"",IF($AG355="Hábiles",WORKDAY(INT($E355),$AF355,Config!$F$6:$F$39),INT($E355)+$AF355))</f>
        <v/>
      </c>
      <c r="AI342" s="30">
        <f>IF($E355="","",IF(LEFT(UPPER(TRIM($AA355)),8)="FELICITA","⭐ Felicitación",IF(NOT(ISNUMBER($E355)),"⚠ Revisar fecha",IF(UPPER(TRIM($AK355))="RESPONDIDA - CERRADA","✅ Cerrada",IF($AE355="","⚠ Falta entidad",IF($AH355="","⚠ Revisar término",IF(TODAY()&gt;$AH355,"🔴 Vencida",IF($AH355-TODAY()&lt;=Config!$B$12,"🟡 Próxima a vencer","🟢 En término"))))))))</f>
        <v/>
      </c>
      <c r="AJ342" s="42">
        <f>IF(OR($E355="",NOT(ISNUMBER($E355))),"",IF(ISNUMBER($AS355),MAX(0,INT($AS355)-INT($E355)),MAX(0,TODAY()-INT($E355))))</f>
        <v/>
      </c>
      <c r="AK342" s="30" t="n"/>
      <c r="AL342" s="30" t="n"/>
      <c r="AM342" s="30" t="n"/>
      <c r="AN342" s="39" t="n"/>
      <c r="AO342" s="30" t="n"/>
      <c r="AP342" s="30" t="n"/>
      <c r="AQ342" s="39" t="n"/>
      <c r="AR342" s="30" t="n"/>
      <c r="AS342" s="39" t="n"/>
      <c r="AT342" s="30">
        <f>IF(OR($AS355="",NOT(ISNUMBER($AS355)),$AH355=""),"",IF(INT($AS355)&lt;=$AH355,"A tiempo","Fuera de término"))</f>
        <v/>
      </c>
      <c r="AU342" s="40" t="n"/>
      <c r="AV342" s="40" t="n"/>
      <c r="AW342" s="40" t="n"/>
      <c r="AX342" s="40" t="n"/>
      <c r="AY342" s="30" t="n"/>
      <c r="AZ342" s="30" t="n"/>
      <c r="BA342" s="30" t="n"/>
    </row>
    <row r="343" ht="15.75" customHeight="1" s="57">
      <c r="A343" s="29" t="n"/>
      <c r="B343" s="30" t="n"/>
      <c r="C343" s="39" t="n"/>
      <c r="D343" s="39" t="n"/>
      <c r="E343" s="39" t="n"/>
      <c r="F343" s="40" t="n"/>
      <c r="G343" s="30" t="n"/>
      <c r="H343" s="30" t="n"/>
      <c r="I343" s="30" t="n"/>
      <c r="J343" s="30" t="n"/>
      <c r="K343" s="30" t="n"/>
      <c r="L343" s="30" t="n"/>
      <c r="M343" s="30" t="n"/>
      <c r="N343" s="30" t="n"/>
      <c r="O343" s="30" t="n"/>
      <c r="P343" s="30" t="n"/>
      <c r="Q343" s="30" t="n"/>
      <c r="R343" s="30" t="n"/>
      <c r="S343" s="30" t="n"/>
      <c r="T343" s="30" t="n"/>
      <c r="U343" s="30" t="n"/>
      <c r="V343" s="30" t="n"/>
      <c r="W343" s="30" t="n"/>
      <c r="X343" s="30" t="n"/>
      <c r="Y343" s="30" t="n"/>
      <c r="Z343" s="30" t="n"/>
      <c r="AA343" s="30" t="n"/>
      <c r="AB343" s="30" t="n"/>
      <c r="AC343" s="30" t="n"/>
      <c r="AD343" s="41" t="n"/>
      <c r="AE343" s="30" t="n"/>
      <c r="AF343" s="42">
        <f>IF($AA356="","",IF(LEFT(UPPER(TRIM($AA356)),8)="FELICITA","N/A",IF($AE356="","",IFERROR(VLOOKUP(UPPER(TRIM($AE356)),Config!$A$6:$D$8,2,FALSE),IFERROR(VLOOKUP(IF(LEFT(UPPER(TRIM($AE356)),5)="SUPER","SUPER SALUD",IF(LEFT(UPPER(TRIM($AE356)),8)="SECRETAR","SECRETARIA DE SALUD",IF(LEFT(UPPER(TRIM($AE356)),4)="SEDE","SEDE",UPPER(TRIM($AE356))))),Config!$A$6:$D$8,2,FALSE),"⚠")))))</f>
        <v/>
      </c>
      <c r="AG343" s="30">
        <f>IF($AA356="","",IF(LEFT(UPPER(TRIM($AA356)),8)="FELICITA","N/A",IF($AE356="","",IFERROR(VLOOKUP(UPPER(TRIM($AE356)),Config!$A$6:$D$8,3,FALSE),IFERROR(VLOOKUP(IF(LEFT(UPPER(TRIM($AE356)),5)="SUPER","SUPER SALUD",IF(LEFT(UPPER(TRIM($AE356)),8)="SECRETAR","SECRETARIA DE SALUD",IF(LEFT(UPPER(TRIM($AE356)),4)="SEDE","SEDE",UPPER(TRIM($AE356))))),Config!$A$6:$D$8,3,FALSE),"")))))</f>
        <v/>
      </c>
      <c r="AH343" s="39">
        <f>IF(OR($E356="",NOT(ISNUMBER($E356)),$AF356="",$AF356="N/A",NOT(ISNUMBER($AF356))),"",IF($AG356="Hábiles",WORKDAY(INT($E356),$AF356,Config!$F$6:$F$39),INT($E356)+$AF356))</f>
        <v/>
      </c>
      <c r="AI343" s="30">
        <f>IF($E356="","",IF(LEFT(UPPER(TRIM($AA356)),8)="FELICITA","⭐ Felicitación",IF(NOT(ISNUMBER($E356)),"⚠ Revisar fecha",IF(UPPER(TRIM($AK356))="RESPONDIDA - CERRADA","✅ Cerrada",IF($AE356="","⚠ Falta entidad",IF($AH356="","⚠ Revisar término",IF(TODAY()&gt;$AH356,"🔴 Vencida",IF($AH356-TODAY()&lt;=Config!$B$12,"🟡 Próxima a vencer","🟢 En término"))))))))</f>
        <v/>
      </c>
      <c r="AJ343" s="42">
        <f>IF(OR($E356="",NOT(ISNUMBER($E356))),"",IF(ISNUMBER($AS356),MAX(0,INT($AS356)-INT($E356)),MAX(0,TODAY()-INT($E356))))</f>
        <v/>
      </c>
      <c r="AK343" s="30" t="n"/>
      <c r="AL343" s="30" t="n"/>
      <c r="AM343" s="30" t="n"/>
      <c r="AN343" s="39" t="n"/>
      <c r="AO343" s="30" t="n"/>
      <c r="AP343" s="30" t="n"/>
      <c r="AQ343" s="39" t="n"/>
      <c r="AR343" s="30" t="n"/>
      <c r="AS343" s="39" t="n"/>
      <c r="AT343" s="30">
        <f>IF(OR($AS356="",NOT(ISNUMBER($AS356)),$AH356=""),"",IF(INT($AS356)&lt;=$AH356,"A tiempo","Fuera de término"))</f>
        <v/>
      </c>
      <c r="AU343" s="40" t="n"/>
      <c r="AV343" s="40" t="n"/>
      <c r="AW343" s="40" t="n"/>
      <c r="AX343" s="40" t="n"/>
      <c r="AY343" s="30" t="n"/>
      <c r="AZ343" s="30" t="n"/>
      <c r="BA343" s="30" t="n"/>
    </row>
    <row r="344" ht="15.75" customHeight="1" s="57">
      <c r="A344" s="29" t="n"/>
      <c r="B344" s="30" t="n"/>
      <c r="C344" s="39" t="n"/>
      <c r="D344" s="39" t="n"/>
      <c r="E344" s="39" t="n"/>
      <c r="F344" s="40" t="n"/>
      <c r="G344" s="30" t="n"/>
      <c r="H344" s="30" t="n"/>
      <c r="I344" s="30" t="n"/>
      <c r="J344" s="30" t="n"/>
      <c r="K344" s="30" t="n"/>
      <c r="L344" s="30" t="n"/>
      <c r="M344" s="30" t="n"/>
      <c r="N344" s="30" t="n"/>
      <c r="O344" s="30" t="n"/>
      <c r="P344" s="30" t="n"/>
      <c r="Q344" s="30" t="n"/>
      <c r="R344" s="30" t="n"/>
      <c r="S344" s="30" t="n"/>
      <c r="T344" s="30" t="n"/>
      <c r="U344" s="30" t="n"/>
      <c r="V344" s="30" t="n"/>
      <c r="W344" s="30" t="n"/>
      <c r="X344" s="30" t="n"/>
      <c r="Y344" s="30" t="n"/>
      <c r="Z344" s="30" t="n"/>
      <c r="AA344" s="30" t="n"/>
      <c r="AB344" s="30" t="n"/>
      <c r="AC344" s="30" t="n"/>
      <c r="AD344" s="41" t="n"/>
      <c r="AE344" s="30" t="n"/>
      <c r="AF344" s="42">
        <f>IF($AA357="","",IF(LEFT(UPPER(TRIM($AA357)),8)="FELICITA","N/A",IF($AE357="","",IFERROR(VLOOKUP(UPPER(TRIM($AE357)),Config!$A$6:$D$8,2,FALSE),IFERROR(VLOOKUP(IF(LEFT(UPPER(TRIM($AE357)),5)="SUPER","SUPER SALUD",IF(LEFT(UPPER(TRIM($AE357)),8)="SECRETAR","SECRETARIA DE SALUD",IF(LEFT(UPPER(TRIM($AE357)),4)="SEDE","SEDE",UPPER(TRIM($AE357))))),Config!$A$6:$D$8,2,FALSE),"⚠")))))</f>
        <v/>
      </c>
      <c r="AG344" s="30">
        <f>IF($AA357="","",IF(LEFT(UPPER(TRIM($AA357)),8)="FELICITA","N/A",IF($AE357="","",IFERROR(VLOOKUP(UPPER(TRIM($AE357)),Config!$A$6:$D$8,3,FALSE),IFERROR(VLOOKUP(IF(LEFT(UPPER(TRIM($AE357)),5)="SUPER","SUPER SALUD",IF(LEFT(UPPER(TRIM($AE357)),8)="SECRETAR","SECRETARIA DE SALUD",IF(LEFT(UPPER(TRIM($AE357)),4)="SEDE","SEDE",UPPER(TRIM($AE357))))),Config!$A$6:$D$8,3,FALSE),"")))))</f>
        <v/>
      </c>
      <c r="AH344" s="39">
        <f>IF(OR($E357="",NOT(ISNUMBER($E357)),$AF357="",$AF357="N/A",NOT(ISNUMBER($AF357))),"",IF($AG357="Hábiles",WORKDAY(INT($E357),$AF357,Config!$F$6:$F$39),INT($E357)+$AF357))</f>
        <v/>
      </c>
      <c r="AI344" s="30">
        <f>IF($E357="","",IF(LEFT(UPPER(TRIM($AA357)),8)="FELICITA","⭐ Felicitación",IF(NOT(ISNUMBER($E357)),"⚠ Revisar fecha",IF(UPPER(TRIM($AK357))="RESPONDIDA - CERRADA","✅ Cerrada",IF($AE357="","⚠ Falta entidad",IF($AH357="","⚠ Revisar término",IF(TODAY()&gt;$AH357,"🔴 Vencida",IF($AH357-TODAY()&lt;=Config!$B$12,"🟡 Próxima a vencer","🟢 En término"))))))))</f>
        <v/>
      </c>
      <c r="AJ344" s="42">
        <f>IF(OR($E357="",NOT(ISNUMBER($E357))),"",IF(ISNUMBER($AS357),MAX(0,INT($AS357)-INT($E357)),MAX(0,TODAY()-INT($E357))))</f>
        <v/>
      </c>
      <c r="AK344" s="30" t="n"/>
      <c r="AL344" s="30" t="n"/>
      <c r="AM344" s="30" t="n"/>
      <c r="AN344" s="39" t="n"/>
      <c r="AO344" s="30" t="n"/>
      <c r="AP344" s="30" t="n"/>
      <c r="AQ344" s="39" t="n"/>
      <c r="AR344" s="30" t="n"/>
      <c r="AS344" s="39" t="n"/>
      <c r="AT344" s="30">
        <f>IF(OR($AS357="",NOT(ISNUMBER($AS357)),$AH357=""),"",IF(INT($AS357)&lt;=$AH357,"A tiempo","Fuera de término"))</f>
        <v/>
      </c>
      <c r="AU344" s="40" t="n"/>
      <c r="AV344" s="40" t="n"/>
      <c r="AW344" s="40" t="n"/>
      <c r="AX344" s="40" t="n"/>
      <c r="AY344" s="30" t="n"/>
      <c r="AZ344" s="30" t="n"/>
      <c r="BA344" s="30" t="n"/>
    </row>
    <row r="345" ht="15.75" customHeight="1" s="57">
      <c r="A345" s="29" t="n"/>
      <c r="B345" s="30" t="n"/>
      <c r="C345" s="39" t="n"/>
      <c r="D345" s="39" t="n"/>
      <c r="E345" s="39" t="n"/>
      <c r="F345" s="40" t="n"/>
      <c r="G345" s="30" t="n"/>
      <c r="H345" s="30" t="n"/>
      <c r="I345" s="30" t="n"/>
      <c r="J345" s="30" t="n"/>
      <c r="K345" s="30" t="n"/>
      <c r="L345" s="30" t="n"/>
      <c r="M345" s="30" t="n"/>
      <c r="N345" s="30" t="n"/>
      <c r="O345" s="30" t="n"/>
      <c r="P345" s="30" t="n"/>
      <c r="Q345" s="30" t="n"/>
      <c r="R345" s="30" t="n"/>
      <c r="S345" s="30" t="n"/>
      <c r="T345" s="30" t="n"/>
      <c r="U345" s="30" t="n"/>
      <c r="V345" s="30" t="n"/>
      <c r="W345" s="30" t="n"/>
      <c r="X345" s="30" t="n"/>
      <c r="Y345" s="30" t="n"/>
      <c r="Z345" s="30" t="n"/>
      <c r="AA345" s="30" t="n"/>
      <c r="AB345" s="30" t="n"/>
      <c r="AC345" s="30" t="n"/>
      <c r="AD345" s="41" t="n"/>
      <c r="AE345" s="30" t="n"/>
      <c r="AF345" s="42">
        <f>IF($AA358="","",IF(LEFT(UPPER(TRIM($AA358)),8)="FELICITA","N/A",IF($AE358="","",IFERROR(VLOOKUP(UPPER(TRIM($AE358)),Config!$A$6:$D$8,2,FALSE),IFERROR(VLOOKUP(IF(LEFT(UPPER(TRIM($AE358)),5)="SUPER","SUPER SALUD",IF(LEFT(UPPER(TRIM($AE358)),8)="SECRETAR","SECRETARIA DE SALUD",IF(LEFT(UPPER(TRIM($AE358)),4)="SEDE","SEDE",UPPER(TRIM($AE358))))),Config!$A$6:$D$8,2,FALSE),"⚠")))))</f>
        <v/>
      </c>
      <c r="AG345" s="30">
        <f>IF($AA358="","",IF(LEFT(UPPER(TRIM($AA358)),8)="FELICITA","N/A",IF($AE358="","",IFERROR(VLOOKUP(UPPER(TRIM($AE358)),Config!$A$6:$D$8,3,FALSE),IFERROR(VLOOKUP(IF(LEFT(UPPER(TRIM($AE358)),5)="SUPER","SUPER SALUD",IF(LEFT(UPPER(TRIM($AE358)),8)="SECRETAR","SECRETARIA DE SALUD",IF(LEFT(UPPER(TRIM($AE358)),4)="SEDE","SEDE",UPPER(TRIM($AE358))))),Config!$A$6:$D$8,3,FALSE),"")))))</f>
        <v/>
      </c>
      <c r="AH345" s="39">
        <f>IF(OR($E358="",NOT(ISNUMBER($E358)),$AF358="",$AF358="N/A",NOT(ISNUMBER($AF358))),"",IF($AG358="Hábiles",WORKDAY(INT($E358),$AF358,Config!$F$6:$F$39),INT($E358)+$AF358))</f>
        <v/>
      </c>
      <c r="AI345" s="30">
        <f>IF($E358="","",IF(LEFT(UPPER(TRIM($AA358)),8)="FELICITA","⭐ Felicitación",IF(NOT(ISNUMBER($E358)),"⚠ Revisar fecha",IF(UPPER(TRIM($AK358))="RESPONDIDA - CERRADA","✅ Cerrada",IF($AE358="","⚠ Falta entidad",IF($AH358="","⚠ Revisar término",IF(TODAY()&gt;$AH358,"🔴 Vencida",IF($AH358-TODAY()&lt;=Config!$B$12,"🟡 Próxima a vencer","🟢 En término"))))))))</f>
        <v/>
      </c>
      <c r="AJ345" s="42">
        <f>IF(OR($E358="",NOT(ISNUMBER($E358))),"",IF(ISNUMBER($AS358),MAX(0,INT($AS358)-INT($E358)),MAX(0,TODAY()-INT($E358))))</f>
        <v/>
      </c>
      <c r="AK345" s="30" t="n"/>
      <c r="AL345" s="30" t="n"/>
      <c r="AM345" s="30" t="n"/>
      <c r="AN345" s="39" t="n"/>
      <c r="AO345" s="30" t="n"/>
      <c r="AP345" s="30" t="n"/>
      <c r="AQ345" s="39" t="n"/>
      <c r="AR345" s="30" t="n"/>
      <c r="AS345" s="39" t="n"/>
      <c r="AT345" s="30">
        <f>IF(OR($AS358="",NOT(ISNUMBER($AS358)),$AH358=""),"",IF(INT($AS358)&lt;=$AH358,"A tiempo","Fuera de término"))</f>
        <v/>
      </c>
      <c r="AU345" s="40" t="n"/>
      <c r="AV345" s="40" t="n"/>
      <c r="AW345" s="40" t="n"/>
      <c r="AX345" s="40" t="n"/>
      <c r="AY345" s="30" t="n"/>
      <c r="AZ345" s="30" t="n"/>
      <c r="BA345" s="30" t="n"/>
    </row>
    <row r="346" ht="15.75" customHeight="1" s="57">
      <c r="A346" s="29" t="n"/>
      <c r="B346" s="30" t="n"/>
      <c r="C346" s="39" t="n"/>
      <c r="D346" s="39" t="n"/>
      <c r="E346" s="39" t="n"/>
      <c r="F346" s="40" t="n"/>
      <c r="G346" s="30" t="n"/>
      <c r="H346" s="30" t="n"/>
      <c r="I346" s="30" t="n"/>
      <c r="J346" s="30" t="n"/>
      <c r="K346" s="30" t="n"/>
      <c r="L346" s="30" t="n"/>
      <c r="M346" s="30" t="n"/>
      <c r="N346" s="30" t="n"/>
      <c r="O346" s="30" t="n"/>
      <c r="P346" s="30" t="n"/>
      <c r="Q346" s="30" t="n"/>
      <c r="R346" s="30" t="n"/>
      <c r="S346" s="30" t="n"/>
      <c r="T346" s="30" t="n"/>
      <c r="U346" s="30" t="n"/>
      <c r="V346" s="30" t="n"/>
      <c r="W346" s="30" t="n"/>
      <c r="X346" s="30" t="n"/>
      <c r="Y346" s="30" t="n"/>
      <c r="Z346" s="30" t="n"/>
      <c r="AA346" s="30" t="n"/>
      <c r="AB346" s="30" t="n"/>
      <c r="AC346" s="30" t="n"/>
      <c r="AD346" s="41" t="n"/>
      <c r="AE346" s="30" t="n"/>
      <c r="AF346" s="42">
        <f>IF($AA359="","",IF(LEFT(UPPER(TRIM($AA359)),8)="FELICITA","N/A",IF($AE359="","",IFERROR(VLOOKUP(UPPER(TRIM($AE359)),Config!$A$6:$D$8,2,FALSE),IFERROR(VLOOKUP(IF(LEFT(UPPER(TRIM($AE359)),5)="SUPER","SUPER SALUD",IF(LEFT(UPPER(TRIM($AE359)),8)="SECRETAR","SECRETARIA DE SALUD",IF(LEFT(UPPER(TRIM($AE359)),4)="SEDE","SEDE",UPPER(TRIM($AE359))))),Config!$A$6:$D$8,2,FALSE),"⚠")))))</f>
        <v/>
      </c>
      <c r="AG346" s="30">
        <f>IF($AA359="","",IF(LEFT(UPPER(TRIM($AA359)),8)="FELICITA","N/A",IF($AE359="","",IFERROR(VLOOKUP(UPPER(TRIM($AE359)),Config!$A$6:$D$8,3,FALSE),IFERROR(VLOOKUP(IF(LEFT(UPPER(TRIM($AE359)),5)="SUPER","SUPER SALUD",IF(LEFT(UPPER(TRIM($AE359)),8)="SECRETAR","SECRETARIA DE SALUD",IF(LEFT(UPPER(TRIM($AE359)),4)="SEDE","SEDE",UPPER(TRIM($AE359))))),Config!$A$6:$D$8,3,FALSE),"")))))</f>
        <v/>
      </c>
      <c r="AH346" s="39">
        <f>IF(OR($E359="",NOT(ISNUMBER($E359)),$AF359="",$AF359="N/A",NOT(ISNUMBER($AF359))),"",IF($AG359="Hábiles",WORKDAY(INT($E359),$AF359,Config!$F$6:$F$39),INT($E359)+$AF359))</f>
        <v/>
      </c>
      <c r="AI346" s="30">
        <f>IF($E359="","",IF(LEFT(UPPER(TRIM($AA359)),8)="FELICITA","⭐ Felicitación",IF(NOT(ISNUMBER($E359)),"⚠ Revisar fecha",IF(UPPER(TRIM($AK359))="RESPONDIDA - CERRADA","✅ Cerrada",IF($AE359="","⚠ Falta entidad",IF($AH359="","⚠ Revisar término",IF(TODAY()&gt;$AH359,"🔴 Vencida",IF($AH359-TODAY()&lt;=Config!$B$12,"🟡 Próxima a vencer","🟢 En término"))))))))</f>
        <v/>
      </c>
      <c r="AJ346" s="42">
        <f>IF(OR($E359="",NOT(ISNUMBER($E359))),"",IF(ISNUMBER($AS359),MAX(0,INT($AS359)-INT($E359)),MAX(0,TODAY()-INT($E359))))</f>
        <v/>
      </c>
      <c r="AK346" s="30" t="n"/>
      <c r="AL346" s="30" t="n"/>
      <c r="AM346" s="30" t="n"/>
      <c r="AN346" s="39" t="n"/>
      <c r="AO346" s="30" t="n"/>
      <c r="AP346" s="30" t="n"/>
      <c r="AQ346" s="39" t="n"/>
      <c r="AR346" s="30" t="n"/>
      <c r="AS346" s="39" t="n"/>
      <c r="AT346" s="30">
        <f>IF(OR($AS359="",NOT(ISNUMBER($AS359)),$AH359=""),"",IF(INT($AS359)&lt;=$AH359,"A tiempo","Fuera de término"))</f>
        <v/>
      </c>
      <c r="AU346" s="40" t="n"/>
      <c r="AV346" s="40" t="n"/>
      <c r="AW346" s="40" t="n"/>
      <c r="AX346" s="40" t="n"/>
      <c r="AY346" s="30" t="n"/>
      <c r="AZ346" s="30" t="n"/>
      <c r="BA346" s="30" t="n"/>
    </row>
    <row r="347" ht="15.75" customHeight="1" s="57">
      <c r="A347" s="29" t="n"/>
      <c r="B347" s="30" t="n"/>
      <c r="C347" s="39" t="n"/>
      <c r="D347" s="39" t="n"/>
      <c r="E347" s="39" t="n"/>
      <c r="F347" s="40" t="n"/>
      <c r="G347" s="30" t="n"/>
      <c r="H347" s="30" t="n"/>
      <c r="I347" s="30" t="n"/>
      <c r="J347" s="30" t="n"/>
      <c r="K347" s="30" t="n"/>
      <c r="L347" s="30" t="n"/>
      <c r="M347" s="30" t="n"/>
      <c r="N347" s="30" t="n"/>
      <c r="O347" s="30" t="n"/>
      <c r="P347" s="30" t="n"/>
      <c r="Q347" s="30" t="n"/>
      <c r="R347" s="30" t="n"/>
      <c r="S347" s="30" t="n"/>
      <c r="T347" s="30" t="n"/>
      <c r="U347" s="30" t="n"/>
      <c r="V347" s="30" t="n"/>
      <c r="W347" s="30" t="n"/>
      <c r="X347" s="30" t="n"/>
      <c r="Y347" s="30" t="n"/>
      <c r="Z347" s="30" t="n"/>
      <c r="AA347" s="30" t="n"/>
      <c r="AB347" s="30" t="n"/>
      <c r="AC347" s="30" t="n"/>
      <c r="AD347" s="41" t="n"/>
      <c r="AE347" s="30" t="n"/>
      <c r="AF347" s="42">
        <f>IF($AA360="","",IF(LEFT(UPPER(TRIM($AA360)),8)="FELICITA","N/A",IF($AE360="","",IFERROR(VLOOKUP(UPPER(TRIM($AE360)),Config!$A$6:$D$8,2,FALSE),IFERROR(VLOOKUP(IF(LEFT(UPPER(TRIM($AE360)),5)="SUPER","SUPER SALUD",IF(LEFT(UPPER(TRIM($AE360)),8)="SECRETAR","SECRETARIA DE SALUD",IF(LEFT(UPPER(TRIM($AE360)),4)="SEDE","SEDE",UPPER(TRIM($AE360))))),Config!$A$6:$D$8,2,FALSE),"⚠")))))</f>
        <v/>
      </c>
      <c r="AG347" s="30">
        <f>IF($AA360="","",IF(LEFT(UPPER(TRIM($AA360)),8)="FELICITA","N/A",IF($AE360="","",IFERROR(VLOOKUP(UPPER(TRIM($AE360)),Config!$A$6:$D$8,3,FALSE),IFERROR(VLOOKUP(IF(LEFT(UPPER(TRIM($AE360)),5)="SUPER","SUPER SALUD",IF(LEFT(UPPER(TRIM($AE360)),8)="SECRETAR","SECRETARIA DE SALUD",IF(LEFT(UPPER(TRIM($AE360)),4)="SEDE","SEDE",UPPER(TRIM($AE360))))),Config!$A$6:$D$8,3,FALSE),"")))))</f>
        <v/>
      </c>
      <c r="AH347" s="39">
        <f>IF(OR($E360="",NOT(ISNUMBER($E360)),$AF360="",$AF360="N/A",NOT(ISNUMBER($AF360))),"",IF($AG360="Hábiles",WORKDAY(INT($E360),$AF360,Config!$F$6:$F$39),INT($E360)+$AF360))</f>
        <v/>
      </c>
      <c r="AI347" s="30">
        <f>IF($E360="","",IF(LEFT(UPPER(TRIM($AA360)),8)="FELICITA","⭐ Felicitación",IF(NOT(ISNUMBER($E360)),"⚠ Revisar fecha",IF(UPPER(TRIM($AK360))="RESPONDIDA - CERRADA","✅ Cerrada",IF($AE360="","⚠ Falta entidad",IF($AH360="","⚠ Revisar término",IF(TODAY()&gt;$AH360,"🔴 Vencida",IF($AH360-TODAY()&lt;=Config!$B$12,"🟡 Próxima a vencer","🟢 En término"))))))))</f>
        <v/>
      </c>
      <c r="AJ347" s="42">
        <f>IF(OR($E360="",NOT(ISNUMBER($E360))),"",IF(ISNUMBER($AS360),MAX(0,INT($AS360)-INT($E360)),MAX(0,TODAY()-INT($E360))))</f>
        <v/>
      </c>
      <c r="AK347" s="30" t="n"/>
      <c r="AL347" s="30" t="n"/>
      <c r="AM347" s="30" t="n"/>
      <c r="AN347" s="39" t="n"/>
      <c r="AO347" s="30" t="n"/>
      <c r="AP347" s="30" t="n"/>
      <c r="AQ347" s="39" t="n"/>
      <c r="AR347" s="30" t="n"/>
      <c r="AS347" s="39" t="n"/>
      <c r="AT347" s="30">
        <f>IF(OR($AS360="",NOT(ISNUMBER($AS360)),$AH360=""),"",IF(INT($AS360)&lt;=$AH360,"A tiempo","Fuera de término"))</f>
        <v/>
      </c>
      <c r="AU347" s="40" t="n"/>
      <c r="AV347" s="40" t="n"/>
      <c r="AW347" s="40" t="n"/>
      <c r="AX347" s="40" t="n"/>
      <c r="AY347" s="30" t="n"/>
      <c r="AZ347" s="30" t="n"/>
      <c r="BA347" s="30" t="n"/>
    </row>
    <row r="348" ht="15.75" customHeight="1" s="57">
      <c r="A348" s="29" t="n"/>
      <c r="B348" s="30" t="n"/>
      <c r="C348" s="39" t="n"/>
      <c r="D348" s="39" t="n"/>
      <c r="E348" s="39" t="n"/>
      <c r="F348" s="40" t="n"/>
      <c r="G348" s="30" t="n"/>
      <c r="H348" s="30" t="n"/>
      <c r="I348" s="30" t="n"/>
      <c r="J348" s="30" t="n"/>
      <c r="K348" s="30" t="n"/>
      <c r="L348" s="30" t="n"/>
      <c r="M348" s="30" t="n"/>
      <c r="N348" s="30" t="n"/>
      <c r="O348" s="30" t="n"/>
      <c r="P348" s="30" t="n"/>
      <c r="Q348" s="30" t="n"/>
      <c r="R348" s="30" t="n"/>
      <c r="S348" s="30" t="n"/>
      <c r="T348" s="30" t="n"/>
      <c r="U348" s="30" t="n"/>
      <c r="V348" s="30" t="n"/>
      <c r="W348" s="30" t="n"/>
      <c r="X348" s="30" t="n"/>
      <c r="Y348" s="30" t="n"/>
      <c r="Z348" s="30" t="n"/>
      <c r="AA348" s="30" t="n"/>
      <c r="AB348" s="30" t="n"/>
      <c r="AC348" s="30" t="n"/>
      <c r="AD348" s="41" t="n"/>
      <c r="AE348" s="30" t="n"/>
      <c r="AF348" s="42">
        <f>IF($AA361="","",IF(LEFT(UPPER(TRIM($AA361)),8)="FELICITA","N/A",IF($AE361="","",IFERROR(VLOOKUP(UPPER(TRIM($AE361)),Config!$A$6:$D$8,2,FALSE),IFERROR(VLOOKUP(IF(LEFT(UPPER(TRIM($AE361)),5)="SUPER","SUPER SALUD",IF(LEFT(UPPER(TRIM($AE361)),8)="SECRETAR","SECRETARIA DE SALUD",IF(LEFT(UPPER(TRIM($AE361)),4)="SEDE","SEDE",UPPER(TRIM($AE361))))),Config!$A$6:$D$8,2,FALSE),"⚠")))))</f>
        <v/>
      </c>
      <c r="AG348" s="30">
        <f>IF($AA361="","",IF(LEFT(UPPER(TRIM($AA361)),8)="FELICITA","N/A",IF($AE361="","",IFERROR(VLOOKUP(UPPER(TRIM($AE361)),Config!$A$6:$D$8,3,FALSE),IFERROR(VLOOKUP(IF(LEFT(UPPER(TRIM($AE361)),5)="SUPER","SUPER SALUD",IF(LEFT(UPPER(TRIM($AE361)),8)="SECRETAR","SECRETARIA DE SALUD",IF(LEFT(UPPER(TRIM($AE361)),4)="SEDE","SEDE",UPPER(TRIM($AE361))))),Config!$A$6:$D$8,3,FALSE),"")))))</f>
        <v/>
      </c>
      <c r="AH348" s="39">
        <f>IF(OR($E361="",NOT(ISNUMBER($E361)),$AF361="",$AF361="N/A",NOT(ISNUMBER($AF361))),"",IF($AG361="Hábiles",WORKDAY(INT($E361),$AF361,Config!$F$6:$F$39),INT($E361)+$AF361))</f>
        <v/>
      </c>
      <c r="AI348" s="30">
        <f>IF($E361="","",IF(LEFT(UPPER(TRIM($AA361)),8)="FELICITA","⭐ Felicitación",IF(NOT(ISNUMBER($E361)),"⚠ Revisar fecha",IF(UPPER(TRIM($AK361))="RESPONDIDA - CERRADA","✅ Cerrada",IF($AE361="","⚠ Falta entidad",IF($AH361="","⚠ Revisar término",IF(TODAY()&gt;$AH361,"🔴 Vencida",IF($AH361-TODAY()&lt;=Config!$B$12,"🟡 Próxima a vencer","🟢 En término"))))))))</f>
        <v/>
      </c>
      <c r="AJ348" s="42">
        <f>IF(OR($E361="",NOT(ISNUMBER($E361))),"",IF(ISNUMBER($AS361),MAX(0,INT($AS361)-INT($E361)),MAX(0,TODAY()-INT($E361))))</f>
        <v/>
      </c>
      <c r="AK348" s="30" t="n"/>
      <c r="AL348" s="30" t="n"/>
      <c r="AM348" s="30" t="n"/>
      <c r="AN348" s="39" t="n"/>
      <c r="AO348" s="30" t="n"/>
      <c r="AP348" s="30" t="n"/>
      <c r="AQ348" s="39" t="n"/>
      <c r="AR348" s="30" t="n"/>
      <c r="AS348" s="39" t="n"/>
      <c r="AT348" s="30">
        <f>IF(OR($AS361="",NOT(ISNUMBER($AS361)),$AH361=""),"",IF(INT($AS361)&lt;=$AH361,"A tiempo","Fuera de término"))</f>
        <v/>
      </c>
      <c r="AU348" s="40" t="n"/>
      <c r="AV348" s="40" t="n"/>
      <c r="AW348" s="40" t="n"/>
      <c r="AX348" s="40" t="n"/>
      <c r="AY348" s="30" t="n"/>
      <c r="AZ348" s="30" t="n"/>
      <c r="BA348" s="30" t="n"/>
    </row>
    <row r="349" ht="15.75" customHeight="1" s="57">
      <c r="A349" s="29" t="n"/>
      <c r="B349" s="30" t="n"/>
      <c r="C349" s="39" t="n"/>
      <c r="D349" s="39" t="n"/>
      <c r="E349" s="39" t="n"/>
      <c r="F349" s="40" t="n"/>
      <c r="G349" s="30" t="n"/>
      <c r="H349" s="30" t="n"/>
      <c r="I349" s="30" t="n"/>
      <c r="J349" s="30" t="n"/>
      <c r="K349" s="30" t="n"/>
      <c r="L349" s="30" t="n"/>
      <c r="M349" s="30" t="n"/>
      <c r="N349" s="30" t="n"/>
      <c r="O349" s="30" t="n"/>
      <c r="P349" s="30" t="n"/>
      <c r="Q349" s="30" t="n"/>
      <c r="R349" s="30" t="n"/>
      <c r="S349" s="30" t="n"/>
      <c r="T349" s="30" t="n"/>
      <c r="U349" s="30" t="n"/>
      <c r="V349" s="30" t="n"/>
      <c r="W349" s="30" t="n"/>
      <c r="X349" s="30" t="n"/>
      <c r="Y349" s="30" t="n"/>
      <c r="Z349" s="30" t="n"/>
      <c r="AA349" s="30" t="n"/>
      <c r="AB349" s="30" t="n"/>
      <c r="AC349" s="30" t="n"/>
      <c r="AD349" s="41" t="n"/>
      <c r="AE349" s="30" t="n"/>
      <c r="AF349" s="42">
        <f>IF($AA362="","",IF(LEFT(UPPER(TRIM($AA362)),8)="FELICITA","N/A",IF($AE362="","",IFERROR(VLOOKUP(UPPER(TRIM($AE362)),Config!$A$6:$D$8,2,FALSE),IFERROR(VLOOKUP(IF(LEFT(UPPER(TRIM($AE362)),5)="SUPER","SUPER SALUD",IF(LEFT(UPPER(TRIM($AE362)),8)="SECRETAR","SECRETARIA DE SALUD",IF(LEFT(UPPER(TRIM($AE362)),4)="SEDE","SEDE",UPPER(TRIM($AE362))))),Config!$A$6:$D$8,2,FALSE),"⚠")))))</f>
        <v/>
      </c>
      <c r="AG349" s="30">
        <f>IF($AA362="","",IF(LEFT(UPPER(TRIM($AA362)),8)="FELICITA","N/A",IF($AE362="","",IFERROR(VLOOKUP(UPPER(TRIM($AE362)),Config!$A$6:$D$8,3,FALSE),IFERROR(VLOOKUP(IF(LEFT(UPPER(TRIM($AE362)),5)="SUPER","SUPER SALUD",IF(LEFT(UPPER(TRIM($AE362)),8)="SECRETAR","SECRETARIA DE SALUD",IF(LEFT(UPPER(TRIM($AE362)),4)="SEDE","SEDE",UPPER(TRIM($AE362))))),Config!$A$6:$D$8,3,FALSE),"")))))</f>
        <v/>
      </c>
      <c r="AH349" s="39">
        <f>IF(OR($E362="",NOT(ISNUMBER($E362)),$AF362="",$AF362="N/A",NOT(ISNUMBER($AF362))),"",IF($AG362="Hábiles",WORKDAY(INT($E362),$AF362,Config!$F$6:$F$39),INT($E362)+$AF362))</f>
        <v/>
      </c>
      <c r="AI349" s="30">
        <f>IF($E362="","",IF(LEFT(UPPER(TRIM($AA362)),8)="FELICITA","⭐ Felicitación",IF(NOT(ISNUMBER($E362)),"⚠ Revisar fecha",IF(UPPER(TRIM($AK362))="RESPONDIDA - CERRADA","✅ Cerrada",IF($AE362="","⚠ Falta entidad",IF($AH362="","⚠ Revisar término",IF(TODAY()&gt;$AH362,"🔴 Vencida",IF($AH362-TODAY()&lt;=Config!$B$12,"🟡 Próxima a vencer","🟢 En término"))))))))</f>
        <v/>
      </c>
      <c r="AJ349" s="42">
        <f>IF(OR($E362="",NOT(ISNUMBER($E362))),"",IF(ISNUMBER($AS362),MAX(0,INT($AS362)-INT($E362)),MAX(0,TODAY()-INT($E362))))</f>
        <v/>
      </c>
      <c r="AK349" s="30" t="n"/>
      <c r="AL349" s="30" t="n"/>
      <c r="AM349" s="30" t="n"/>
      <c r="AN349" s="39" t="n"/>
      <c r="AO349" s="30" t="n"/>
      <c r="AP349" s="30" t="n"/>
      <c r="AQ349" s="39" t="n"/>
      <c r="AR349" s="30" t="n"/>
      <c r="AS349" s="39" t="n"/>
      <c r="AT349" s="30">
        <f>IF(OR($AS362="",NOT(ISNUMBER($AS362)),$AH362=""),"",IF(INT($AS362)&lt;=$AH362,"A tiempo","Fuera de término"))</f>
        <v/>
      </c>
      <c r="AU349" s="40" t="n"/>
      <c r="AV349" s="40" t="n"/>
      <c r="AW349" s="40" t="n"/>
      <c r="AX349" s="40" t="n"/>
      <c r="AY349" s="30" t="n"/>
      <c r="AZ349" s="30" t="n"/>
      <c r="BA349" s="30" t="n"/>
    </row>
    <row r="350" ht="15.75" customHeight="1" s="57">
      <c r="A350" s="29" t="n"/>
      <c r="B350" s="30" t="n"/>
      <c r="C350" s="39" t="n"/>
      <c r="D350" s="39" t="n"/>
      <c r="E350" s="39" t="n"/>
      <c r="F350" s="40" t="n"/>
      <c r="G350" s="30" t="n"/>
      <c r="H350" s="30" t="n"/>
      <c r="I350" s="30" t="n"/>
      <c r="J350" s="30" t="n"/>
      <c r="K350" s="30" t="n"/>
      <c r="L350" s="30" t="n"/>
      <c r="M350" s="30" t="n"/>
      <c r="N350" s="30" t="n"/>
      <c r="O350" s="30" t="n"/>
      <c r="P350" s="30" t="n"/>
      <c r="Q350" s="30" t="n"/>
      <c r="R350" s="30" t="n"/>
      <c r="S350" s="30" t="n"/>
      <c r="T350" s="30" t="n"/>
      <c r="U350" s="30" t="n"/>
      <c r="V350" s="30" t="n"/>
      <c r="W350" s="30" t="n"/>
      <c r="X350" s="30" t="n"/>
      <c r="Y350" s="30" t="n"/>
      <c r="Z350" s="30" t="n"/>
      <c r="AA350" s="30" t="n"/>
      <c r="AB350" s="30" t="n"/>
      <c r="AC350" s="30" t="n"/>
      <c r="AD350" s="41" t="n"/>
      <c r="AE350" s="30" t="n"/>
      <c r="AF350" s="42">
        <f>IF($AA363="","",IF(LEFT(UPPER(TRIM($AA363)),8)="FELICITA","N/A",IF($AE363="","",IFERROR(VLOOKUP(UPPER(TRIM($AE363)),Config!$A$6:$D$8,2,FALSE),IFERROR(VLOOKUP(IF(LEFT(UPPER(TRIM($AE363)),5)="SUPER","SUPER SALUD",IF(LEFT(UPPER(TRIM($AE363)),8)="SECRETAR","SECRETARIA DE SALUD",IF(LEFT(UPPER(TRIM($AE363)),4)="SEDE","SEDE",UPPER(TRIM($AE363))))),Config!$A$6:$D$8,2,FALSE),"⚠")))))</f>
        <v/>
      </c>
      <c r="AG350" s="30">
        <f>IF($AA363="","",IF(LEFT(UPPER(TRIM($AA363)),8)="FELICITA","N/A",IF($AE363="","",IFERROR(VLOOKUP(UPPER(TRIM($AE363)),Config!$A$6:$D$8,3,FALSE),IFERROR(VLOOKUP(IF(LEFT(UPPER(TRIM($AE363)),5)="SUPER","SUPER SALUD",IF(LEFT(UPPER(TRIM($AE363)),8)="SECRETAR","SECRETARIA DE SALUD",IF(LEFT(UPPER(TRIM($AE363)),4)="SEDE","SEDE",UPPER(TRIM($AE363))))),Config!$A$6:$D$8,3,FALSE),"")))))</f>
        <v/>
      </c>
      <c r="AH350" s="39">
        <f>IF(OR($E363="",NOT(ISNUMBER($E363)),$AF363="",$AF363="N/A",NOT(ISNUMBER($AF363))),"",IF($AG363="Hábiles",WORKDAY(INT($E363),$AF363,Config!$F$6:$F$39),INT($E363)+$AF363))</f>
        <v/>
      </c>
      <c r="AI350" s="30">
        <f>IF($E363="","",IF(LEFT(UPPER(TRIM($AA363)),8)="FELICITA","⭐ Felicitación",IF(NOT(ISNUMBER($E363)),"⚠ Revisar fecha",IF(UPPER(TRIM($AK363))="RESPONDIDA - CERRADA","✅ Cerrada",IF($AE363="","⚠ Falta entidad",IF($AH363="","⚠ Revisar término",IF(TODAY()&gt;$AH363,"🔴 Vencida",IF($AH363-TODAY()&lt;=Config!$B$12,"🟡 Próxima a vencer","🟢 En término"))))))))</f>
        <v/>
      </c>
      <c r="AJ350" s="42">
        <f>IF(OR($E363="",NOT(ISNUMBER($E363))),"",IF(ISNUMBER($AS363),MAX(0,INT($AS363)-INT($E363)),MAX(0,TODAY()-INT($E363))))</f>
        <v/>
      </c>
      <c r="AK350" s="30" t="n"/>
      <c r="AL350" s="30" t="n"/>
      <c r="AM350" s="30" t="n"/>
      <c r="AN350" s="39" t="n"/>
      <c r="AO350" s="30" t="n"/>
      <c r="AP350" s="30" t="n"/>
      <c r="AQ350" s="39" t="n"/>
      <c r="AR350" s="30" t="n"/>
      <c r="AS350" s="39" t="n"/>
      <c r="AT350" s="30">
        <f>IF(OR($AS363="",NOT(ISNUMBER($AS363)),$AH363=""),"",IF(INT($AS363)&lt;=$AH363,"A tiempo","Fuera de término"))</f>
        <v/>
      </c>
      <c r="AU350" s="40" t="n"/>
      <c r="AV350" s="40" t="n"/>
      <c r="AW350" s="40" t="n"/>
      <c r="AX350" s="40" t="n"/>
      <c r="AY350" s="30" t="n"/>
      <c r="AZ350" s="30" t="n"/>
      <c r="BA350" s="30" t="n"/>
    </row>
    <row r="351" ht="15.75" customHeight="1" s="57">
      <c r="A351" s="29" t="n"/>
      <c r="B351" s="30" t="n"/>
      <c r="C351" s="39" t="n"/>
      <c r="D351" s="39" t="n"/>
      <c r="E351" s="39" t="n"/>
      <c r="F351" s="40" t="n"/>
      <c r="G351" s="30" t="n"/>
      <c r="H351" s="30" t="n"/>
      <c r="I351" s="30" t="n"/>
      <c r="J351" s="30" t="n"/>
      <c r="K351" s="30" t="n"/>
      <c r="L351" s="30" t="n"/>
      <c r="M351" s="30" t="n"/>
      <c r="N351" s="30" t="n"/>
      <c r="O351" s="30" t="n"/>
      <c r="P351" s="30" t="n"/>
      <c r="Q351" s="30" t="n"/>
      <c r="R351" s="30" t="n"/>
      <c r="S351" s="30" t="n"/>
      <c r="T351" s="30" t="n"/>
      <c r="U351" s="30" t="n"/>
      <c r="V351" s="30" t="n"/>
      <c r="W351" s="30" t="n"/>
      <c r="X351" s="30" t="n"/>
      <c r="Y351" s="30" t="n"/>
      <c r="Z351" s="30" t="n"/>
      <c r="AA351" s="30" t="n"/>
      <c r="AB351" s="30" t="n"/>
      <c r="AC351" s="30" t="n"/>
      <c r="AD351" s="41" t="n"/>
      <c r="AE351" s="30" t="n"/>
      <c r="AF351" s="42">
        <f>IF($AA364="","",IF(LEFT(UPPER(TRIM($AA364)),8)="FELICITA","N/A",IF($AE364="","",IFERROR(VLOOKUP(UPPER(TRIM($AE364)),Config!$A$6:$D$8,2,FALSE),IFERROR(VLOOKUP(IF(LEFT(UPPER(TRIM($AE364)),5)="SUPER","SUPER SALUD",IF(LEFT(UPPER(TRIM($AE364)),8)="SECRETAR","SECRETARIA DE SALUD",IF(LEFT(UPPER(TRIM($AE364)),4)="SEDE","SEDE",UPPER(TRIM($AE364))))),Config!$A$6:$D$8,2,FALSE),"⚠")))))</f>
        <v/>
      </c>
      <c r="AG351" s="30">
        <f>IF($AA364="","",IF(LEFT(UPPER(TRIM($AA364)),8)="FELICITA","N/A",IF($AE364="","",IFERROR(VLOOKUP(UPPER(TRIM($AE364)),Config!$A$6:$D$8,3,FALSE),IFERROR(VLOOKUP(IF(LEFT(UPPER(TRIM($AE364)),5)="SUPER","SUPER SALUD",IF(LEFT(UPPER(TRIM($AE364)),8)="SECRETAR","SECRETARIA DE SALUD",IF(LEFT(UPPER(TRIM($AE364)),4)="SEDE","SEDE",UPPER(TRIM($AE364))))),Config!$A$6:$D$8,3,FALSE),"")))))</f>
        <v/>
      </c>
      <c r="AH351" s="39">
        <f>IF(OR($E364="",NOT(ISNUMBER($E364)),$AF364="",$AF364="N/A",NOT(ISNUMBER($AF364))),"",IF($AG364="Hábiles",WORKDAY(INT($E364),$AF364,Config!$F$6:$F$39),INT($E364)+$AF364))</f>
        <v/>
      </c>
      <c r="AI351" s="30">
        <f>IF($E364="","",IF(LEFT(UPPER(TRIM($AA364)),8)="FELICITA","⭐ Felicitación",IF(NOT(ISNUMBER($E364)),"⚠ Revisar fecha",IF(UPPER(TRIM($AK364))="RESPONDIDA - CERRADA","✅ Cerrada",IF($AE364="","⚠ Falta entidad",IF($AH364="","⚠ Revisar término",IF(TODAY()&gt;$AH364,"🔴 Vencida",IF($AH364-TODAY()&lt;=Config!$B$12,"🟡 Próxima a vencer","🟢 En término"))))))))</f>
        <v/>
      </c>
      <c r="AJ351" s="42">
        <f>IF(OR($E364="",NOT(ISNUMBER($E364))),"",IF(ISNUMBER($AS364),MAX(0,INT($AS364)-INT($E364)),MAX(0,TODAY()-INT($E364))))</f>
        <v/>
      </c>
      <c r="AK351" s="30" t="n"/>
      <c r="AL351" s="30" t="n"/>
      <c r="AM351" s="30" t="n"/>
      <c r="AN351" s="39" t="n"/>
      <c r="AO351" s="30" t="n"/>
      <c r="AP351" s="30" t="n"/>
      <c r="AQ351" s="39" t="n"/>
      <c r="AR351" s="30" t="n"/>
      <c r="AS351" s="39" t="n"/>
      <c r="AT351" s="30">
        <f>IF(OR($AS364="",NOT(ISNUMBER($AS364)),$AH364=""),"",IF(INT($AS364)&lt;=$AH364,"A tiempo","Fuera de término"))</f>
        <v/>
      </c>
      <c r="AU351" s="40" t="n"/>
      <c r="AV351" s="40" t="n"/>
      <c r="AW351" s="40" t="n"/>
      <c r="AX351" s="40" t="n"/>
      <c r="AY351" s="30" t="n"/>
      <c r="AZ351" s="30" t="n"/>
      <c r="BA351" s="30" t="n"/>
    </row>
    <row r="352" ht="15.75" customHeight="1" s="57">
      <c r="A352" s="29" t="n"/>
      <c r="B352" s="30" t="n"/>
      <c r="C352" s="39" t="n"/>
      <c r="D352" s="39" t="n"/>
      <c r="E352" s="39" t="n"/>
      <c r="F352" s="40" t="n"/>
      <c r="G352" s="30" t="n"/>
      <c r="H352" s="30" t="n"/>
      <c r="I352" s="30" t="n"/>
      <c r="J352" s="30" t="n"/>
      <c r="K352" s="30" t="n"/>
      <c r="L352" s="30" t="n"/>
      <c r="M352" s="30" t="n"/>
      <c r="N352" s="30" t="n"/>
      <c r="O352" s="30" t="n"/>
      <c r="P352" s="30" t="n"/>
      <c r="Q352" s="30" t="n"/>
      <c r="R352" s="30" t="n"/>
      <c r="S352" s="30" t="n"/>
      <c r="T352" s="30" t="n"/>
      <c r="U352" s="30" t="n"/>
      <c r="V352" s="30" t="n"/>
      <c r="W352" s="30" t="n"/>
      <c r="X352" s="30" t="n"/>
      <c r="Y352" s="30" t="n"/>
      <c r="Z352" s="30" t="n"/>
      <c r="AA352" s="30" t="n"/>
      <c r="AB352" s="30" t="n"/>
      <c r="AC352" s="30" t="n"/>
      <c r="AD352" s="41" t="n"/>
      <c r="AE352" s="30" t="n"/>
      <c r="AF352" s="42">
        <f>IF($AA365="","",IF(LEFT(UPPER(TRIM($AA365)),8)="FELICITA","N/A",IF($AE365="","",IFERROR(VLOOKUP(UPPER(TRIM($AE365)),Config!$A$6:$D$8,2,FALSE),IFERROR(VLOOKUP(IF(LEFT(UPPER(TRIM($AE365)),5)="SUPER","SUPER SALUD",IF(LEFT(UPPER(TRIM($AE365)),8)="SECRETAR","SECRETARIA DE SALUD",IF(LEFT(UPPER(TRIM($AE365)),4)="SEDE","SEDE",UPPER(TRIM($AE365))))),Config!$A$6:$D$8,2,FALSE),"⚠")))))</f>
        <v/>
      </c>
      <c r="AG352" s="30">
        <f>IF($AA365="","",IF(LEFT(UPPER(TRIM($AA365)),8)="FELICITA","N/A",IF($AE365="","",IFERROR(VLOOKUP(UPPER(TRIM($AE365)),Config!$A$6:$D$8,3,FALSE),IFERROR(VLOOKUP(IF(LEFT(UPPER(TRIM($AE365)),5)="SUPER","SUPER SALUD",IF(LEFT(UPPER(TRIM($AE365)),8)="SECRETAR","SECRETARIA DE SALUD",IF(LEFT(UPPER(TRIM($AE365)),4)="SEDE","SEDE",UPPER(TRIM($AE365))))),Config!$A$6:$D$8,3,FALSE),"")))))</f>
        <v/>
      </c>
      <c r="AH352" s="39">
        <f>IF(OR($E365="",NOT(ISNUMBER($E365)),$AF365="",$AF365="N/A",NOT(ISNUMBER($AF365))),"",IF($AG365="Hábiles",WORKDAY(INT($E365),$AF365,Config!$F$6:$F$39),INT($E365)+$AF365))</f>
        <v/>
      </c>
      <c r="AI352" s="30">
        <f>IF($E365="","",IF(LEFT(UPPER(TRIM($AA365)),8)="FELICITA","⭐ Felicitación",IF(NOT(ISNUMBER($E365)),"⚠ Revisar fecha",IF(UPPER(TRIM($AK365))="RESPONDIDA - CERRADA","✅ Cerrada",IF($AE365="","⚠ Falta entidad",IF($AH365="","⚠ Revisar término",IF(TODAY()&gt;$AH365,"🔴 Vencida",IF($AH365-TODAY()&lt;=Config!$B$12,"🟡 Próxima a vencer","🟢 En término"))))))))</f>
        <v/>
      </c>
      <c r="AJ352" s="42">
        <f>IF(OR($E365="",NOT(ISNUMBER($E365))),"",IF(ISNUMBER($AS365),MAX(0,INT($AS365)-INT($E365)),MAX(0,TODAY()-INT($E365))))</f>
        <v/>
      </c>
      <c r="AK352" s="30" t="n"/>
      <c r="AL352" s="30" t="n"/>
      <c r="AM352" s="30" t="n"/>
      <c r="AN352" s="39" t="n"/>
      <c r="AO352" s="30" t="n"/>
      <c r="AP352" s="30" t="n"/>
      <c r="AQ352" s="39" t="n"/>
      <c r="AR352" s="30" t="n"/>
      <c r="AS352" s="39" t="n"/>
      <c r="AT352" s="30">
        <f>IF(OR($AS365="",NOT(ISNUMBER($AS365)),$AH365=""),"",IF(INT($AS365)&lt;=$AH365,"A tiempo","Fuera de término"))</f>
        <v/>
      </c>
      <c r="AU352" s="40" t="n"/>
      <c r="AV352" s="40" t="n"/>
      <c r="AW352" s="40" t="n"/>
      <c r="AX352" s="40" t="n"/>
      <c r="AY352" s="30" t="n"/>
      <c r="AZ352" s="30" t="n"/>
      <c r="BA352" s="30" t="n"/>
    </row>
    <row r="353" ht="15.75" customHeight="1" s="57">
      <c r="A353" s="29" t="n"/>
      <c r="B353" s="30" t="n"/>
      <c r="C353" s="39" t="n"/>
      <c r="D353" s="39" t="n"/>
      <c r="E353" s="39" t="n"/>
      <c r="F353" s="40" t="n"/>
      <c r="G353" s="30" t="n"/>
      <c r="H353" s="30" t="n"/>
      <c r="I353" s="30" t="n"/>
      <c r="J353" s="30" t="n"/>
      <c r="K353" s="30" t="n"/>
      <c r="L353" s="30" t="n"/>
      <c r="M353" s="30" t="n"/>
      <c r="N353" s="30" t="n"/>
      <c r="O353" s="30" t="n"/>
      <c r="P353" s="30" t="n"/>
      <c r="Q353" s="30" t="n"/>
      <c r="R353" s="30" t="n"/>
      <c r="S353" s="30" t="n"/>
      <c r="T353" s="30" t="n"/>
      <c r="U353" s="30" t="n"/>
      <c r="V353" s="30" t="n"/>
      <c r="W353" s="30" t="n"/>
      <c r="X353" s="30" t="n"/>
      <c r="Y353" s="30" t="n"/>
      <c r="Z353" s="30" t="n"/>
      <c r="AA353" s="30" t="n"/>
      <c r="AB353" s="30" t="n"/>
      <c r="AC353" s="30" t="n"/>
      <c r="AD353" s="41" t="n"/>
      <c r="AE353" s="30" t="n"/>
      <c r="AF353" s="42">
        <f>IF($AA366="","",IF(LEFT(UPPER(TRIM($AA366)),8)="FELICITA","N/A",IF($AE366="","",IFERROR(VLOOKUP(UPPER(TRIM($AE366)),Config!$A$6:$D$8,2,FALSE),IFERROR(VLOOKUP(IF(LEFT(UPPER(TRIM($AE366)),5)="SUPER","SUPER SALUD",IF(LEFT(UPPER(TRIM($AE366)),8)="SECRETAR","SECRETARIA DE SALUD",IF(LEFT(UPPER(TRIM($AE366)),4)="SEDE","SEDE",UPPER(TRIM($AE366))))),Config!$A$6:$D$8,2,FALSE),"⚠")))))</f>
        <v/>
      </c>
      <c r="AG353" s="30">
        <f>IF($AA366="","",IF(LEFT(UPPER(TRIM($AA366)),8)="FELICITA","N/A",IF($AE366="","",IFERROR(VLOOKUP(UPPER(TRIM($AE366)),Config!$A$6:$D$8,3,FALSE),IFERROR(VLOOKUP(IF(LEFT(UPPER(TRIM($AE366)),5)="SUPER","SUPER SALUD",IF(LEFT(UPPER(TRIM($AE366)),8)="SECRETAR","SECRETARIA DE SALUD",IF(LEFT(UPPER(TRIM($AE366)),4)="SEDE","SEDE",UPPER(TRIM($AE366))))),Config!$A$6:$D$8,3,FALSE),"")))))</f>
        <v/>
      </c>
      <c r="AH353" s="39">
        <f>IF(OR($E366="",NOT(ISNUMBER($E366)),$AF366="",$AF366="N/A",NOT(ISNUMBER($AF366))),"",IF($AG366="Hábiles",WORKDAY(INT($E366),$AF366,Config!$F$6:$F$39),INT($E366)+$AF366))</f>
        <v/>
      </c>
      <c r="AI353" s="30">
        <f>IF($E366="","",IF(LEFT(UPPER(TRIM($AA366)),8)="FELICITA","⭐ Felicitación",IF(NOT(ISNUMBER($E366)),"⚠ Revisar fecha",IF(UPPER(TRIM($AK366))="RESPONDIDA - CERRADA","✅ Cerrada",IF($AE366="","⚠ Falta entidad",IF($AH366="","⚠ Revisar término",IF(TODAY()&gt;$AH366,"🔴 Vencida",IF($AH366-TODAY()&lt;=Config!$B$12,"🟡 Próxima a vencer","🟢 En término"))))))))</f>
        <v/>
      </c>
      <c r="AJ353" s="42">
        <f>IF(OR($E366="",NOT(ISNUMBER($E366))),"",IF(ISNUMBER($AS366),MAX(0,INT($AS366)-INT($E366)),MAX(0,TODAY()-INT($E366))))</f>
        <v/>
      </c>
      <c r="AK353" s="30" t="n"/>
      <c r="AL353" s="30" t="n"/>
      <c r="AM353" s="30" t="n"/>
      <c r="AN353" s="39" t="n"/>
      <c r="AO353" s="30" t="n"/>
      <c r="AP353" s="30" t="n"/>
      <c r="AQ353" s="39" t="n"/>
      <c r="AR353" s="30" t="n"/>
      <c r="AS353" s="39" t="n"/>
      <c r="AT353" s="30">
        <f>IF(OR($AS366="",NOT(ISNUMBER($AS366)),$AH366=""),"",IF(INT($AS366)&lt;=$AH366,"A tiempo","Fuera de término"))</f>
        <v/>
      </c>
      <c r="AU353" s="40" t="n"/>
      <c r="AV353" s="40" t="n"/>
      <c r="AW353" s="40" t="n"/>
      <c r="AX353" s="40" t="n"/>
      <c r="AY353" s="30" t="n"/>
      <c r="AZ353" s="30" t="n"/>
      <c r="BA353" s="30" t="n"/>
    </row>
    <row r="354" ht="15.75" customHeight="1" s="57">
      <c r="A354" s="29" t="n"/>
      <c r="B354" s="30" t="n"/>
      <c r="C354" s="39" t="n"/>
      <c r="D354" s="39" t="n"/>
      <c r="E354" s="39" t="n"/>
      <c r="F354" s="40" t="n"/>
      <c r="G354" s="30" t="n"/>
      <c r="H354" s="30" t="n"/>
      <c r="I354" s="30" t="n"/>
      <c r="J354" s="30" t="n"/>
      <c r="K354" s="30" t="n"/>
      <c r="L354" s="30" t="n"/>
      <c r="M354" s="30" t="n"/>
      <c r="N354" s="30" t="n"/>
      <c r="O354" s="30" t="n"/>
      <c r="P354" s="30" t="n"/>
      <c r="Q354" s="30" t="n"/>
      <c r="R354" s="30" t="n"/>
      <c r="S354" s="30" t="n"/>
      <c r="T354" s="30" t="n"/>
      <c r="U354" s="30" t="n"/>
      <c r="V354" s="30" t="n"/>
      <c r="W354" s="30" t="n"/>
      <c r="X354" s="30" t="n"/>
      <c r="Y354" s="30" t="n"/>
      <c r="Z354" s="30" t="n"/>
      <c r="AA354" s="30" t="n"/>
      <c r="AB354" s="30" t="n"/>
      <c r="AC354" s="30" t="n"/>
      <c r="AD354" s="41" t="n"/>
      <c r="AE354" s="30" t="n"/>
      <c r="AF354" s="42">
        <f>IF($AA367="","",IF(LEFT(UPPER(TRIM($AA367)),8)="FELICITA","N/A",IF($AE367="","",IFERROR(VLOOKUP(UPPER(TRIM($AE367)),Config!$A$6:$D$8,2,FALSE),IFERROR(VLOOKUP(IF(LEFT(UPPER(TRIM($AE367)),5)="SUPER","SUPER SALUD",IF(LEFT(UPPER(TRIM($AE367)),8)="SECRETAR","SECRETARIA DE SALUD",IF(LEFT(UPPER(TRIM($AE367)),4)="SEDE","SEDE",UPPER(TRIM($AE367))))),Config!$A$6:$D$8,2,FALSE),"⚠")))))</f>
        <v/>
      </c>
      <c r="AG354" s="30">
        <f>IF($AA367="","",IF(LEFT(UPPER(TRIM($AA367)),8)="FELICITA","N/A",IF($AE367="","",IFERROR(VLOOKUP(UPPER(TRIM($AE367)),Config!$A$6:$D$8,3,FALSE),IFERROR(VLOOKUP(IF(LEFT(UPPER(TRIM($AE367)),5)="SUPER","SUPER SALUD",IF(LEFT(UPPER(TRIM($AE367)),8)="SECRETAR","SECRETARIA DE SALUD",IF(LEFT(UPPER(TRIM($AE367)),4)="SEDE","SEDE",UPPER(TRIM($AE367))))),Config!$A$6:$D$8,3,FALSE),"")))))</f>
        <v/>
      </c>
      <c r="AH354" s="39">
        <f>IF(OR($E367="",NOT(ISNUMBER($E367)),$AF367="",$AF367="N/A",NOT(ISNUMBER($AF367))),"",IF($AG367="Hábiles",WORKDAY(INT($E367),$AF367,Config!$F$6:$F$39),INT($E367)+$AF367))</f>
        <v/>
      </c>
      <c r="AI354" s="30">
        <f>IF($E367="","",IF(LEFT(UPPER(TRIM($AA367)),8)="FELICITA","⭐ Felicitación",IF(NOT(ISNUMBER($E367)),"⚠ Revisar fecha",IF(UPPER(TRIM($AK367))="RESPONDIDA - CERRADA","✅ Cerrada",IF($AE367="","⚠ Falta entidad",IF($AH367="","⚠ Revisar término",IF(TODAY()&gt;$AH367,"🔴 Vencida",IF($AH367-TODAY()&lt;=Config!$B$12,"🟡 Próxima a vencer","🟢 En término"))))))))</f>
        <v/>
      </c>
      <c r="AJ354" s="42">
        <f>IF(OR($E367="",NOT(ISNUMBER($E367))),"",IF(ISNUMBER($AS367),MAX(0,INT($AS367)-INT($E367)),MAX(0,TODAY()-INT($E367))))</f>
        <v/>
      </c>
      <c r="AK354" s="30" t="n"/>
      <c r="AL354" s="30" t="n"/>
      <c r="AM354" s="30" t="n"/>
      <c r="AN354" s="39" t="n"/>
      <c r="AO354" s="30" t="n"/>
      <c r="AP354" s="30" t="n"/>
      <c r="AQ354" s="39" t="n"/>
      <c r="AR354" s="30" t="n"/>
      <c r="AS354" s="39" t="n"/>
      <c r="AT354" s="30">
        <f>IF(OR($AS367="",NOT(ISNUMBER($AS367)),$AH367=""),"",IF(INT($AS367)&lt;=$AH367,"A tiempo","Fuera de término"))</f>
        <v/>
      </c>
      <c r="AU354" s="40" t="n"/>
      <c r="AV354" s="40" t="n"/>
      <c r="AW354" s="40" t="n"/>
      <c r="AX354" s="40" t="n"/>
      <c r="AY354" s="30" t="n"/>
      <c r="AZ354" s="30" t="n"/>
      <c r="BA354" s="30" t="n"/>
    </row>
    <row r="355" ht="15.75" customHeight="1" s="57">
      <c r="A355" s="29" t="n"/>
      <c r="B355" s="30" t="n"/>
      <c r="C355" s="39" t="n"/>
      <c r="D355" s="39" t="n"/>
      <c r="E355" s="39" t="n"/>
      <c r="F355" s="40" t="n"/>
      <c r="G355" s="30" t="n"/>
      <c r="H355" s="30" t="n"/>
      <c r="I355" s="30" t="n"/>
      <c r="J355" s="30" t="n"/>
      <c r="K355" s="30" t="n"/>
      <c r="L355" s="30" t="n"/>
      <c r="M355" s="30" t="n"/>
      <c r="N355" s="30" t="n"/>
      <c r="O355" s="30" t="n"/>
      <c r="P355" s="30" t="n"/>
      <c r="Q355" s="30" t="n"/>
      <c r="R355" s="30" t="n"/>
      <c r="S355" s="30" t="n"/>
      <c r="T355" s="30" t="n"/>
      <c r="U355" s="30" t="n"/>
      <c r="V355" s="30" t="n"/>
      <c r="W355" s="30" t="n"/>
      <c r="X355" s="30" t="n"/>
      <c r="Y355" s="30" t="n"/>
      <c r="Z355" s="30" t="n"/>
      <c r="AA355" s="30" t="n"/>
      <c r="AB355" s="30" t="n"/>
      <c r="AC355" s="30" t="n"/>
      <c r="AD355" s="41" t="n"/>
      <c r="AE355" s="30" t="n"/>
      <c r="AF355" s="42">
        <f>IF($AA368="","",IF(LEFT(UPPER(TRIM($AA368)),8)="FELICITA","N/A",IF($AE368="","",IFERROR(VLOOKUP(UPPER(TRIM($AE368)),Config!$A$6:$D$8,2,FALSE),IFERROR(VLOOKUP(IF(LEFT(UPPER(TRIM($AE368)),5)="SUPER","SUPER SALUD",IF(LEFT(UPPER(TRIM($AE368)),8)="SECRETAR","SECRETARIA DE SALUD",IF(LEFT(UPPER(TRIM($AE368)),4)="SEDE","SEDE",UPPER(TRIM($AE368))))),Config!$A$6:$D$8,2,FALSE),"⚠")))))</f>
        <v/>
      </c>
      <c r="AG355" s="30">
        <f>IF($AA368="","",IF(LEFT(UPPER(TRIM($AA368)),8)="FELICITA","N/A",IF($AE368="","",IFERROR(VLOOKUP(UPPER(TRIM($AE368)),Config!$A$6:$D$8,3,FALSE),IFERROR(VLOOKUP(IF(LEFT(UPPER(TRIM($AE368)),5)="SUPER","SUPER SALUD",IF(LEFT(UPPER(TRIM($AE368)),8)="SECRETAR","SECRETARIA DE SALUD",IF(LEFT(UPPER(TRIM($AE368)),4)="SEDE","SEDE",UPPER(TRIM($AE368))))),Config!$A$6:$D$8,3,FALSE),"")))))</f>
        <v/>
      </c>
      <c r="AH355" s="39">
        <f>IF(OR($E368="",NOT(ISNUMBER($E368)),$AF368="",$AF368="N/A",NOT(ISNUMBER($AF368))),"",IF($AG368="Hábiles",WORKDAY(INT($E368),$AF368,Config!$F$6:$F$39),INT($E368)+$AF368))</f>
        <v/>
      </c>
      <c r="AI355" s="30">
        <f>IF($E368="","",IF(LEFT(UPPER(TRIM($AA368)),8)="FELICITA","⭐ Felicitación",IF(NOT(ISNUMBER($E368)),"⚠ Revisar fecha",IF(UPPER(TRIM($AK368))="RESPONDIDA - CERRADA","✅ Cerrada",IF($AE368="","⚠ Falta entidad",IF($AH368="","⚠ Revisar término",IF(TODAY()&gt;$AH368,"🔴 Vencida",IF($AH368-TODAY()&lt;=Config!$B$12,"🟡 Próxima a vencer","🟢 En término"))))))))</f>
        <v/>
      </c>
      <c r="AJ355" s="42">
        <f>IF(OR($E368="",NOT(ISNUMBER($E368))),"",IF(ISNUMBER($AS368),MAX(0,INT($AS368)-INT($E368)),MAX(0,TODAY()-INT($E368))))</f>
        <v/>
      </c>
      <c r="AK355" s="30" t="n"/>
      <c r="AL355" s="30" t="n"/>
      <c r="AM355" s="30" t="n"/>
      <c r="AN355" s="39" t="n"/>
      <c r="AO355" s="30" t="n"/>
      <c r="AP355" s="30" t="n"/>
      <c r="AQ355" s="39" t="n"/>
      <c r="AR355" s="30" t="n"/>
      <c r="AS355" s="39" t="n"/>
      <c r="AT355" s="30">
        <f>IF(OR($AS368="",NOT(ISNUMBER($AS368)),$AH368=""),"",IF(INT($AS368)&lt;=$AH368,"A tiempo","Fuera de término"))</f>
        <v/>
      </c>
      <c r="AU355" s="40" t="n"/>
      <c r="AV355" s="40" t="n"/>
      <c r="AW355" s="40" t="n"/>
      <c r="AX355" s="40" t="n"/>
      <c r="AY355" s="30" t="n"/>
      <c r="AZ355" s="30" t="n"/>
      <c r="BA355" s="30" t="n"/>
    </row>
    <row r="356" ht="15.75" customHeight="1" s="57">
      <c r="A356" s="29" t="n"/>
      <c r="B356" s="30" t="n"/>
      <c r="C356" s="39" t="n"/>
      <c r="D356" s="39" t="n"/>
      <c r="E356" s="39" t="n"/>
      <c r="F356" s="40" t="n"/>
      <c r="G356" s="30" t="n"/>
      <c r="H356" s="30" t="n"/>
      <c r="I356" s="30" t="n"/>
      <c r="J356" s="30" t="n"/>
      <c r="K356" s="30" t="n"/>
      <c r="L356" s="30" t="n"/>
      <c r="M356" s="30" t="n"/>
      <c r="N356" s="30" t="n"/>
      <c r="O356" s="30" t="n"/>
      <c r="P356" s="30" t="n"/>
      <c r="Q356" s="30" t="n"/>
      <c r="R356" s="30" t="n"/>
      <c r="S356" s="30" t="n"/>
      <c r="T356" s="30" t="n"/>
      <c r="U356" s="30" t="n"/>
      <c r="V356" s="30" t="n"/>
      <c r="W356" s="30" t="n"/>
      <c r="X356" s="30" t="n"/>
      <c r="Y356" s="30" t="n"/>
      <c r="Z356" s="30" t="n"/>
      <c r="AA356" s="30" t="n"/>
      <c r="AB356" s="30" t="n"/>
      <c r="AC356" s="30" t="n"/>
      <c r="AD356" s="41" t="n"/>
      <c r="AE356" s="30" t="n"/>
      <c r="AF356" s="42">
        <f>IF($AA369="","",IF(LEFT(UPPER(TRIM($AA369)),8)="FELICITA","N/A",IF($AE369="","",IFERROR(VLOOKUP(UPPER(TRIM($AE369)),Config!$A$6:$D$8,2,FALSE),IFERROR(VLOOKUP(IF(LEFT(UPPER(TRIM($AE369)),5)="SUPER","SUPER SALUD",IF(LEFT(UPPER(TRIM($AE369)),8)="SECRETAR","SECRETARIA DE SALUD",IF(LEFT(UPPER(TRIM($AE369)),4)="SEDE","SEDE",UPPER(TRIM($AE369))))),Config!$A$6:$D$8,2,FALSE),"⚠")))))</f>
        <v/>
      </c>
      <c r="AG356" s="30">
        <f>IF($AA369="","",IF(LEFT(UPPER(TRIM($AA369)),8)="FELICITA","N/A",IF($AE369="","",IFERROR(VLOOKUP(UPPER(TRIM($AE369)),Config!$A$6:$D$8,3,FALSE),IFERROR(VLOOKUP(IF(LEFT(UPPER(TRIM($AE369)),5)="SUPER","SUPER SALUD",IF(LEFT(UPPER(TRIM($AE369)),8)="SECRETAR","SECRETARIA DE SALUD",IF(LEFT(UPPER(TRIM($AE369)),4)="SEDE","SEDE",UPPER(TRIM($AE369))))),Config!$A$6:$D$8,3,FALSE),"")))))</f>
        <v/>
      </c>
      <c r="AH356" s="39">
        <f>IF(OR($E369="",NOT(ISNUMBER($E369)),$AF369="",$AF369="N/A",NOT(ISNUMBER($AF369))),"",IF($AG369="Hábiles",WORKDAY(INT($E369),$AF369,Config!$F$6:$F$39),INT($E369)+$AF369))</f>
        <v/>
      </c>
      <c r="AI356" s="30">
        <f>IF($E369="","",IF(LEFT(UPPER(TRIM($AA369)),8)="FELICITA","⭐ Felicitación",IF(NOT(ISNUMBER($E369)),"⚠ Revisar fecha",IF(UPPER(TRIM($AK369))="RESPONDIDA - CERRADA","✅ Cerrada",IF($AE369="","⚠ Falta entidad",IF($AH369="","⚠ Revisar término",IF(TODAY()&gt;$AH369,"🔴 Vencida",IF($AH369-TODAY()&lt;=Config!$B$12,"🟡 Próxima a vencer","🟢 En término"))))))))</f>
        <v/>
      </c>
      <c r="AJ356" s="42">
        <f>IF(OR($E369="",NOT(ISNUMBER($E369))),"",IF(ISNUMBER($AS369),MAX(0,INT($AS369)-INT($E369)),MAX(0,TODAY()-INT($E369))))</f>
        <v/>
      </c>
      <c r="AK356" s="30" t="n"/>
      <c r="AL356" s="30" t="n"/>
      <c r="AM356" s="30" t="n"/>
      <c r="AN356" s="39" t="n"/>
      <c r="AO356" s="30" t="n"/>
      <c r="AP356" s="30" t="n"/>
      <c r="AQ356" s="39" t="n"/>
      <c r="AR356" s="30" t="n"/>
      <c r="AS356" s="39" t="n"/>
      <c r="AT356" s="30">
        <f>IF(OR($AS369="",NOT(ISNUMBER($AS369)),$AH369=""),"",IF(INT($AS369)&lt;=$AH369,"A tiempo","Fuera de término"))</f>
        <v/>
      </c>
      <c r="AU356" s="40" t="n"/>
      <c r="AV356" s="40" t="n"/>
      <c r="AW356" s="40" t="n"/>
      <c r="AX356" s="40" t="n"/>
      <c r="AY356" s="30" t="n"/>
      <c r="AZ356" s="30" t="n"/>
      <c r="BA356" s="30" t="n"/>
    </row>
    <row r="357" ht="15.75" customHeight="1" s="57">
      <c r="A357" s="29" t="n"/>
      <c r="B357" s="30" t="n"/>
      <c r="C357" s="39" t="n"/>
      <c r="D357" s="39" t="n"/>
      <c r="E357" s="39" t="n"/>
      <c r="F357" s="40" t="n"/>
      <c r="G357" s="30" t="n"/>
      <c r="H357" s="30" t="n"/>
      <c r="I357" s="30" t="n"/>
      <c r="J357" s="30" t="n"/>
      <c r="K357" s="30" t="n"/>
      <c r="L357" s="30" t="n"/>
      <c r="M357" s="30" t="n"/>
      <c r="N357" s="30" t="n"/>
      <c r="O357" s="30" t="n"/>
      <c r="P357" s="30" t="n"/>
      <c r="Q357" s="30" t="n"/>
      <c r="R357" s="30" t="n"/>
      <c r="S357" s="30" t="n"/>
      <c r="T357" s="30" t="n"/>
      <c r="U357" s="30" t="n"/>
      <c r="V357" s="30" t="n"/>
      <c r="W357" s="30" t="n"/>
      <c r="X357" s="30" t="n"/>
      <c r="Y357" s="30" t="n"/>
      <c r="Z357" s="30" t="n"/>
      <c r="AA357" s="30" t="n"/>
      <c r="AB357" s="30" t="n"/>
      <c r="AC357" s="30" t="n"/>
      <c r="AD357" s="41" t="n"/>
      <c r="AE357" s="30" t="n"/>
      <c r="AF357" s="42">
        <f>IF($AA370="","",IF(LEFT(UPPER(TRIM($AA370)),8)="FELICITA","N/A",IF($AE370="","",IFERROR(VLOOKUP(UPPER(TRIM($AE370)),Config!$A$6:$D$8,2,FALSE),IFERROR(VLOOKUP(IF(LEFT(UPPER(TRIM($AE370)),5)="SUPER","SUPER SALUD",IF(LEFT(UPPER(TRIM($AE370)),8)="SECRETAR","SECRETARIA DE SALUD",IF(LEFT(UPPER(TRIM($AE370)),4)="SEDE","SEDE",UPPER(TRIM($AE370))))),Config!$A$6:$D$8,2,FALSE),"⚠")))))</f>
        <v/>
      </c>
      <c r="AG357" s="30">
        <f>IF($AA370="","",IF(LEFT(UPPER(TRIM($AA370)),8)="FELICITA","N/A",IF($AE370="","",IFERROR(VLOOKUP(UPPER(TRIM($AE370)),Config!$A$6:$D$8,3,FALSE),IFERROR(VLOOKUP(IF(LEFT(UPPER(TRIM($AE370)),5)="SUPER","SUPER SALUD",IF(LEFT(UPPER(TRIM($AE370)),8)="SECRETAR","SECRETARIA DE SALUD",IF(LEFT(UPPER(TRIM($AE370)),4)="SEDE","SEDE",UPPER(TRIM($AE370))))),Config!$A$6:$D$8,3,FALSE),"")))))</f>
        <v/>
      </c>
      <c r="AH357" s="39">
        <f>IF(OR($E370="",NOT(ISNUMBER($E370)),$AF370="",$AF370="N/A",NOT(ISNUMBER($AF370))),"",IF($AG370="Hábiles",WORKDAY(INT($E370),$AF370,Config!$F$6:$F$39),INT($E370)+$AF370))</f>
        <v/>
      </c>
      <c r="AI357" s="30">
        <f>IF($E370="","",IF(LEFT(UPPER(TRIM($AA370)),8)="FELICITA","⭐ Felicitación",IF(NOT(ISNUMBER($E370)),"⚠ Revisar fecha",IF(UPPER(TRIM($AK370))="RESPONDIDA - CERRADA","✅ Cerrada",IF($AE370="","⚠ Falta entidad",IF($AH370="","⚠ Revisar término",IF(TODAY()&gt;$AH370,"🔴 Vencida",IF($AH370-TODAY()&lt;=Config!$B$12,"🟡 Próxima a vencer","🟢 En término"))))))))</f>
        <v/>
      </c>
      <c r="AJ357" s="42">
        <f>IF(OR($E370="",NOT(ISNUMBER($E370))),"",IF(ISNUMBER($AS370),MAX(0,INT($AS370)-INT($E370)),MAX(0,TODAY()-INT($E370))))</f>
        <v/>
      </c>
      <c r="AK357" s="30" t="n"/>
      <c r="AL357" s="30" t="n"/>
      <c r="AM357" s="30" t="n"/>
      <c r="AN357" s="39" t="n"/>
      <c r="AO357" s="30" t="n"/>
      <c r="AP357" s="30" t="n"/>
      <c r="AQ357" s="39" t="n"/>
      <c r="AR357" s="30" t="n"/>
      <c r="AS357" s="39" t="n"/>
      <c r="AT357" s="30">
        <f>IF(OR($AS370="",NOT(ISNUMBER($AS370)),$AH370=""),"",IF(INT($AS370)&lt;=$AH370,"A tiempo","Fuera de término"))</f>
        <v/>
      </c>
      <c r="AU357" s="40" t="n"/>
      <c r="AV357" s="40" t="n"/>
      <c r="AW357" s="40" t="n"/>
      <c r="AX357" s="40" t="n"/>
      <c r="AY357" s="30" t="n"/>
      <c r="AZ357" s="30" t="n"/>
      <c r="BA357" s="30" t="n"/>
    </row>
    <row r="358" ht="15.75" customHeight="1" s="57">
      <c r="A358" s="29" t="n"/>
      <c r="B358" s="30" t="n"/>
      <c r="C358" s="39" t="n"/>
      <c r="D358" s="39" t="n"/>
      <c r="E358" s="39" t="n"/>
      <c r="F358" s="40" t="n"/>
      <c r="G358" s="30" t="n"/>
      <c r="H358" s="30" t="n"/>
      <c r="I358" s="30" t="n"/>
      <c r="J358" s="30" t="n"/>
      <c r="K358" s="30" t="n"/>
      <c r="L358" s="30" t="n"/>
      <c r="M358" s="30" t="n"/>
      <c r="N358" s="30" t="n"/>
      <c r="O358" s="30" t="n"/>
      <c r="P358" s="30" t="n"/>
      <c r="Q358" s="30" t="n"/>
      <c r="R358" s="30" t="n"/>
      <c r="S358" s="30" t="n"/>
      <c r="T358" s="30" t="n"/>
      <c r="U358" s="30" t="n"/>
      <c r="V358" s="30" t="n"/>
      <c r="W358" s="30" t="n"/>
      <c r="X358" s="30" t="n"/>
      <c r="Y358" s="30" t="n"/>
      <c r="Z358" s="30" t="n"/>
      <c r="AA358" s="30" t="n"/>
      <c r="AB358" s="30" t="n"/>
      <c r="AC358" s="30" t="n"/>
      <c r="AD358" s="41" t="n"/>
      <c r="AE358" s="30" t="n"/>
      <c r="AF358" s="42">
        <f>IF($AA371="","",IF(LEFT(UPPER(TRIM($AA371)),8)="FELICITA","N/A",IF($AE371="","",IFERROR(VLOOKUP(UPPER(TRIM($AE371)),Config!$A$6:$D$8,2,FALSE),IFERROR(VLOOKUP(IF(LEFT(UPPER(TRIM($AE371)),5)="SUPER","SUPER SALUD",IF(LEFT(UPPER(TRIM($AE371)),8)="SECRETAR","SECRETARIA DE SALUD",IF(LEFT(UPPER(TRIM($AE371)),4)="SEDE","SEDE",UPPER(TRIM($AE371))))),Config!$A$6:$D$8,2,FALSE),"⚠")))))</f>
        <v/>
      </c>
      <c r="AG358" s="30">
        <f>IF($AA371="","",IF(LEFT(UPPER(TRIM($AA371)),8)="FELICITA","N/A",IF($AE371="","",IFERROR(VLOOKUP(UPPER(TRIM($AE371)),Config!$A$6:$D$8,3,FALSE),IFERROR(VLOOKUP(IF(LEFT(UPPER(TRIM($AE371)),5)="SUPER","SUPER SALUD",IF(LEFT(UPPER(TRIM($AE371)),8)="SECRETAR","SECRETARIA DE SALUD",IF(LEFT(UPPER(TRIM($AE371)),4)="SEDE","SEDE",UPPER(TRIM($AE371))))),Config!$A$6:$D$8,3,FALSE),"")))))</f>
        <v/>
      </c>
      <c r="AH358" s="39">
        <f>IF(OR($E371="",NOT(ISNUMBER($E371)),$AF371="",$AF371="N/A",NOT(ISNUMBER($AF371))),"",IF($AG371="Hábiles",WORKDAY(INT($E371),$AF371,Config!$F$6:$F$39),INT($E371)+$AF371))</f>
        <v/>
      </c>
      <c r="AI358" s="30">
        <f>IF($E371="","",IF(LEFT(UPPER(TRIM($AA371)),8)="FELICITA","⭐ Felicitación",IF(NOT(ISNUMBER($E371)),"⚠ Revisar fecha",IF(UPPER(TRIM($AK371))="RESPONDIDA - CERRADA","✅ Cerrada",IF($AE371="","⚠ Falta entidad",IF($AH371="","⚠ Revisar término",IF(TODAY()&gt;$AH371,"🔴 Vencida",IF($AH371-TODAY()&lt;=Config!$B$12,"🟡 Próxima a vencer","🟢 En término"))))))))</f>
        <v/>
      </c>
      <c r="AJ358" s="42">
        <f>IF(OR($E371="",NOT(ISNUMBER($E371))),"",IF(ISNUMBER($AS371),MAX(0,INT($AS371)-INT($E371)),MAX(0,TODAY()-INT($E371))))</f>
        <v/>
      </c>
      <c r="AK358" s="30" t="n"/>
      <c r="AL358" s="30" t="n"/>
      <c r="AM358" s="30" t="n"/>
      <c r="AN358" s="39" t="n"/>
      <c r="AO358" s="30" t="n"/>
      <c r="AP358" s="30" t="n"/>
      <c r="AQ358" s="39" t="n"/>
      <c r="AR358" s="30" t="n"/>
      <c r="AS358" s="39" t="n"/>
      <c r="AT358" s="30">
        <f>IF(OR($AS371="",NOT(ISNUMBER($AS371)),$AH371=""),"",IF(INT($AS371)&lt;=$AH371,"A tiempo","Fuera de término"))</f>
        <v/>
      </c>
      <c r="AU358" s="40" t="n"/>
      <c r="AV358" s="40" t="n"/>
      <c r="AW358" s="40" t="n"/>
      <c r="AX358" s="40" t="n"/>
      <c r="AY358" s="30" t="n"/>
      <c r="AZ358" s="30" t="n"/>
      <c r="BA358" s="30" t="n"/>
    </row>
    <row r="359" ht="15.75" customHeight="1" s="57">
      <c r="A359" s="29" t="n"/>
      <c r="B359" s="30" t="n"/>
      <c r="C359" s="39" t="n"/>
      <c r="D359" s="39" t="n"/>
      <c r="E359" s="39" t="n"/>
      <c r="F359" s="40" t="n"/>
      <c r="G359" s="30" t="n"/>
      <c r="H359" s="30" t="n"/>
      <c r="I359" s="30" t="n"/>
      <c r="J359" s="30" t="n"/>
      <c r="K359" s="30" t="n"/>
      <c r="L359" s="30" t="n"/>
      <c r="M359" s="30" t="n"/>
      <c r="N359" s="30" t="n"/>
      <c r="O359" s="30" t="n"/>
      <c r="P359" s="30" t="n"/>
      <c r="Q359" s="30" t="n"/>
      <c r="R359" s="30" t="n"/>
      <c r="S359" s="30" t="n"/>
      <c r="T359" s="30" t="n"/>
      <c r="U359" s="30" t="n"/>
      <c r="V359" s="30" t="n"/>
      <c r="W359" s="30" t="n"/>
      <c r="X359" s="30" t="n"/>
      <c r="Y359" s="30" t="n"/>
      <c r="Z359" s="30" t="n"/>
      <c r="AA359" s="30" t="n"/>
      <c r="AB359" s="30" t="n"/>
      <c r="AC359" s="30" t="n"/>
      <c r="AD359" s="41" t="n"/>
      <c r="AE359" s="30" t="n"/>
      <c r="AF359" s="42">
        <f>IF($AA372="","",IF(LEFT(UPPER(TRIM($AA372)),8)="FELICITA","N/A",IF($AE372="","",IFERROR(VLOOKUP(UPPER(TRIM($AE372)),Config!$A$6:$D$8,2,FALSE),IFERROR(VLOOKUP(IF(LEFT(UPPER(TRIM($AE372)),5)="SUPER","SUPER SALUD",IF(LEFT(UPPER(TRIM($AE372)),8)="SECRETAR","SECRETARIA DE SALUD",IF(LEFT(UPPER(TRIM($AE372)),4)="SEDE","SEDE",UPPER(TRIM($AE372))))),Config!$A$6:$D$8,2,FALSE),"⚠")))))</f>
        <v/>
      </c>
      <c r="AG359" s="30">
        <f>IF($AA372="","",IF(LEFT(UPPER(TRIM($AA372)),8)="FELICITA","N/A",IF($AE372="","",IFERROR(VLOOKUP(UPPER(TRIM($AE372)),Config!$A$6:$D$8,3,FALSE),IFERROR(VLOOKUP(IF(LEFT(UPPER(TRIM($AE372)),5)="SUPER","SUPER SALUD",IF(LEFT(UPPER(TRIM($AE372)),8)="SECRETAR","SECRETARIA DE SALUD",IF(LEFT(UPPER(TRIM($AE372)),4)="SEDE","SEDE",UPPER(TRIM($AE372))))),Config!$A$6:$D$8,3,FALSE),"")))))</f>
        <v/>
      </c>
      <c r="AH359" s="39">
        <f>IF(OR($E372="",NOT(ISNUMBER($E372)),$AF372="",$AF372="N/A",NOT(ISNUMBER($AF372))),"",IF($AG372="Hábiles",WORKDAY(INT($E372),$AF372,Config!$F$6:$F$39),INT($E372)+$AF372))</f>
        <v/>
      </c>
      <c r="AI359" s="30">
        <f>IF($E372="","",IF(LEFT(UPPER(TRIM($AA372)),8)="FELICITA","⭐ Felicitación",IF(NOT(ISNUMBER($E372)),"⚠ Revisar fecha",IF(UPPER(TRIM($AK372))="RESPONDIDA - CERRADA","✅ Cerrada",IF($AE372="","⚠ Falta entidad",IF($AH372="","⚠ Revisar término",IF(TODAY()&gt;$AH372,"🔴 Vencida",IF($AH372-TODAY()&lt;=Config!$B$12,"🟡 Próxima a vencer","🟢 En término"))))))))</f>
        <v/>
      </c>
      <c r="AJ359" s="42">
        <f>IF(OR($E372="",NOT(ISNUMBER($E372))),"",IF(ISNUMBER($AS372),MAX(0,INT($AS372)-INT($E372)),MAX(0,TODAY()-INT($E372))))</f>
        <v/>
      </c>
      <c r="AK359" s="30" t="n"/>
      <c r="AL359" s="30" t="n"/>
      <c r="AM359" s="30" t="n"/>
      <c r="AN359" s="39" t="n"/>
      <c r="AO359" s="30" t="n"/>
      <c r="AP359" s="30" t="n"/>
      <c r="AQ359" s="39" t="n"/>
      <c r="AR359" s="30" t="n"/>
      <c r="AS359" s="39" t="n"/>
      <c r="AT359" s="30">
        <f>IF(OR($AS372="",NOT(ISNUMBER($AS372)),$AH372=""),"",IF(INT($AS372)&lt;=$AH372,"A tiempo","Fuera de término"))</f>
        <v/>
      </c>
      <c r="AU359" s="40" t="n"/>
      <c r="AV359" s="40" t="n"/>
      <c r="AW359" s="40" t="n"/>
      <c r="AX359" s="40" t="n"/>
      <c r="AY359" s="30" t="n"/>
      <c r="AZ359" s="30" t="n"/>
      <c r="BA359" s="30" t="n"/>
    </row>
    <row r="360" ht="15.75" customHeight="1" s="57">
      <c r="A360" s="29" t="n"/>
      <c r="B360" s="30" t="n"/>
      <c r="C360" s="39" t="n"/>
      <c r="D360" s="39" t="n"/>
      <c r="E360" s="39" t="n"/>
      <c r="F360" s="40" t="n"/>
      <c r="G360" s="30" t="n"/>
      <c r="H360" s="30" t="n"/>
      <c r="I360" s="30" t="n"/>
      <c r="J360" s="30" t="n"/>
      <c r="K360" s="30" t="n"/>
      <c r="L360" s="30" t="n"/>
      <c r="M360" s="30" t="n"/>
      <c r="N360" s="30" t="n"/>
      <c r="O360" s="30" t="n"/>
      <c r="P360" s="30" t="n"/>
      <c r="Q360" s="30" t="n"/>
      <c r="R360" s="30" t="n"/>
      <c r="S360" s="30" t="n"/>
      <c r="T360" s="30" t="n"/>
      <c r="U360" s="30" t="n"/>
      <c r="V360" s="30" t="n"/>
      <c r="W360" s="30" t="n"/>
      <c r="X360" s="30" t="n"/>
      <c r="Y360" s="30" t="n"/>
      <c r="Z360" s="30" t="n"/>
      <c r="AA360" s="30" t="n"/>
      <c r="AB360" s="30" t="n"/>
      <c r="AC360" s="30" t="n"/>
      <c r="AD360" s="41" t="n"/>
      <c r="AE360" s="30" t="n"/>
      <c r="AF360" s="42">
        <f>IF($AA373="","",IF(LEFT(UPPER(TRIM($AA373)),8)="FELICITA","N/A",IF($AE373="","",IFERROR(VLOOKUP(UPPER(TRIM($AE373)),Config!$A$6:$D$8,2,FALSE),IFERROR(VLOOKUP(IF(LEFT(UPPER(TRIM($AE373)),5)="SUPER","SUPER SALUD",IF(LEFT(UPPER(TRIM($AE373)),8)="SECRETAR","SECRETARIA DE SALUD",IF(LEFT(UPPER(TRIM($AE373)),4)="SEDE","SEDE",UPPER(TRIM($AE373))))),Config!$A$6:$D$8,2,FALSE),"⚠")))))</f>
        <v/>
      </c>
      <c r="AG360" s="30">
        <f>IF($AA373="","",IF(LEFT(UPPER(TRIM($AA373)),8)="FELICITA","N/A",IF($AE373="","",IFERROR(VLOOKUP(UPPER(TRIM($AE373)),Config!$A$6:$D$8,3,FALSE),IFERROR(VLOOKUP(IF(LEFT(UPPER(TRIM($AE373)),5)="SUPER","SUPER SALUD",IF(LEFT(UPPER(TRIM($AE373)),8)="SECRETAR","SECRETARIA DE SALUD",IF(LEFT(UPPER(TRIM($AE373)),4)="SEDE","SEDE",UPPER(TRIM($AE373))))),Config!$A$6:$D$8,3,FALSE),"")))))</f>
        <v/>
      </c>
      <c r="AH360" s="39">
        <f>IF(OR($E373="",NOT(ISNUMBER($E373)),$AF373="",$AF373="N/A",NOT(ISNUMBER($AF373))),"",IF($AG373="Hábiles",WORKDAY(INT($E373),$AF373,Config!$F$6:$F$39),INT($E373)+$AF373))</f>
        <v/>
      </c>
      <c r="AI360" s="30">
        <f>IF($E373="","",IF(LEFT(UPPER(TRIM($AA373)),8)="FELICITA","⭐ Felicitación",IF(NOT(ISNUMBER($E373)),"⚠ Revisar fecha",IF(UPPER(TRIM($AK373))="RESPONDIDA - CERRADA","✅ Cerrada",IF($AE373="","⚠ Falta entidad",IF($AH373="","⚠ Revisar término",IF(TODAY()&gt;$AH373,"🔴 Vencida",IF($AH373-TODAY()&lt;=Config!$B$12,"🟡 Próxima a vencer","🟢 En término"))))))))</f>
        <v/>
      </c>
      <c r="AJ360" s="42">
        <f>IF(OR($E373="",NOT(ISNUMBER($E373))),"",IF(ISNUMBER($AS373),MAX(0,INT($AS373)-INT($E373)),MAX(0,TODAY()-INT($E373))))</f>
        <v/>
      </c>
      <c r="AK360" s="30" t="n"/>
      <c r="AL360" s="30" t="n"/>
      <c r="AM360" s="30" t="n"/>
      <c r="AN360" s="39" t="n"/>
      <c r="AO360" s="30" t="n"/>
      <c r="AP360" s="30" t="n"/>
      <c r="AQ360" s="39" t="n"/>
      <c r="AR360" s="30" t="n"/>
      <c r="AS360" s="39" t="n"/>
      <c r="AT360" s="30">
        <f>IF(OR($AS373="",NOT(ISNUMBER($AS373)),$AH373=""),"",IF(INT($AS373)&lt;=$AH373,"A tiempo","Fuera de término"))</f>
        <v/>
      </c>
      <c r="AU360" s="40" t="n"/>
      <c r="AV360" s="40" t="n"/>
      <c r="AW360" s="40" t="n"/>
      <c r="AX360" s="40" t="n"/>
      <c r="AY360" s="30" t="n"/>
      <c r="AZ360" s="30" t="n"/>
      <c r="BA360" s="30" t="n"/>
    </row>
    <row r="361" ht="15.75" customHeight="1" s="57">
      <c r="A361" s="29" t="n"/>
      <c r="B361" s="30" t="n"/>
      <c r="C361" s="39" t="n"/>
      <c r="D361" s="39" t="n"/>
      <c r="E361" s="39" t="n"/>
      <c r="F361" s="40" t="n"/>
      <c r="G361" s="30" t="n"/>
      <c r="H361" s="30" t="n"/>
      <c r="I361" s="30" t="n"/>
      <c r="J361" s="30" t="n"/>
      <c r="K361" s="30" t="n"/>
      <c r="L361" s="30" t="n"/>
      <c r="M361" s="30" t="n"/>
      <c r="N361" s="30" t="n"/>
      <c r="O361" s="30" t="n"/>
      <c r="P361" s="30" t="n"/>
      <c r="Q361" s="30" t="n"/>
      <c r="R361" s="30" t="n"/>
      <c r="S361" s="30" t="n"/>
      <c r="T361" s="30" t="n"/>
      <c r="U361" s="30" t="n"/>
      <c r="V361" s="30" t="n"/>
      <c r="W361" s="30" t="n"/>
      <c r="X361" s="30" t="n"/>
      <c r="Y361" s="30" t="n"/>
      <c r="Z361" s="30" t="n"/>
      <c r="AA361" s="30" t="n"/>
      <c r="AB361" s="30" t="n"/>
      <c r="AC361" s="30" t="n"/>
      <c r="AD361" s="41" t="n"/>
      <c r="AE361" s="30" t="n"/>
      <c r="AF361" s="42">
        <f>IF($AA374="","",IF(LEFT(UPPER(TRIM($AA374)),8)="FELICITA","N/A",IF($AE374="","",IFERROR(VLOOKUP(UPPER(TRIM($AE374)),Config!$A$6:$D$8,2,FALSE),IFERROR(VLOOKUP(IF(LEFT(UPPER(TRIM($AE374)),5)="SUPER","SUPER SALUD",IF(LEFT(UPPER(TRIM($AE374)),8)="SECRETAR","SECRETARIA DE SALUD",IF(LEFT(UPPER(TRIM($AE374)),4)="SEDE","SEDE",UPPER(TRIM($AE374))))),Config!$A$6:$D$8,2,FALSE),"⚠")))))</f>
        <v/>
      </c>
      <c r="AG361" s="30">
        <f>IF($AA374="","",IF(LEFT(UPPER(TRIM($AA374)),8)="FELICITA","N/A",IF($AE374="","",IFERROR(VLOOKUP(UPPER(TRIM($AE374)),Config!$A$6:$D$8,3,FALSE),IFERROR(VLOOKUP(IF(LEFT(UPPER(TRIM($AE374)),5)="SUPER","SUPER SALUD",IF(LEFT(UPPER(TRIM($AE374)),8)="SECRETAR","SECRETARIA DE SALUD",IF(LEFT(UPPER(TRIM($AE374)),4)="SEDE","SEDE",UPPER(TRIM($AE374))))),Config!$A$6:$D$8,3,FALSE),"")))))</f>
        <v/>
      </c>
      <c r="AH361" s="39">
        <f>IF(OR($E374="",NOT(ISNUMBER($E374)),$AF374="",$AF374="N/A",NOT(ISNUMBER($AF374))),"",IF($AG374="Hábiles",WORKDAY(INT($E374),$AF374,Config!$F$6:$F$39),INT($E374)+$AF374))</f>
        <v/>
      </c>
      <c r="AI361" s="30">
        <f>IF($E374="","",IF(LEFT(UPPER(TRIM($AA374)),8)="FELICITA","⭐ Felicitación",IF(NOT(ISNUMBER($E374)),"⚠ Revisar fecha",IF(UPPER(TRIM($AK374))="RESPONDIDA - CERRADA","✅ Cerrada",IF($AE374="","⚠ Falta entidad",IF($AH374="","⚠ Revisar término",IF(TODAY()&gt;$AH374,"🔴 Vencida",IF($AH374-TODAY()&lt;=Config!$B$12,"🟡 Próxima a vencer","🟢 En término"))))))))</f>
        <v/>
      </c>
      <c r="AJ361" s="42">
        <f>IF(OR($E374="",NOT(ISNUMBER($E374))),"",IF(ISNUMBER($AS374),MAX(0,INT($AS374)-INT($E374)),MAX(0,TODAY()-INT($E374))))</f>
        <v/>
      </c>
      <c r="AK361" s="30" t="n"/>
      <c r="AL361" s="30" t="n"/>
      <c r="AM361" s="30" t="n"/>
      <c r="AN361" s="39" t="n"/>
      <c r="AO361" s="30" t="n"/>
      <c r="AP361" s="30" t="n"/>
      <c r="AQ361" s="39" t="n"/>
      <c r="AR361" s="30" t="n"/>
      <c r="AS361" s="39" t="n"/>
      <c r="AT361" s="30">
        <f>IF(OR($AS374="",NOT(ISNUMBER($AS374)),$AH374=""),"",IF(INT($AS374)&lt;=$AH374,"A tiempo","Fuera de término"))</f>
        <v/>
      </c>
      <c r="AU361" s="40" t="n"/>
      <c r="AV361" s="40" t="n"/>
      <c r="AW361" s="40" t="n"/>
      <c r="AX361" s="40" t="n"/>
      <c r="AY361" s="30" t="n"/>
      <c r="AZ361" s="30" t="n"/>
      <c r="BA361" s="30" t="n"/>
    </row>
    <row r="362" ht="15.75" customHeight="1" s="57">
      <c r="A362" s="29" t="n"/>
      <c r="B362" s="30" t="n"/>
      <c r="C362" s="39" t="n"/>
      <c r="D362" s="39" t="n"/>
      <c r="E362" s="39" t="n"/>
      <c r="F362" s="40" t="n"/>
      <c r="G362" s="30" t="n"/>
      <c r="H362" s="30" t="n"/>
      <c r="I362" s="30" t="n"/>
      <c r="J362" s="30" t="n"/>
      <c r="K362" s="30" t="n"/>
      <c r="L362" s="30" t="n"/>
      <c r="M362" s="30" t="n"/>
      <c r="N362" s="30" t="n"/>
      <c r="O362" s="30" t="n"/>
      <c r="P362" s="30" t="n"/>
      <c r="Q362" s="30" t="n"/>
      <c r="R362" s="30" t="n"/>
      <c r="S362" s="30" t="n"/>
      <c r="T362" s="30" t="n"/>
      <c r="U362" s="30" t="n"/>
      <c r="V362" s="30" t="n"/>
      <c r="W362" s="30" t="n"/>
      <c r="X362" s="30" t="n"/>
      <c r="Y362" s="30" t="n"/>
      <c r="Z362" s="30" t="n"/>
      <c r="AA362" s="30" t="n"/>
      <c r="AB362" s="30" t="n"/>
      <c r="AC362" s="30" t="n"/>
      <c r="AD362" s="41" t="n"/>
      <c r="AE362" s="30" t="n"/>
      <c r="AF362" s="42">
        <f>IF($AA375="","",IF(LEFT(UPPER(TRIM($AA375)),8)="FELICITA","N/A",IF($AE375="","",IFERROR(VLOOKUP(UPPER(TRIM($AE375)),Config!$A$6:$D$8,2,FALSE),IFERROR(VLOOKUP(IF(LEFT(UPPER(TRIM($AE375)),5)="SUPER","SUPER SALUD",IF(LEFT(UPPER(TRIM($AE375)),8)="SECRETAR","SECRETARIA DE SALUD",IF(LEFT(UPPER(TRIM($AE375)),4)="SEDE","SEDE",UPPER(TRIM($AE375))))),Config!$A$6:$D$8,2,FALSE),"⚠")))))</f>
        <v/>
      </c>
      <c r="AG362" s="30">
        <f>IF($AA375="","",IF(LEFT(UPPER(TRIM($AA375)),8)="FELICITA","N/A",IF($AE375="","",IFERROR(VLOOKUP(UPPER(TRIM($AE375)),Config!$A$6:$D$8,3,FALSE),IFERROR(VLOOKUP(IF(LEFT(UPPER(TRIM($AE375)),5)="SUPER","SUPER SALUD",IF(LEFT(UPPER(TRIM($AE375)),8)="SECRETAR","SECRETARIA DE SALUD",IF(LEFT(UPPER(TRIM($AE375)),4)="SEDE","SEDE",UPPER(TRIM($AE375))))),Config!$A$6:$D$8,3,FALSE),"")))))</f>
        <v/>
      </c>
      <c r="AH362" s="39">
        <f>IF(OR($E375="",NOT(ISNUMBER($E375)),$AF375="",$AF375="N/A",NOT(ISNUMBER($AF375))),"",IF($AG375="Hábiles",WORKDAY(INT($E375),$AF375,Config!$F$6:$F$39),INT($E375)+$AF375))</f>
        <v/>
      </c>
      <c r="AI362" s="30">
        <f>IF($E375="","",IF(LEFT(UPPER(TRIM($AA375)),8)="FELICITA","⭐ Felicitación",IF(NOT(ISNUMBER($E375)),"⚠ Revisar fecha",IF(UPPER(TRIM($AK375))="RESPONDIDA - CERRADA","✅ Cerrada",IF($AE375="","⚠ Falta entidad",IF($AH375="","⚠ Revisar término",IF(TODAY()&gt;$AH375,"🔴 Vencida",IF($AH375-TODAY()&lt;=Config!$B$12,"🟡 Próxima a vencer","🟢 En término"))))))))</f>
        <v/>
      </c>
      <c r="AJ362" s="42">
        <f>IF(OR($E375="",NOT(ISNUMBER($E375))),"",IF(ISNUMBER($AS375),MAX(0,INT($AS375)-INT($E375)),MAX(0,TODAY()-INT($E375))))</f>
        <v/>
      </c>
      <c r="AK362" s="30" t="n"/>
      <c r="AL362" s="30" t="n"/>
      <c r="AM362" s="30" t="n"/>
      <c r="AN362" s="39" t="n"/>
      <c r="AO362" s="30" t="n"/>
      <c r="AP362" s="30" t="n"/>
      <c r="AQ362" s="39" t="n"/>
      <c r="AR362" s="30" t="n"/>
      <c r="AS362" s="39" t="n"/>
      <c r="AT362" s="30">
        <f>IF(OR($AS375="",NOT(ISNUMBER($AS375)),$AH375=""),"",IF(INT($AS375)&lt;=$AH375,"A tiempo","Fuera de término"))</f>
        <v/>
      </c>
      <c r="AU362" s="40" t="n"/>
      <c r="AV362" s="40" t="n"/>
      <c r="AW362" s="40" t="n"/>
      <c r="AX362" s="40" t="n"/>
      <c r="AY362" s="30" t="n"/>
      <c r="AZ362" s="30" t="n"/>
      <c r="BA362" s="30" t="n"/>
    </row>
    <row r="363" ht="15.75" customHeight="1" s="57">
      <c r="A363" s="29" t="n"/>
      <c r="B363" s="30" t="n"/>
      <c r="C363" s="39" t="n"/>
      <c r="D363" s="39" t="n"/>
      <c r="E363" s="39" t="n"/>
      <c r="F363" s="40" t="n"/>
      <c r="G363" s="30" t="n"/>
      <c r="H363" s="30" t="n"/>
      <c r="I363" s="30" t="n"/>
      <c r="J363" s="30" t="n"/>
      <c r="K363" s="30" t="n"/>
      <c r="L363" s="30" t="n"/>
      <c r="M363" s="30" t="n"/>
      <c r="N363" s="30" t="n"/>
      <c r="O363" s="30" t="n"/>
      <c r="P363" s="30" t="n"/>
      <c r="Q363" s="30" t="n"/>
      <c r="R363" s="30" t="n"/>
      <c r="S363" s="30" t="n"/>
      <c r="T363" s="30" t="n"/>
      <c r="U363" s="30" t="n"/>
      <c r="V363" s="30" t="n"/>
      <c r="W363" s="30" t="n"/>
      <c r="X363" s="30" t="n"/>
      <c r="Y363" s="30" t="n"/>
      <c r="Z363" s="30" t="n"/>
      <c r="AA363" s="30" t="n"/>
      <c r="AB363" s="30" t="n"/>
      <c r="AC363" s="30" t="n"/>
      <c r="AD363" s="41" t="n"/>
      <c r="AE363" s="30" t="n"/>
      <c r="AF363" s="42">
        <f>IF($AA376="","",IF(LEFT(UPPER(TRIM($AA376)),8)="FELICITA","N/A",IF($AE376="","",IFERROR(VLOOKUP(UPPER(TRIM($AE376)),Config!$A$6:$D$8,2,FALSE),IFERROR(VLOOKUP(IF(LEFT(UPPER(TRIM($AE376)),5)="SUPER","SUPER SALUD",IF(LEFT(UPPER(TRIM($AE376)),8)="SECRETAR","SECRETARIA DE SALUD",IF(LEFT(UPPER(TRIM($AE376)),4)="SEDE","SEDE",UPPER(TRIM($AE376))))),Config!$A$6:$D$8,2,FALSE),"⚠")))))</f>
        <v/>
      </c>
      <c r="AG363" s="30">
        <f>IF($AA376="","",IF(LEFT(UPPER(TRIM($AA376)),8)="FELICITA","N/A",IF($AE376="","",IFERROR(VLOOKUP(UPPER(TRIM($AE376)),Config!$A$6:$D$8,3,FALSE),IFERROR(VLOOKUP(IF(LEFT(UPPER(TRIM($AE376)),5)="SUPER","SUPER SALUD",IF(LEFT(UPPER(TRIM($AE376)),8)="SECRETAR","SECRETARIA DE SALUD",IF(LEFT(UPPER(TRIM($AE376)),4)="SEDE","SEDE",UPPER(TRIM($AE376))))),Config!$A$6:$D$8,3,FALSE),"")))))</f>
        <v/>
      </c>
      <c r="AH363" s="39">
        <f>IF(OR($E376="",NOT(ISNUMBER($E376)),$AF376="",$AF376="N/A",NOT(ISNUMBER($AF376))),"",IF($AG376="Hábiles",WORKDAY(INT($E376),$AF376,Config!$F$6:$F$39),INT($E376)+$AF376))</f>
        <v/>
      </c>
      <c r="AI363" s="30">
        <f>IF($E376="","",IF(LEFT(UPPER(TRIM($AA376)),8)="FELICITA","⭐ Felicitación",IF(NOT(ISNUMBER($E376)),"⚠ Revisar fecha",IF(UPPER(TRIM($AK376))="RESPONDIDA - CERRADA","✅ Cerrada",IF($AE376="","⚠ Falta entidad",IF($AH376="","⚠ Revisar término",IF(TODAY()&gt;$AH376,"🔴 Vencida",IF($AH376-TODAY()&lt;=Config!$B$12,"🟡 Próxima a vencer","🟢 En término"))))))))</f>
        <v/>
      </c>
      <c r="AJ363" s="42">
        <f>IF(OR($E376="",NOT(ISNUMBER($E376))),"",IF(ISNUMBER($AS376),MAX(0,INT($AS376)-INT($E376)),MAX(0,TODAY()-INT($E376))))</f>
        <v/>
      </c>
      <c r="AK363" s="30" t="n"/>
      <c r="AL363" s="30" t="n"/>
      <c r="AM363" s="30" t="n"/>
      <c r="AN363" s="39" t="n"/>
      <c r="AO363" s="30" t="n"/>
      <c r="AP363" s="30" t="n"/>
      <c r="AQ363" s="39" t="n"/>
      <c r="AR363" s="30" t="n"/>
      <c r="AS363" s="39" t="n"/>
      <c r="AT363" s="30">
        <f>IF(OR($AS376="",NOT(ISNUMBER($AS376)),$AH376=""),"",IF(INT($AS376)&lt;=$AH376,"A tiempo","Fuera de término"))</f>
        <v/>
      </c>
      <c r="AU363" s="40" t="n"/>
      <c r="AV363" s="40" t="n"/>
      <c r="AW363" s="40" t="n"/>
      <c r="AX363" s="40" t="n"/>
      <c r="AY363" s="30" t="n"/>
      <c r="AZ363" s="30" t="n"/>
      <c r="BA363" s="30" t="n"/>
    </row>
    <row r="364" ht="15.75" customHeight="1" s="57">
      <c r="A364" s="29" t="n"/>
      <c r="B364" s="30" t="n"/>
      <c r="C364" s="39" t="n"/>
      <c r="D364" s="39" t="n"/>
      <c r="E364" s="39" t="n"/>
      <c r="F364" s="40" t="n"/>
      <c r="G364" s="30" t="n"/>
      <c r="H364" s="30" t="n"/>
      <c r="I364" s="30" t="n"/>
      <c r="J364" s="30" t="n"/>
      <c r="K364" s="30" t="n"/>
      <c r="L364" s="30" t="n"/>
      <c r="M364" s="30" t="n"/>
      <c r="N364" s="30" t="n"/>
      <c r="O364" s="30" t="n"/>
      <c r="P364" s="30" t="n"/>
      <c r="Q364" s="30" t="n"/>
      <c r="R364" s="30" t="n"/>
      <c r="S364" s="30" t="n"/>
      <c r="T364" s="30" t="n"/>
      <c r="U364" s="30" t="n"/>
      <c r="V364" s="30" t="n"/>
      <c r="W364" s="30" t="n"/>
      <c r="X364" s="30" t="n"/>
      <c r="Y364" s="30" t="n"/>
      <c r="Z364" s="30" t="n"/>
      <c r="AA364" s="30" t="n"/>
      <c r="AB364" s="30" t="n"/>
      <c r="AC364" s="30" t="n"/>
      <c r="AD364" s="41" t="n"/>
      <c r="AE364" s="30" t="n"/>
      <c r="AF364" s="42">
        <f>IF($AA377="","",IF(LEFT(UPPER(TRIM($AA377)),8)="FELICITA","N/A",IF($AE377="","",IFERROR(VLOOKUP(UPPER(TRIM($AE377)),Config!$A$6:$D$8,2,FALSE),IFERROR(VLOOKUP(IF(LEFT(UPPER(TRIM($AE377)),5)="SUPER","SUPER SALUD",IF(LEFT(UPPER(TRIM($AE377)),8)="SECRETAR","SECRETARIA DE SALUD",IF(LEFT(UPPER(TRIM($AE377)),4)="SEDE","SEDE",UPPER(TRIM($AE377))))),Config!$A$6:$D$8,2,FALSE),"⚠")))))</f>
        <v/>
      </c>
      <c r="AG364" s="30">
        <f>IF($AA377="","",IF(LEFT(UPPER(TRIM($AA377)),8)="FELICITA","N/A",IF($AE377="","",IFERROR(VLOOKUP(UPPER(TRIM($AE377)),Config!$A$6:$D$8,3,FALSE),IFERROR(VLOOKUP(IF(LEFT(UPPER(TRIM($AE377)),5)="SUPER","SUPER SALUD",IF(LEFT(UPPER(TRIM($AE377)),8)="SECRETAR","SECRETARIA DE SALUD",IF(LEFT(UPPER(TRIM($AE377)),4)="SEDE","SEDE",UPPER(TRIM($AE377))))),Config!$A$6:$D$8,3,FALSE),"")))))</f>
        <v/>
      </c>
      <c r="AH364" s="39">
        <f>IF(OR($E377="",NOT(ISNUMBER($E377)),$AF377="",$AF377="N/A",NOT(ISNUMBER($AF377))),"",IF($AG377="Hábiles",WORKDAY(INT($E377),$AF377,Config!$F$6:$F$39),INT($E377)+$AF377))</f>
        <v/>
      </c>
      <c r="AI364" s="30">
        <f>IF($E377="","",IF(LEFT(UPPER(TRIM($AA377)),8)="FELICITA","⭐ Felicitación",IF(NOT(ISNUMBER($E377)),"⚠ Revisar fecha",IF(UPPER(TRIM($AK377))="RESPONDIDA - CERRADA","✅ Cerrada",IF($AE377="","⚠ Falta entidad",IF($AH377="","⚠ Revisar término",IF(TODAY()&gt;$AH377,"🔴 Vencida",IF($AH377-TODAY()&lt;=Config!$B$12,"🟡 Próxima a vencer","🟢 En término"))))))))</f>
        <v/>
      </c>
      <c r="AJ364" s="42">
        <f>IF(OR($E377="",NOT(ISNUMBER($E377))),"",IF(ISNUMBER($AS377),MAX(0,INT($AS377)-INT($E377)),MAX(0,TODAY()-INT($E377))))</f>
        <v/>
      </c>
      <c r="AK364" s="30" t="n"/>
      <c r="AL364" s="30" t="n"/>
      <c r="AM364" s="30" t="n"/>
      <c r="AN364" s="39" t="n"/>
      <c r="AO364" s="30" t="n"/>
      <c r="AP364" s="30" t="n"/>
      <c r="AQ364" s="39" t="n"/>
      <c r="AR364" s="30" t="n"/>
      <c r="AS364" s="39" t="n"/>
      <c r="AT364" s="30">
        <f>IF(OR($AS377="",NOT(ISNUMBER($AS377)),$AH377=""),"",IF(INT($AS377)&lt;=$AH377,"A tiempo","Fuera de término"))</f>
        <v/>
      </c>
      <c r="AU364" s="40" t="n"/>
      <c r="AV364" s="40" t="n"/>
      <c r="AW364" s="40" t="n"/>
      <c r="AX364" s="40" t="n"/>
      <c r="AY364" s="30" t="n"/>
      <c r="AZ364" s="30" t="n"/>
      <c r="BA364" s="30" t="n"/>
    </row>
    <row r="365" ht="15.75" customHeight="1" s="57">
      <c r="A365" s="29" t="n"/>
      <c r="B365" s="30" t="n"/>
      <c r="C365" s="39" t="n"/>
      <c r="D365" s="39" t="n"/>
      <c r="E365" s="39" t="n"/>
      <c r="F365" s="40" t="n"/>
      <c r="G365" s="30" t="n"/>
      <c r="H365" s="30" t="n"/>
      <c r="I365" s="30" t="n"/>
      <c r="J365" s="30" t="n"/>
      <c r="K365" s="30" t="n"/>
      <c r="L365" s="30" t="n"/>
      <c r="M365" s="30" t="n"/>
      <c r="N365" s="30" t="n"/>
      <c r="O365" s="30" t="n"/>
      <c r="P365" s="30" t="n"/>
      <c r="Q365" s="30" t="n"/>
      <c r="R365" s="30" t="n"/>
      <c r="S365" s="30" t="n"/>
      <c r="T365" s="30" t="n"/>
      <c r="U365" s="30" t="n"/>
      <c r="V365" s="30" t="n"/>
      <c r="W365" s="30" t="n"/>
      <c r="X365" s="30" t="n"/>
      <c r="Y365" s="30" t="n"/>
      <c r="Z365" s="30" t="n"/>
      <c r="AA365" s="30" t="n"/>
      <c r="AB365" s="30" t="n"/>
      <c r="AC365" s="30" t="n"/>
      <c r="AD365" s="41" t="n"/>
      <c r="AE365" s="30" t="n"/>
      <c r="AF365" s="42">
        <f>IF($AA378="","",IF(LEFT(UPPER(TRIM($AA378)),8)="FELICITA","N/A",IF($AE378="","",IFERROR(VLOOKUP(UPPER(TRIM($AE378)),Config!$A$6:$D$8,2,FALSE),IFERROR(VLOOKUP(IF(LEFT(UPPER(TRIM($AE378)),5)="SUPER","SUPER SALUD",IF(LEFT(UPPER(TRIM($AE378)),8)="SECRETAR","SECRETARIA DE SALUD",IF(LEFT(UPPER(TRIM($AE378)),4)="SEDE","SEDE",UPPER(TRIM($AE378))))),Config!$A$6:$D$8,2,FALSE),"⚠")))))</f>
        <v/>
      </c>
      <c r="AG365" s="30">
        <f>IF($AA378="","",IF(LEFT(UPPER(TRIM($AA378)),8)="FELICITA","N/A",IF($AE378="","",IFERROR(VLOOKUP(UPPER(TRIM($AE378)),Config!$A$6:$D$8,3,FALSE),IFERROR(VLOOKUP(IF(LEFT(UPPER(TRIM($AE378)),5)="SUPER","SUPER SALUD",IF(LEFT(UPPER(TRIM($AE378)),8)="SECRETAR","SECRETARIA DE SALUD",IF(LEFT(UPPER(TRIM($AE378)),4)="SEDE","SEDE",UPPER(TRIM($AE378))))),Config!$A$6:$D$8,3,FALSE),"")))))</f>
        <v/>
      </c>
      <c r="AH365" s="39">
        <f>IF(OR($E378="",NOT(ISNUMBER($E378)),$AF378="",$AF378="N/A",NOT(ISNUMBER($AF378))),"",IF($AG378="Hábiles",WORKDAY(INT($E378),$AF378,Config!$F$6:$F$39),INT($E378)+$AF378))</f>
        <v/>
      </c>
      <c r="AI365" s="30">
        <f>IF($E378="","",IF(LEFT(UPPER(TRIM($AA378)),8)="FELICITA","⭐ Felicitación",IF(NOT(ISNUMBER($E378)),"⚠ Revisar fecha",IF(UPPER(TRIM($AK378))="RESPONDIDA - CERRADA","✅ Cerrada",IF($AE378="","⚠ Falta entidad",IF($AH378="","⚠ Revisar término",IF(TODAY()&gt;$AH378,"🔴 Vencida",IF($AH378-TODAY()&lt;=Config!$B$12,"🟡 Próxima a vencer","🟢 En término"))))))))</f>
        <v/>
      </c>
      <c r="AJ365" s="42">
        <f>IF(OR($E378="",NOT(ISNUMBER($E378))),"",IF(ISNUMBER($AS378),MAX(0,INT($AS378)-INT($E378)),MAX(0,TODAY()-INT($E378))))</f>
        <v/>
      </c>
      <c r="AK365" s="30" t="n"/>
      <c r="AL365" s="30" t="n"/>
      <c r="AM365" s="30" t="n"/>
      <c r="AN365" s="39" t="n"/>
      <c r="AO365" s="30" t="n"/>
      <c r="AP365" s="30" t="n"/>
      <c r="AQ365" s="39" t="n"/>
      <c r="AR365" s="30" t="n"/>
      <c r="AS365" s="39" t="n"/>
      <c r="AT365" s="30">
        <f>IF(OR($AS378="",NOT(ISNUMBER($AS378)),$AH378=""),"",IF(INT($AS378)&lt;=$AH378,"A tiempo","Fuera de término"))</f>
        <v/>
      </c>
      <c r="AU365" s="40" t="n"/>
      <c r="AV365" s="40" t="n"/>
      <c r="AW365" s="40" t="n"/>
      <c r="AX365" s="40" t="n"/>
      <c r="AY365" s="30" t="n"/>
      <c r="AZ365" s="30" t="n"/>
      <c r="BA365" s="30" t="n"/>
    </row>
    <row r="366" ht="15.75" customHeight="1" s="57">
      <c r="A366" s="29" t="n"/>
      <c r="B366" s="30" t="n"/>
      <c r="C366" s="39" t="n"/>
      <c r="D366" s="39" t="n"/>
      <c r="E366" s="39" t="n"/>
      <c r="F366" s="40" t="n"/>
      <c r="G366" s="30" t="n"/>
      <c r="H366" s="30" t="n"/>
      <c r="I366" s="30" t="n"/>
      <c r="J366" s="30" t="n"/>
      <c r="K366" s="30" t="n"/>
      <c r="L366" s="30" t="n"/>
      <c r="M366" s="30" t="n"/>
      <c r="N366" s="30" t="n"/>
      <c r="O366" s="30" t="n"/>
      <c r="P366" s="30" t="n"/>
      <c r="Q366" s="30" t="n"/>
      <c r="R366" s="30" t="n"/>
      <c r="S366" s="30" t="n"/>
      <c r="T366" s="30" t="n"/>
      <c r="U366" s="30" t="n"/>
      <c r="V366" s="30" t="n"/>
      <c r="W366" s="30" t="n"/>
      <c r="X366" s="30" t="n"/>
      <c r="Y366" s="30" t="n"/>
      <c r="Z366" s="30" t="n"/>
      <c r="AA366" s="30" t="n"/>
      <c r="AB366" s="30" t="n"/>
      <c r="AC366" s="30" t="n"/>
      <c r="AD366" s="41" t="n"/>
      <c r="AE366" s="30" t="n"/>
      <c r="AF366" s="42">
        <f>IF($AA379="","",IF(LEFT(UPPER(TRIM($AA379)),8)="FELICITA","N/A",IF($AE379="","",IFERROR(VLOOKUP(UPPER(TRIM($AE379)),Config!$A$6:$D$8,2,FALSE),IFERROR(VLOOKUP(IF(LEFT(UPPER(TRIM($AE379)),5)="SUPER","SUPER SALUD",IF(LEFT(UPPER(TRIM($AE379)),8)="SECRETAR","SECRETARIA DE SALUD",IF(LEFT(UPPER(TRIM($AE379)),4)="SEDE","SEDE",UPPER(TRIM($AE379))))),Config!$A$6:$D$8,2,FALSE),"⚠")))))</f>
        <v/>
      </c>
      <c r="AG366" s="30">
        <f>IF($AA379="","",IF(LEFT(UPPER(TRIM($AA379)),8)="FELICITA","N/A",IF($AE379="","",IFERROR(VLOOKUP(UPPER(TRIM($AE379)),Config!$A$6:$D$8,3,FALSE),IFERROR(VLOOKUP(IF(LEFT(UPPER(TRIM($AE379)),5)="SUPER","SUPER SALUD",IF(LEFT(UPPER(TRIM($AE379)),8)="SECRETAR","SECRETARIA DE SALUD",IF(LEFT(UPPER(TRIM($AE379)),4)="SEDE","SEDE",UPPER(TRIM($AE379))))),Config!$A$6:$D$8,3,FALSE),"")))))</f>
        <v/>
      </c>
      <c r="AH366" s="39">
        <f>IF(OR($E379="",NOT(ISNUMBER($E379)),$AF379="",$AF379="N/A",NOT(ISNUMBER($AF379))),"",IF($AG379="Hábiles",WORKDAY(INT($E379),$AF379,Config!$F$6:$F$39),INT($E379)+$AF379))</f>
        <v/>
      </c>
      <c r="AI366" s="30">
        <f>IF($E379="","",IF(LEFT(UPPER(TRIM($AA379)),8)="FELICITA","⭐ Felicitación",IF(NOT(ISNUMBER($E379)),"⚠ Revisar fecha",IF(UPPER(TRIM($AK379))="RESPONDIDA - CERRADA","✅ Cerrada",IF($AE379="","⚠ Falta entidad",IF($AH379="","⚠ Revisar término",IF(TODAY()&gt;$AH379,"🔴 Vencida",IF($AH379-TODAY()&lt;=Config!$B$12,"🟡 Próxima a vencer","🟢 En término"))))))))</f>
        <v/>
      </c>
      <c r="AJ366" s="42">
        <f>IF(OR($E379="",NOT(ISNUMBER($E379))),"",IF(ISNUMBER($AS379),MAX(0,INT($AS379)-INT($E379)),MAX(0,TODAY()-INT($E379))))</f>
        <v/>
      </c>
      <c r="AK366" s="30" t="n"/>
      <c r="AL366" s="30" t="n"/>
      <c r="AM366" s="30" t="n"/>
      <c r="AN366" s="39" t="n"/>
      <c r="AO366" s="30" t="n"/>
      <c r="AP366" s="30" t="n"/>
      <c r="AQ366" s="39" t="n"/>
      <c r="AR366" s="30" t="n"/>
      <c r="AS366" s="39" t="n"/>
      <c r="AT366" s="30">
        <f>IF(OR($AS379="",NOT(ISNUMBER($AS379)),$AH379=""),"",IF(INT($AS379)&lt;=$AH379,"A tiempo","Fuera de término"))</f>
        <v/>
      </c>
      <c r="AU366" s="40" t="n"/>
      <c r="AV366" s="40" t="n"/>
      <c r="AW366" s="40" t="n"/>
      <c r="AX366" s="40" t="n"/>
      <c r="AY366" s="30" t="n"/>
      <c r="AZ366" s="30" t="n"/>
      <c r="BA366" s="30" t="n"/>
    </row>
    <row r="367" ht="15.75" customHeight="1" s="57">
      <c r="A367" s="29" t="n"/>
      <c r="B367" s="30" t="n"/>
      <c r="C367" s="39" t="n"/>
      <c r="D367" s="39" t="n"/>
      <c r="E367" s="39" t="n"/>
      <c r="F367" s="40" t="n"/>
      <c r="G367" s="30" t="n"/>
      <c r="H367" s="30" t="n"/>
      <c r="I367" s="30" t="n"/>
      <c r="J367" s="30" t="n"/>
      <c r="K367" s="30" t="n"/>
      <c r="L367" s="30" t="n"/>
      <c r="M367" s="30" t="n"/>
      <c r="N367" s="30" t="n"/>
      <c r="O367" s="30" t="n"/>
      <c r="P367" s="30" t="n"/>
      <c r="Q367" s="30" t="n"/>
      <c r="R367" s="30" t="n"/>
      <c r="S367" s="30" t="n"/>
      <c r="T367" s="30" t="n"/>
      <c r="U367" s="30" t="n"/>
      <c r="V367" s="30" t="n"/>
      <c r="W367" s="30" t="n"/>
      <c r="X367" s="30" t="n"/>
      <c r="Y367" s="30" t="n"/>
      <c r="Z367" s="30" t="n"/>
      <c r="AA367" s="30" t="n"/>
      <c r="AB367" s="30" t="n"/>
      <c r="AC367" s="30" t="n"/>
      <c r="AD367" s="41" t="n"/>
      <c r="AE367" s="30" t="n"/>
      <c r="AF367" s="42">
        <f>IF($AA380="","",IF(LEFT(UPPER(TRIM($AA380)),8)="FELICITA","N/A",IF($AE380="","",IFERROR(VLOOKUP(UPPER(TRIM($AE380)),Config!$A$6:$D$8,2,FALSE),IFERROR(VLOOKUP(IF(LEFT(UPPER(TRIM($AE380)),5)="SUPER","SUPER SALUD",IF(LEFT(UPPER(TRIM($AE380)),8)="SECRETAR","SECRETARIA DE SALUD",IF(LEFT(UPPER(TRIM($AE380)),4)="SEDE","SEDE",UPPER(TRIM($AE380))))),Config!$A$6:$D$8,2,FALSE),"⚠")))))</f>
        <v/>
      </c>
      <c r="AG367" s="30">
        <f>IF($AA380="","",IF(LEFT(UPPER(TRIM($AA380)),8)="FELICITA","N/A",IF($AE380="","",IFERROR(VLOOKUP(UPPER(TRIM($AE380)),Config!$A$6:$D$8,3,FALSE),IFERROR(VLOOKUP(IF(LEFT(UPPER(TRIM($AE380)),5)="SUPER","SUPER SALUD",IF(LEFT(UPPER(TRIM($AE380)),8)="SECRETAR","SECRETARIA DE SALUD",IF(LEFT(UPPER(TRIM($AE380)),4)="SEDE","SEDE",UPPER(TRIM($AE380))))),Config!$A$6:$D$8,3,FALSE),"")))))</f>
        <v/>
      </c>
      <c r="AH367" s="39">
        <f>IF(OR($E380="",NOT(ISNUMBER($E380)),$AF380="",$AF380="N/A",NOT(ISNUMBER($AF380))),"",IF($AG380="Hábiles",WORKDAY(INT($E380),$AF380,Config!$F$6:$F$39),INT($E380)+$AF380))</f>
        <v/>
      </c>
      <c r="AI367" s="30">
        <f>IF($E380="","",IF(LEFT(UPPER(TRIM($AA380)),8)="FELICITA","⭐ Felicitación",IF(NOT(ISNUMBER($E380)),"⚠ Revisar fecha",IF(UPPER(TRIM($AK380))="RESPONDIDA - CERRADA","✅ Cerrada",IF($AE380="","⚠ Falta entidad",IF($AH380="","⚠ Revisar término",IF(TODAY()&gt;$AH380,"🔴 Vencida",IF($AH380-TODAY()&lt;=Config!$B$12,"🟡 Próxima a vencer","🟢 En término"))))))))</f>
        <v/>
      </c>
      <c r="AJ367" s="42">
        <f>IF(OR($E380="",NOT(ISNUMBER($E380))),"",IF(ISNUMBER($AS380),MAX(0,INT($AS380)-INT($E380)),MAX(0,TODAY()-INT($E380))))</f>
        <v/>
      </c>
      <c r="AK367" s="30" t="n"/>
      <c r="AL367" s="30" t="n"/>
      <c r="AM367" s="30" t="n"/>
      <c r="AN367" s="39" t="n"/>
      <c r="AO367" s="30" t="n"/>
      <c r="AP367" s="30" t="n"/>
      <c r="AQ367" s="39" t="n"/>
      <c r="AR367" s="30" t="n"/>
      <c r="AS367" s="39" t="n"/>
      <c r="AT367" s="30">
        <f>IF(OR($AS380="",NOT(ISNUMBER($AS380)),$AH380=""),"",IF(INT($AS380)&lt;=$AH380,"A tiempo","Fuera de término"))</f>
        <v/>
      </c>
      <c r="AU367" s="40" t="n"/>
      <c r="AV367" s="40" t="n"/>
      <c r="AW367" s="40" t="n"/>
      <c r="AX367" s="40" t="n"/>
      <c r="AY367" s="30" t="n"/>
      <c r="AZ367" s="30" t="n"/>
      <c r="BA367" s="30" t="n"/>
    </row>
    <row r="368" ht="15.75" customHeight="1" s="57">
      <c r="A368" s="29" t="n"/>
      <c r="B368" s="30" t="n"/>
      <c r="C368" s="39" t="n"/>
      <c r="D368" s="39" t="n"/>
      <c r="E368" s="39" t="n"/>
      <c r="F368" s="40" t="n"/>
      <c r="G368" s="30" t="n"/>
      <c r="H368" s="30" t="n"/>
      <c r="I368" s="30" t="n"/>
      <c r="J368" s="30" t="n"/>
      <c r="K368" s="30" t="n"/>
      <c r="L368" s="30" t="n"/>
      <c r="M368" s="30" t="n"/>
      <c r="N368" s="30" t="n"/>
      <c r="O368" s="30" t="n"/>
      <c r="P368" s="30" t="n"/>
      <c r="Q368" s="30" t="n"/>
      <c r="R368" s="30" t="n"/>
      <c r="S368" s="30" t="n"/>
      <c r="T368" s="30" t="n"/>
      <c r="U368" s="30" t="n"/>
      <c r="V368" s="30" t="n"/>
      <c r="W368" s="30" t="n"/>
      <c r="X368" s="30" t="n"/>
      <c r="Y368" s="30" t="n"/>
      <c r="Z368" s="30" t="n"/>
      <c r="AA368" s="30" t="n"/>
      <c r="AB368" s="30" t="n"/>
      <c r="AC368" s="30" t="n"/>
      <c r="AD368" s="41" t="n"/>
      <c r="AE368" s="30" t="n"/>
      <c r="AF368" s="42">
        <f>IF($AA381="","",IF(LEFT(UPPER(TRIM($AA381)),8)="FELICITA","N/A",IF($AE381="","",IFERROR(VLOOKUP(UPPER(TRIM($AE381)),Config!$A$6:$D$8,2,FALSE),IFERROR(VLOOKUP(IF(LEFT(UPPER(TRIM($AE381)),5)="SUPER","SUPER SALUD",IF(LEFT(UPPER(TRIM($AE381)),8)="SECRETAR","SECRETARIA DE SALUD",IF(LEFT(UPPER(TRIM($AE381)),4)="SEDE","SEDE",UPPER(TRIM($AE381))))),Config!$A$6:$D$8,2,FALSE),"⚠")))))</f>
        <v/>
      </c>
      <c r="AG368" s="30">
        <f>IF($AA381="","",IF(LEFT(UPPER(TRIM($AA381)),8)="FELICITA","N/A",IF($AE381="","",IFERROR(VLOOKUP(UPPER(TRIM($AE381)),Config!$A$6:$D$8,3,FALSE),IFERROR(VLOOKUP(IF(LEFT(UPPER(TRIM($AE381)),5)="SUPER","SUPER SALUD",IF(LEFT(UPPER(TRIM($AE381)),8)="SECRETAR","SECRETARIA DE SALUD",IF(LEFT(UPPER(TRIM($AE381)),4)="SEDE","SEDE",UPPER(TRIM($AE381))))),Config!$A$6:$D$8,3,FALSE),"")))))</f>
        <v/>
      </c>
      <c r="AH368" s="39">
        <f>IF(OR($E381="",NOT(ISNUMBER($E381)),$AF381="",$AF381="N/A",NOT(ISNUMBER($AF381))),"",IF($AG381="Hábiles",WORKDAY(INT($E381),$AF381,Config!$F$6:$F$39),INT($E381)+$AF381))</f>
        <v/>
      </c>
      <c r="AI368" s="30">
        <f>IF($E381="","",IF(LEFT(UPPER(TRIM($AA381)),8)="FELICITA","⭐ Felicitación",IF(NOT(ISNUMBER($E381)),"⚠ Revisar fecha",IF(UPPER(TRIM($AK381))="RESPONDIDA - CERRADA","✅ Cerrada",IF($AE381="","⚠ Falta entidad",IF($AH381="","⚠ Revisar término",IF(TODAY()&gt;$AH381,"🔴 Vencida",IF($AH381-TODAY()&lt;=Config!$B$12,"🟡 Próxima a vencer","🟢 En término"))))))))</f>
        <v/>
      </c>
      <c r="AJ368" s="42">
        <f>IF(OR($E381="",NOT(ISNUMBER($E381))),"",IF(ISNUMBER($AS381),MAX(0,INT($AS381)-INT($E381)),MAX(0,TODAY()-INT($E381))))</f>
        <v/>
      </c>
      <c r="AK368" s="30" t="n"/>
      <c r="AL368" s="30" t="n"/>
      <c r="AM368" s="30" t="n"/>
      <c r="AN368" s="39" t="n"/>
      <c r="AO368" s="30" t="n"/>
      <c r="AP368" s="30" t="n"/>
      <c r="AQ368" s="39" t="n"/>
      <c r="AR368" s="30" t="n"/>
      <c r="AS368" s="39" t="n"/>
      <c r="AT368" s="30">
        <f>IF(OR($AS381="",NOT(ISNUMBER($AS381)),$AH381=""),"",IF(INT($AS381)&lt;=$AH381,"A tiempo","Fuera de término"))</f>
        <v/>
      </c>
      <c r="AU368" s="40" t="n"/>
      <c r="AV368" s="40" t="n"/>
      <c r="AW368" s="40" t="n"/>
      <c r="AX368" s="40" t="n"/>
      <c r="AY368" s="30" t="n"/>
      <c r="AZ368" s="30" t="n"/>
      <c r="BA368" s="30" t="n"/>
    </row>
    <row r="369" ht="15.75" customHeight="1" s="57">
      <c r="A369" s="29" t="n"/>
      <c r="B369" s="30" t="n"/>
      <c r="C369" s="39" t="n"/>
      <c r="D369" s="39" t="n"/>
      <c r="E369" s="39" t="n"/>
      <c r="F369" s="40" t="n"/>
      <c r="G369" s="30" t="n"/>
      <c r="H369" s="30" t="n"/>
      <c r="I369" s="30" t="n"/>
      <c r="J369" s="30" t="n"/>
      <c r="K369" s="30" t="n"/>
      <c r="L369" s="30" t="n"/>
      <c r="M369" s="30" t="n"/>
      <c r="N369" s="30" t="n"/>
      <c r="O369" s="30" t="n"/>
      <c r="P369" s="30" t="n"/>
      <c r="Q369" s="30" t="n"/>
      <c r="R369" s="30" t="n"/>
      <c r="S369" s="30" t="n"/>
      <c r="T369" s="30" t="n"/>
      <c r="U369" s="30" t="n"/>
      <c r="V369" s="30" t="n"/>
      <c r="W369" s="30" t="n"/>
      <c r="X369" s="30" t="n"/>
      <c r="Y369" s="30" t="n"/>
      <c r="Z369" s="30" t="n"/>
      <c r="AA369" s="30" t="n"/>
      <c r="AB369" s="30" t="n"/>
      <c r="AC369" s="30" t="n"/>
      <c r="AD369" s="41" t="n"/>
      <c r="AE369" s="30" t="n"/>
      <c r="AF369" s="42">
        <f>IF($AA382="","",IF(LEFT(UPPER(TRIM($AA382)),8)="FELICITA","N/A",IF($AE382="","",IFERROR(VLOOKUP(UPPER(TRIM($AE382)),Config!$A$6:$D$8,2,FALSE),IFERROR(VLOOKUP(IF(LEFT(UPPER(TRIM($AE382)),5)="SUPER","SUPER SALUD",IF(LEFT(UPPER(TRIM($AE382)),8)="SECRETAR","SECRETARIA DE SALUD",IF(LEFT(UPPER(TRIM($AE382)),4)="SEDE","SEDE",UPPER(TRIM($AE382))))),Config!$A$6:$D$8,2,FALSE),"⚠")))))</f>
        <v/>
      </c>
      <c r="AG369" s="30">
        <f>IF($AA382="","",IF(LEFT(UPPER(TRIM($AA382)),8)="FELICITA","N/A",IF($AE382="","",IFERROR(VLOOKUP(UPPER(TRIM($AE382)),Config!$A$6:$D$8,3,FALSE),IFERROR(VLOOKUP(IF(LEFT(UPPER(TRIM($AE382)),5)="SUPER","SUPER SALUD",IF(LEFT(UPPER(TRIM($AE382)),8)="SECRETAR","SECRETARIA DE SALUD",IF(LEFT(UPPER(TRIM($AE382)),4)="SEDE","SEDE",UPPER(TRIM($AE382))))),Config!$A$6:$D$8,3,FALSE),"")))))</f>
        <v/>
      </c>
      <c r="AH369" s="39">
        <f>IF(OR($E382="",NOT(ISNUMBER($E382)),$AF382="",$AF382="N/A",NOT(ISNUMBER($AF382))),"",IF($AG382="Hábiles",WORKDAY(INT($E382),$AF382,Config!$F$6:$F$39),INT($E382)+$AF382))</f>
        <v/>
      </c>
      <c r="AI369" s="30">
        <f>IF($E382="","",IF(LEFT(UPPER(TRIM($AA382)),8)="FELICITA","⭐ Felicitación",IF(NOT(ISNUMBER($E382)),"⚠ Revisar fecha",IF(UPPER(TRIM($AK382))="RESPONDIDA - CERRADA","✅ Cerrada",IF($AE382="","⚠ Falta entidad",IF($AH382="","⚠ Revisar término",IF(TODAY()&gt;$AH382,"🔴 Vencida",IF($AH382-TODAY()&lt;=Config!$B$12,"🟡 Próxima a vencer","🟢 En término"))))))))</f>
        <v/>
      </c>
      <c r="AJ369" s="42">
        <f>IF(OR($E382="",NOT(ISNUMBER($E382))),"",IF(ISNUMBER($AS382),MAX(0,INT($AS382)-INT($E382)),MAX(0,TODAY()-INT($E382))))</f>
        <v/>
      </c>
      <c r="AK369" s="30" t="n"/>
      <c r="AL369" s="30" t="n"/>
      <c r="AM369" s="30" t="n"/>
      <c r="AN369" s="39" t="n"/>
      <c r="AO369" s="30" t="n"/>
      <c r="AP369" s="30" t="n"/>
      <c r="AQ369" s="39" t="n"/>
      <c r="AR369" s="30" t="n"/>
      <c r="AS369" s="39" t="n"/>
      <c r="AT369" s="30">
        <f>IF(OR($AS382="",NOT(ISNUMBER($AS382)),$AH382=""),"",IF(INT($AS382)&lt;=$AH382,"A tiempo","Fuera de término"))</f>
        <v/>
      </c>
      <c r="AU369" s="40" t="n"/>
      <c r="AV369" s="40" t="n"/>
      <c r="AW369" s="40" t="n"/>
      <c r="AX369" s="40" t="n"/>
      <c r="AY369" s="30" t="n"/>
      <c r="AZ369" s="30" t="n"/>
      <c r="BA369" s="30" t="n"/>
    </row>
    <row r="370" ht="15.75" customHeight="1" s="57">
      <c r="A370" s="29" t="n"/>
      <c r="B370" s="30" t="n"/>
      <c r="C370" s="39" t="n"/>
      <c r="D370" s="39" t="n"/>
      <c r="E370" s="39" t="n"/>
      <c r="F370" s="40" t="n"/>
      <c r="G370" s="30" t="n"/>
      <c r="H370" s="30" t="n"/>
      <c r="I370" s="30" t="n"/>
      <c r="J370" s="30" t="n"/>
      <c r="K370" s="30" t="n"/>
      <c r="L370" s="30" t="n"/>
      <c r="M370" s="30" t="n"/>
      <c r="N370" s="30" t="n"/>
      <c r="O370" s="30" t="n"/>
      <c r="P370" s="30" t="n"/>
      <c r="Q370" s="30" t="n"/>
      <c r="R370" s="30" t="n"/>
      <c r="S370" s="30" t="n"/>
      <c r="T370" s="30" t="n"/>
      <c r="U370" s="30" t="n"/>
      <c r="V370" s="30" t="n"/>
      <c r="W370" s="30" t="n"/>
      <c r="X370" s="30" t="n"/>
      <c r="Y370" s="30" t="n"/>
      <c r="Z370" s="30" t="n"/>
      <c r="AA370" s="30" t="n"/>
      <c r="AB370" s="30" t="n"/>
      <c r="AC370" s="30" t="n"/>
      <c r="AD370" s="41" t="n"/>
      <c r="AE370" s="30" t="n"/>
      <c r="AF370" s="42">
        <f>IF($AA383="","",IF(LEFT(UPPER(TRIM($AA383)),8)="FELICITA","N/A",IF($AE383="","",IFERROR(VLOOKUP(UPPER(TRIM($AE383)),Config!$A$6:$D$8,2,FALSE),IFERROR(VLOOKUP(IF(LEFT(UPPER(TRIM($AE383)),5)="SUPER","SUPER SALUD",IF(LEFT(UPPER(TRIM($AE383)),8)="SECRETAR","SECRETARIA DE SALUD",IF(LEFT(UPPER(TRIM($AE383)),4)="SEDE","SEDE",UPPER(TRIM($AE383))))),Config!$A$6:$D$8,2,FALSE),"⚠")))))</f>
        <v/>
      </c>
      <c r="AG370" s="30">
        <f>IF($AA383="","",IF(LEFT(UPPER(TRIM($AA383)),8)="FELICITA","N/A",IF($AE383="","",IFERROR(VLOOKUP(UPPER(TRIM($AE383)),Config!$A$6:$D$8,3,FALSE),IFERROR(VLOOKUP(IF(LEFT(UPPER(TRIM($AE383)),5)="SUPER","SUPER SALUD",IF(LEFT(UPPER(TRIM($AE383)),8)="SECRETAR","SECRETARIA DE SALUD",IF(LEFT(UPPER(TRIM($AE383)),4)="SEDE","SEDE",UPPER(TRIM($AE383))))),Config!$A$6:$D$8,3,FALSE),"")))))</f>
        <v/>
      </c>
      <c r="AH370" s="39">
        <f>IF(OR($E383="",NOT(ISNUMBER($E383)),$AF383="",$AF383="N/A",NOT(ISNUMBER($AF383))),"",IF($AG383="Hábiles",WORKDAY(INT($E383),$AF383,Config!$F$6:$F$39),INT($E383)+$AF383))</f>
        <v/>
      </c>
      <c r="AI370" s="30">
        <f>IF($E383="","",IF(LEFT(UPPER(TRIM($AA383)),8)="FELICITA","⭐ Felicitación",IF(NOT(ISNUMBER($E383)),"⚠ Revisar fecha",IF(UPPER(TRIM($AK383))="RESPONDIDA - CERRADA","✅ Cerrada",IF($AE383="","⚠ Falta entidad",IF($AH383="","⚠ Revisar término",IF(TODAY()&gt;$AH383,"🔴 Vencida",IF($AH383-TODAY()&lt;=Config!$B$12,"🟡 Próxima a vencer","🟢 En término"))))))))</f>
        <v/>
      </c>
      <c r="AJ370" s="42">
        <f>IF(OR($E383="",NOT(ISNUMBER($E383))),"",IF(ISNUMBER($AS383),MAX(0,INT($AS383)-INT($E383)),MAX(0,TODAY()-INT($E383))))</f>
        <v/>
      </c>
      <c r="AK370" s="30" t="n"/>
      <c r="AL370" s="30" t="n"/>
      <c r="AM370" s="30" t="n"/>
      <c r="AN370" s="39" t="n"/>
      <c r="AO370" s="30" t="n"/>
      <c r="AP370" s="30" t="n"/>
      <c r="AQ370" s="39" t="n"/>
      <c r="AR370" s="30" t="n"/>
      <c r="AS370" s="39" t="n"/>
      <c r="AT370" s="30">
        <f>IF(OR($AS383="",NOT(ISNUMBER($AS383)),$AH383=""),"",IF(INT($AS383)&lt;=$AH383,"A tiempo","Fuera de término"))</f>
        <v/>
      </c>
      <c r="AU370" s="40" t="n"/>
      <c r="AV370" s="40" t="n"/>
      <c r="AW370" s="40" t="n"/>
      <c r="AX370" s="40" t="n"/>
      <c r="AY370" s="30" t="n"/>
      <c r="AZ370" s="30" t="n"/>
      <c r="BA370" s="30" t="n"/>
    </row>
    <row r="371" ht="15.75" customHeight="1" s="57">
      <c r="A371" s="29" t="n"/>
      <c r="B371" s="30" t="n"/>
      <c r="C371" s="39" t="n"/>
      <c r="D371" s="39" t="n"/>
      <c r="E371" s="39" t="n"/>
      <c r="F371" s="40" t="n"/>
      <c r="G371" s="30" t="n"/>
      <c r="H371" s="30" t="n"/>
      <c r="I371" s="30" t="n"/>
      <c r="J371" s="30" t="n"/>
      <c r="K371" s="30" t="n"/>
      <c r="L371" s="30" t="n"/>
      <c r="M371" s="30" t="n"/>
      <c r="N371" s="30" t="n"/>
      <c r="O371" s="30" t="n"/>
      <c r="P371" s="30" t="n"/>
      <c r="Q371" s="30" t="n"/>
      <c r="R371" s="30" t="n"/>
      <c r="S371" s="30" t="n"/>
      <c r="T371" s="30" t="n"/>
      <c r="U371" s="30" t="n"/>
      <c r="V371" s="30" t="n"/>
      <c r="W371" s="30" t="n"/>
      <c r="X371" s="30" t="n"/>
      <c r="Y371" s="30" t="n"/>
      <c r="Z371" s="30" t="n"/>
      <c r="AA371" s="30" t="n"/>
      <c r="AB371" s="30" t="n"/>
      <c r="AC371" s="30" t="n"/>
      <c r="AD371" s="41" t="n"/>
      <c r="AE371" s="30" t="n"/>
      <c r="AF371" s="42">
        <f>IF($AA384="","",IF(LEFT(UPPER(TRIM($AA384)),8)="FELICITA","N/A",IF($AE384="","",IFERROR(VLOOKUP(UPPER(TRIM($AE384)),Config!$A$6:$D$8,2,FALSE),IFERROR(VLOOKUP(IF(LEFT(UPPER(TRIM($AE384)),5)="SUPER","SUPER SALUD",IF(LEFT(UPPER(TRIM($AE384)),8)="SECRETAR","SECRETARIA DE SALUD",IF(LEFT(UPPER(TRIM($AE384)),4)="SEDE","SEDE",UPPER(TRIM($AE384))))),Config!$A$6:$D$8,2,FALSE),"⚠")))))</f>
        <v/>
      </c>
      <c r="AG371" s="30">
        <f>IF($AA384="","",IF(LEFT(UPPER(TRIM($AA384)),8)="FELICITA","N/A",IF($AE384="","",IFERROR(VLOOKUP(UPPER(TRIM($AE384)),Config!$A$6:$D$8,3,FALSE),IFERROR(VLOOKUP(IF(LEFT(UPPER(TRIM($AE384)),5)="SUPER","SUPER SALUD",IF(LEFT(UPPER(TRIM($AE384)),8)="SECRETAR","SECRETARIA DE SALUD",IF(LEFT(UPPER(TRIM($AE384)),4)="SEDE","SEDE",UPPER(TRIM($AE384))))),Config!$A$6:$D$8,3,FALSE),"")))))</f>
        <v/>
      </c>
      <c r="AH371" s="39">
        <f>IF(OR($E384="",NOT(ISNUMBER($E384)),$AF384="",$AF384="N/A",NOT(ISNUMBER($AF384))),"",IF($AG384="Hábiles",WORKDAY(INT($E384),$AF384,Config!$F$6:$F$39),INT($E384)+$AF384))</f>
        <v/>
      </c>
      <c r="AI371" s="30">
        <f>IF($E384="","",IF(LEFT(UPPER(TRIM($AA384)),8)="FELICITA","⭐ Felicitación",IF(NOT(ISNUMBER($E384)),"⚠ Revisar fecha",IF(UPPER(TRIM($AK384))="RESPONDIDA - CERRADA","✅ Cerrada",IF($AE384="","⚠ Falta entidad",IF($AH384="","⚠ Revisar término",IF(TODAY()&gt;$AH384,"🔴 Vencida",IF($AH384-TODAY()&lt;=Config!$B$12,"🟡 Próxima a vencer","🟢 En término"))))))))</f>
        <v/>
      </c>
      <c r="AJ371" s="42">
        <f>IF(OR($E384="",NOT(ISNUMBER($E384))),"",IF(ISNUMBER($AS384),MAX(0,INT($AS384)-INT($E384)),MAX(0,TODAY()-INT($E384))))</f>
        <v/>
      </c>
      <c r="AK371" s="30" t="n"/>
      <c r="AL371" s="30" t="n"/>
      <c r="AM371" s="30" t="n"/>
      <c r="AN371" s="39" t="n"/>
      <c r="AO371" s="30" t="n"/>
      <c r="AP371" s="30" t="n"/>
      <c r="AQ371" s="39" t="n"/>
      <c r="AR371" s="30" t="n"/>
      <c r="AS371" s="39" t="n"/>
      <c r="AT371" s="30">
        <f>IF(OR($AS384="",NOT(ISNUMBER($AS384)),$AH384=""),"",IF(INT($AS384)&lt;=$AH384,"A tiempo","Fuera de término"))</f>
        <v/>
      </c>
      <c r="AU371" s="40" t="n"/>
      <c r="AV371" s="40" t="n"/>
      <c r="AW371" s="40" t="n"/>
      <c r="AX371" s="40" t="n"/>
      <c r="AY371" s="30" t="n"/>
      <c r="AZ371" s="30" t="n"/>
      <c r="BA371" s="30" t="n"/>
    </row>
    <row r="372" ht="15.75" customHeight="1" s="57">
      <c r="A372" s="29" t="n"/>
      <c r="B372" s="30" t="n"/>
      <c r="C372" s="39" t="n"/>
      <c r="D372" s="39" t="n"/>
      <c r="E372" s="39" t="n"/>
      <c r="F372" s="40" t="n"/>
      <c r="G372" s="30" t="n"/>
      <c r="H372" s="30" t="n"/>
      <c r="I372" s="30" t="n"/>
      <c r="J372" s="30" t="n"/>
      <c r="K372" s="30" t="n"/>
      <c r="L372" s="30" t="n"/>
      <c r="M372" s="30" t="n"/>
      <c r="N372" s="30" t="n"/>
      <c r="O372" s="30" t="n"/>
      <c r="P372" s="30" t="n"/>
      <c r="Q372" s="30" t="n"/>
      <c r="R372" s="30" t="n"/>
      <c r="S372" s="30" t="n"/>
      <c r="T372" s="30" t="n"/>
      <c r="U372" s="30" t="n"/>
      <c r="V372" s="30" t="n"/>
      <c r="W372" s="30" t="n"/>
      <c r="X372" s="30" t="n"/>
      <c r="Y372" s="30" t="n"/>
      <c r="Z372" s="30" t="n"/>
      <c r="AA372" s="30" t="n"/>
      <c r="AB372" s="30" t="n"/>
      <c r="AC372" s="30" t="n"/>
      <c r="AD372" s="41" t="n"/>
      <c r="AE372" s="30" t="n"/>
      <c r="AF372" s="42">
        <f>IF($AA385="","",IF(LEFT(UPPER(TRIM($AA385)),8)="FELICITA","N/A",IF($AE385="","",IFERROR(VLOOKUP(UPPER(TRIM($AE385)),Config!$A$6:$D$8,2,FALSE),IFERROR(VLOOKUP(IF(LEFT(UPPER(TRIM($AE385)),5)="SUPER","SUPER SALUD",IF(LEFT(UPPER(TRIM($AE385)),8)="SECRETAR","SECRETARIA DE SALUD",IF(LEFT(UPPER(TRIM($AE385)),4)="SEDE","SEDE",UPPER(TRIM($AE385))))),Config!$A$6:$D$8,2,FALSE),"⚠")))))</f>
        <v/>
      </c>
      <c r="AG372" s="30">
        <f>IF($AA385="","",IF(LEFT(UPPER(TRIM($AA385)),8)="FELICITA","N/A",IF($AE385="","",IFERROR(VLOOKUP(UPPER(TRIM($AE385)),Config!$A$6:$D$8,3,FALSE),IFERROR(VLOOKUP(IF(LEFT(UPPER(TRIM($AE385)),5)="SUPER","SUPER SALUD",IF(LEFT(UPPER(TRIM($AE385)),8)="SECRETAR","SECRETARIA DE SALUD",IF(LEFT(UPPER(TRIM($AE385)),4)="SEDE","SEDE",UPPER(TRIM($AE385))))),Config!$A$6:$D$8,3,FALSE),"")))))</f>
        <v/>
      </c>
      <c r="AH372" s="39">
        <f>IF(OR($E385="",NOT(ISNUMBER($E385)),$AF385="",$AF385="N/A",NOT(ISNUMBER($AF385))),"",IF($AG385="Hábiles",WORKDAY(INT($E385),$AF385,Config!$F$6:$F$39),INT($E385)+$AF385))</f>
        <v/>
      </c>
      <c r="AI372" s="30">
        <f>IF($E385="","",IF(LEFT(UPPER(TRIM($AA385)),8)="FELICITA","⭐ Felicitación",IF(NOT(ISNUMBER($E385)),"⚠ Revisar fecha",IF(UPPER(TRIM($AK385))="RESPONDIDA - CERRADA","✅ Cerrada",IF($AE385="","⚠ Falta entidad",IF($AH385="","⚠ Revisar término",IF(TODAY()&gt;$AH385,"🔴 Vencida",IF($AH385-TODAY()&lt;=Config!$B$12,"🟡 Próxima a vencer","🟢 En término"))))))))</f>
        <v/>
      </c>
      <c r="AJ372" s="42">
        <f>IF(OR($E385="",NOT(ISNUMBER($E385))),"",IF(ISNUMBER($AS385),MAX(0,INT($AS385)-INT($E385)),MAX(0,TODAY()-INT($E385))))</f>
        <v/>
      </c>
      <c r="AK372" s="30" t="n"/>
      <c r="AL372" s="30" t="n"/>
      <c r="AM372" s="30" t="n"/>
      <c r="AN372" s="39" t="n"/>
      <c r="AO372" s="30" t="n"/>
      <c r="AP372" s="30" t="n"/>
      <c r="AQ372" s="39" t="n"/>
      <c r="AR372" s="30" t="n"/>
      <c r="AS372" s="39" t="n"/>
      <c r="AT372" s="30">
        <f>IF(OR($AS385="",NOT(ISNUMBER($AS385)),$AH385=""),"",IF(INT($AS385)&lt;=$AH385,"A tiempo","Fuera de término"))</f>
        <v/>
      </c>
      <c r="AU372" s="40" t="n"/>
      <c r="AV372" s="40" t="n"/>
      <c r="AW372" s="40" t="n"/>
      <c r="AX372" s="40" t="n"/>
      <c r="AY372" s="30" t="n"/>
      <c r="AZ372" s="30" t="n"/>
      <c r="BA372" s="30" t="n"/>
    </row>
    <row r="373" ht="15.75" customHeight="1" s="57">
      <c r="A373" s="29" t="n"/>
      <c r="B373" s="30" t="n"/>
      <c r="C373" s="39" t="n"/>
      <c r="D373" s="39" t="n"/>
      <c r="E373" s="39" t="n"/>
      <c r="F373" s="40" t="n"/>
      <c r="G373" s="30" t="n"/>
      <c r="H373" s="30" t="n"/>
      <c r="I373" s="30" t="n"/>
      <c r="J373" s="30" t="n"/>
      <c r="K373" s="30" t="n"/>
      <c r="L373" s="30" t="n"/>
      <c r="M373" s="30" t="n"/>
      <c r="N373" s="30" t="n"/>
      <c r="O373" s="30" t="n"/>
      <c r="P373" s="30" t="n"/>
      <c r="Q373" s="30" t="n"/>
      <c r="R373" s="30" t="n"/>
      <c r="S373" s="30" t="n"/>
      <c r="T373" s="30" t="n"/>
      <c r="U373" s="30" t="n"/>
      <c r="V373" s="30" t="n"/>
      <c r="W373" s="30" t="n"/>
      <c r="X373" s="30" t="n"/>
      <c r="Y373" s="30" t="n"/>
      <c r="Z373" s="30" t="n"/>
      <c r="AA373" s="30" t="n"/>
      <c r="AB373" s="30" t="n"/>
      <c r="AC373" s="30" t="n"/>
      <c r="AD373" s="41" t="n"/>
      <c r="AE373" s="30" t="n"/>
      <c r="AF373" s="42">
        <f>IF($AA386="","",IF(LEFT(UPPER(TRIM($AA386)),8)="FELICITA","N/A",IF($AE386="","",IFERROR(VLOOKUP(UPPER(TRIM($AE386)),Config!$A$6:$D$8,2,FALSE),IFERROR(VLOOKUP(IF(LEFT(UPPER(TRIM($AE386)),5)="SUPER","SUPER SALUD",IF(LEFT(UPPER(TRIM($AE386)),8)="SECRETAR","SECRETARIA DE SALUD",IF(LEFT(UPPER(TRIM($AE386)),4)="SEDE","SEDE",UPPER(TRIM($AE386))))),Config!$A$6:$D$8,2,FALSE),"⚠")))))</f>
        <v/>
      </c>
      <c r="AG373" s="30">
        <f>IF($AA386="","",IF(LEFT(UPPER(TRIM($AA386)),8)="FELICITA","N/A",IF($AE386="","",IFERROR(VLOOKUP(UPPER(TRIM($AE386)),Config!$A$6:$D$8,3,FALSE),IFERROR(VLOOKUP(IF(LEFT(UPPER(TRIM($AE386)),5)="SUPER","SUPER SALUD",IF(LEFT(UPPER(TRIM($AE386)),8)="SECRETAR","SECRETARIA DE SALUD",IF(LEFT(UPPER(TRIM($AE386)),4)="SEDE","SEDE",UPPER(TRIM($AE386))))),Config!$A$6:$D$8,3,FALSE),"")))))</f>
        <v/>
      </c>
      <c r="AH373" s="39">
        <f>IF(OR($E386="",NOT(ISNUMBER($E386)),$AF386="",$AF386="N/A",NOT(ISNUMBER($AF386))),"",IF($AG386="Hábiles",WORKDAY(INT($E386),$AF386,Config!$F$6:$F$39),INT($E386)+$AF386))</f>
        <v/>
      </c>
      <c r="AI373" s="30">
        <f>IF($E386="","",IF(LEFT(UPPER(TRIM($AA386)),8)="FELICITA","⭐ Felicitación",IF(NOT(ISNUMBER($E386)),"⚠ Revisar fecha",IF(UPPER(TRIM($AK386))="RESPONDIDA - CERRADA","✅ Cerrada",IF($AE386="","⚠ Falta entidad",IF($AH386="","⚠ Revisar término",IF(TODAY()&gt;$AH386,"🔴 Vencida",IF($AH386-TODAY()&lt;=Config!$B$12,"🟡 Próxima a vencer","🟢 En término"))))))))</f>
        <v/>
      </c>
      <c r="AJ373" s="42">
        <f>IF(OR($E386="",NOT(ISNUMBER($E386))),"",IF(ISNUMBER($AS386),MAX(0,INT($AS386)-INT($E386)),MAX(0,TODAY()-INT($E386))))</f>
        <v/>
      </c>
      <c r="AK373" s="30" t="n"/>
      <c r="AL373" s="30" t="n"/>
      <c r="AM373" s="30" t="n"/>
      <c r="AN373" s="39" t="n"/>
      <c r="AO373" s="30" t="n"/>
      <c r="AP373" s="30" t="n"/>
      <c r="AQ373" s="39" t="n"/>
      <c r="AR373" s="30" t="n"/>
      <c r="AS373" s="39" t="n"/>
      <c r="AT373" s="30">
        <f>IF(OR($AS386="",NOT(ISNUMBER($AS386)),$AH386=""),"",IF(INT($AS386)&lt;=$AH386,"A tiempo","Fuera de término"))</f>
        <v/>
      </c>
      <c r="AU373" s="40" t="n"/>
      <c r="AV373" s="40" t="n"/>
      <c r="AW373" s="40" t="n"/>
      <c r="AX373" s="40" t="n"/>
      <c r="AY373" s="30" t="n"/>
      <c r="AZ373" s="30" t="n"/>
      <c r="BA373" s="30" t="n"/>
    </row>
    <row r="374" ht="15.75" customHeight="1" s="57">
      <c r="A374" s="29" t="n"/>
      <c r="B374" s="30" t="n"/>
      <c r="C374" s="39" t="n"/>
      <c r="D374" s="39" t="n"/>
      <c r="E374" s="39" t="n"/>
      <c r="F374" s="40" t="n"/>
      <c r="G374" s="30" t="n"/>
      <c r="H374" s="30" t="n"/>
      <c r="I374" s="30" t="n"/>
      <c r="J374" s="30" t="n"/>
      <c r="K374" s="30" t="n"/>
      <c r="L374" s="30" t="n"/>
      <c r="M374" s="30" t="n"/>
      <c r="N374" s="30" t="n"/>
      <c r="O374" s="30" t="n"/>
      <c r="P374" s="30" t="n"/>
      <c r="Q374" s="30" t="n"/>
      <c r="R374" s="30" t="n"/>
      <c r="S374" s="30" t="n"/>
      <c r="T374" s="30" t="n"/>
      <c r="U374" s="30" t="n"/>
      <c r="V374" s="30" t="n"/>
      <c r="W374" s="30" t="n"/>
      <c r="X374" s="30" t="n"/>
      <c r="Y374" s="30" t="n"/>
      <c r="Z374" s="30" t="n"/>
      <c r="AA374" s="30" t="n"/>
      <c r="AB374" s="30" t="n"/>
      <c r="AC374" s="30" t="n"/>
      <c r="AD374" s="41" t="n"/>
      <c r="AE374" s="30" t="n"/>
      <c r="AF374" s="42">
        <f>IF($AA387="","",IF(LEFT(UPPER(TRIM($AA387)),8)="FELICITA","N/A",IF($AE387="","",IFERROR(VLOOKUP(UPPER(TRIM($AE387)),Config!$A$6:$D$8,2,FALSE),IFERROR(VLOOKUP(IF(LEFT(UPPER(TRIM($AE387)),5)="SUPER","SUPER SALUD",IF(LEFT(UPPER(TRIM($AE387)),8)="SECRETAR","SECRETARIA DE SALUD",IF(LEFT(UPPER(TRIM($AE387)),4)="SEDE","SEDE",UPPER(TRIM($AE387))))),Config!$A$6:$D$8,2,FALSE),"⚠")))))</f>
        <v/>
      </c>
      <c r="AG374" s="30">
        <f>IF($AA387="","",IF(LEFT(UPPER(TRIM($AA387)),8)="FELICITA","N/A",IF($AE387="","",IFERROR(VLOOKUP(UPPER(TRIM($AE387)),Config!$A$6:$D$8,3,FALSE),IFERROR(VLOOKUP(IF(LEFT(UPPER(TRIM($AE387)),5)="SUPER","SUPER SALUD",IF(LEFT(UPPER(TRIM($AE387)),8)="SECRETAR","SECRETARIA DE SALUD",IF(LEFT(UPPER(TRIM($AE387)),4)="SEDE","SEDE",UPPER(TRIM($AE387))))),Config!$A$6:$D$8,3,FALSE),"")))))</f>
        <v/>
      </c>
      <c r="AH374" s="39">
        <f>IF(OR($E387="",NOT(ISNUMBER($E387)),$AF387="",$AF387="N/A",NOT(ISNUMBER($AF387))),"",IF($AG387="Hábiles",WORKDAY(INT($E387),$AF387,Config!$F$6:$F$39),INT($E387)+$AF387))</f>
        <v/>
      </c>
      <c r="AI374" s="30">
        <f>IF($E387="","",IF(LEFT(UPPER(TRIM($AA387)),8)="FELICITA","⭐ Felicitación",IF(NOT(ISNUMBER($E387)),"⚠ Revisar fecha",IF(UPPER(TRIM($AK387))="RESPONDIDA - CERRADA","✅ Cerrada",IF($AE387="","⚠ Falta entidad",IF($AH387="","⚠ Revisar término",IF(TODAY()&gt;$AH387,"🔴 Vencida",IF($AH387-TODAY()&lt;=Config!$B$12,"🟡 Próxima a vencer","🟢 En término"))))))))</f>
        <v/>
      </c>
      <c r="AJ374" s="42">
        <f>IF(OR($E387="",NOT(ISNUMBER($E387))),"",IF(ISNUMBER($AS387),MAX(0,INT($AS387)-INT($E387)),MAX(0,TODAY()-INT($E387))))</f>
        <v/>
      </c>
      <c r="AK374" s="30" t="n"/>
      <c r="AL374" s="30" t="n"/>
      <c r="AM374" s="30" t="n"/>
      <c r="AN374" s="39" t="n"/>
      <c r="AO374" s="30" t="n"/>
      <c r="AP374" s="30" t="n"/>
      <c r="AQ374" s="39" t="n"/>
      <c r="AR374" s="30" t="n"/>
      <c r="AS374" s="39" t="n"/>
      <c r="AT374" s="30">
        <f>IF(OR($AS387="",NOT(ISNUMBER($AS387)),$AH387=""),"",IF(INT($AS387)&lt;=$AH387,"A tiempo","Fuera de término"))</f>
        <v/>
      </c>
      <c r="AU374" s="40" t="n"/>
      <c r="AV374" s="40" t="n"/>
      <c r="AW374" s="40" t="n"/>
      <c r="AX374" s="40" t="n"/>
      <c r="AY374" s="30" t="n"/>
      <c r="AZ374" s="30" t="n"/>
      <c r="BA374" s="30" t="n"/>
    </row>
    <row r="375" ht="15.75" customHeight="1" s="57">
      <c r="A375" s="29" t="n"/>
      <c r="B375" s="30" t="n"/>
      <c r="C375" s="39" t="n"/>
      <c r="D375" s="39" t="n"/>
      <c r="E375" s="39" t="n"/>
      <c r="F375" s="40" t="n"/>
      <c r="G375" s="30" t="n"/>
      <c r="H375" s="30" t="n"/>
      <c r="I375" s="30" t="n"/>
      <c r="J375" s="30" t="n"/>
      <c r="K375" s="30" t="n"/>
      <c r="L375" s="30" t="n"/>
      <c r="M375" s="30" t="n"/>
      <c r="N375" s="30" t="n"/>
      <c r="O375" s="30" t="n"/>
      <c r="P375" s="30" t="n"/>
      <c r="Q375" s="30" t="n"/>
      <c r="R375" s="30" t="n"/>
      <c r="S375" s="30" t="n"/>
      <c r="T375" s="30" t="n"/>
      <c r="U375" s="30" t="n"/>
      <c r="V375" s="30" t="n"/>
      <c r="W375" s="30" t="n"/>
      <c r="X375" s="30" t="n"/>
      <c r="Y375" s="30" t="n"/>
      <c r="Z375" s="30" t="n"/>
      <c r="AA375" s="30" t="n"/>
      <c r="AB375" s="30" t="n"/>
      <c r="AC375" s="30" t="n"/>
      <c r="AD375" s="41" t="n"/>
      <c r="AE375" s="30" t="n"/>
      <c r="AF375" s="42">
        <f>IF($AA388="","",IF(LEFT(UPPER(TRIM($AA388)),8)="FELICITA","N/A",IF($AE388="","",IFERROR(VLOOKUP(UPPER(TRIM($AE388)),Config!$A$6:$D$8,2,FALSE),IFERROR(VLOOKUP(IF(LEFT(UPPER(TRIM($AE388)),5)="SUPER","SUPER SALUD",IF(LEFT(UPPER(TRIM($AE388)),8)="SECRETAR","SECRETARIA DE SALUD",IF(LEFT(UPPER(TRIM($AE388)),4)="SEDE","SEDE",UPPER(TRIM($AE388))))),Config!$A$6:$D$8,2,FALSE),"⚠")))))</f>
        <v/>
      </c>
      <c r="AG375" s="30">
        <f>IF($AA388="","",IF(LEFT(UPPER(TRIM($AA388)),8)="FELICITA","N/A",IF($AE388="","",IFERROR(VLOOKUP(UPPER(TRIM($AE388)),Config!$A$6:$D$8,3,FALSE),IFERROR(VLOOKUP(IF(LEFT(UPPER(TRIM($AE388)),5)="SUPER","SUPER SALUD",IF(LEFT(UPPER(TRIM($AE388)),8)="SECRETAR","SECRETARIA DE SALUD",IF(LEFT(UPPER(TRIM($AE388)),4)="SEDE","SEDE",UPPER(TRIM($AE388))))),Config!$A$6:$D$8,3,FALSE),"")))))</f>
        <v/>
      </c>
      <c r="AH375" s="39">
        <f>IF(OR($E388="",NOT(ISNUMBER($E388)),$AF388="",$AF388="N/A",NOT(ISNUMBER($AF388))),"",IF($AG388="Hábiles",WORKDAY(INT($E388),$AF388,Config!$F$6:$F$39),INT($E388)+$AF388))</f>
        <v/>
      </c>
      <c r="AI375" s="30">
        <f>IF($E388="","",IF(LEFT(UPPER(TRIM($AA388)),8)="FELICITA","⭐ Felicitación",IF(NOT(ISNUMBER($E388)),"⚠ Revisar fecha",IF(UPPER(TRIM($AK388))="RESPONDIDA - CERRADA","✅ Cerrada",IF($AE388="","⚠ Falta entidad",IF($AH388="","⚠ Revisar término",IF(TODAY()&gt;$AH388,"🔴 Vencida",IF($AH388-TODAY()&lt;=Config!$B$12,"🟡 Próxima a vencer","🟢 En término"))))))))</f>
        <v/>
      </c>
      <c r="AJ375" s="42">
        <f>IF(OR($E388="",NOT(ISNUMBER($E388))),"",IF(ISNUMBER($AS388),MAX(0,INT($AS388)-INT($E388)),MAX(0,TODAY()-INT($E388))))</f>
        <v/>
      </c>
      <c r="AK375" s="30" t="n"/>
      <c r="AL375" s="30" t="n"/>
      <c r="AM375" s="30" t="n"/>
      <c r="AN375" s="39" t="n"/>
      <c r="AO375" s="30" t="n"/>
      <c r="AP375" s="30" t="n"/>
      <c r="AQ375" s="39" t="n"/>
      <c r="AR375" s="30" t="n"/>
      <c r="AS375" s="39" t="n"/>
      <c r="AT375" s="30">
        <f>IF(OR($AS388="",NOT(ISNUMBER($AS388)),$AH388=""),"",IF(INT($AS388)&lt;=$AH388,"A tiempo","Fuera de término"))</f>
        <v/>
      </c>
      <c r="AU375" s="40" t="n"/>
      <c r="AV375" s="40" t="n"/>
      <c r="AW375" s="40" t="n"/>
      <c r="AX375" s="40" t="n"/>
      <c r="AY375" s="30" t="n"/>
      <c r="AZ375" s="30" t="n"/>
      <c r="BA375" s="30" t="n"/>
    </row>
    <row r="376" ht="15.75" customHeight="1" s="57">
      <c r="A376" s="29" t="n"/>
      <c r="B376" s="30" t="n"/>
      <c r="C376" s="39" t="n"/>
      <c r="D376" s="39" t="n"/>
      <c r="E376" s="39" t="n"/>
      <c r="F376" s="40" t="n"/>
      <c r="G376" s="30" t="n"/>
      <c r="H376" s="30" t="n"/>
      <c r="I376" s="30" t="n"/>
      <c r="J376" s="30" t="n"/>
      <c r="K376" s="30" t="n"/>
      <c r="L376" s="30" t="n"/>
      <c r="M376" s="30" t="n"/>
      <c r="N376" s="30" t="n"/>
      <c r="O376" s="30" t="n"/>
      <c r="P376" s="30" t="n"/>
      <c r="Q376" s="30" t="n"/>
      <c r="R376" s="30" t="n"/>
      <c r="S376" s="30" t="n"/>
      <c r="T376" s="30" t="n"/>
      <c r="U376" s="30" t="n"/>
      <c r="V376" s="30" t="n"/>
      <c r="W376" s="30" t="n"/>
      <c r="X376" s="30" t="n"/>
      <c r="Y376" s="30" t="n"/>
      <c r="Z376" s="30" t="n"/>
      <c r="AA376" s="30" t="n"/>
      <c r="AB376" s="30" t="n"/>
      <c r="AC376" s="30" t="n"/>
      <c r="AD376" s="41" t="n"/>
      <c r="AE376" s="30" t="n"/>
      <c r="AF376" s="42">
        <f>IF($AA389="","",IF(LEFT(UPPER(TRIM($AA389)),8)="FELICITA","N/A",IF($AE389="","",IFERROR(VLOOKUP(UPPER(TRIM($AE389)),Config!$A$6:$D$8,2,FALSE),IFERROR(VLOOKUP(IF(LEFT(UPPER(TRIM($AE389)),5)="SUPER","SUPER SALUD",IF(LEFT(UPPER(TRIM($AE389)),8)="SECRETAR","SECRETARIA DE SALUD",IF(LEFT(UPPER(TRIM($AE389)),4)="SEDE","SEDE",UPPER(TRIM($AE389))))),Config!$A$6:$D$8,2,FALSE),"⚠")))))</f>
        <v/>
      </c>
      <c r="AG376" s="30">
        <f>IF($AA389="","",IF(LEFT(UPPER(TRIM($AA389)),8)="FELICITA","N/A",IF($AE389="","",IFERROR(VLOOKUP(UPPER(TRIM($AE389)),Config!$A$6:$D$8,3,FALSE),IFERROR(VLOOKUP(IF(LEFT(UPPER(TRIM($AE389)),5)="SUPER","SUPER SALUD",IF(LEFT(UPPER(TRIM($AE389)),8)="SECRETAR","SECRETARIA DE SALUD",IF(LEFT(UPPER(TRIM($AE389)),4)="SEDE","SEDE",UPPER(TRIM($AE389))))),Config!$A$6:$D$8,3,FALSE),"")))))</f>
        <v/>
      </c>
      <c r="AH376" s="39">
        <f>IF(OR($E389="",NOT(ISNUMBER($E389)),$AF389="",$AF389="N/A",NOT(ISNUMBER($AF389))),"",IF($AG389="Hábiles",WORKDAY(INT($E389),$AF389,Config!$F$6:$F$39),INT($E389)+$AF389))</f>
        <v/>
      </c>
      <c r="AI376" s="30">
        <f>IF($E389="","",IF(LEFT(UPPER(TRIM($AA389)),8)="FELICITA","⭐ Felicitación",IF(NOT(ISNUMBER($E389)),"⚠ Revisar fecha",IF(UPPER(TRIM($AK389))="RESPONDIDA - CERRADA","✅ Cerrada",IF($AE389="","⚠ Falta entidad",IF($AH389="","⚠ Revisar término",IF(TODAY()&gt;$AH389,"🔴 Vencida",IF($AH389-TODAY()&lt;=Config!$B$12,"🟡 Próxima a vencer","🟢 En término"))))))))</f>
        <v/>
      </c>
      <c r="AJ376" s="42">
        <f>IF(OR($E389="",NOT(ISNUMBER($E389))),"",IF(ISNUMBER($AS389),MAX(0,INT($AS389)-INT($E389)),MAX(0,TODAY()-INT($E389))))</f>
        <v/>
      </c>
      <c r="AK376" s="30" t="n"/>
      <c r="AL376" s="30" t="n"/>
      <c r="AM376" s="30" t="n"/>
      <c r="AN376" s="39" t="n"/>
      <c r="AO376" s="30" t="n"/>
      <c r="AP376" s="30" t="n"/>
      <c r="AQ376" s="39" t="n"/>
      <c r="AR376" s="30" t="n"/>
      <c r="AS376" s="39" t="n"/>
      <c r="AT376" s="30">
        <f>IF(OR($AS389="",NOT(ISNUMBER($AS389)),$AH389=""),"",IF(INT($AS389)&lt;=$AH389,"A tiempo","Fuera de término"))</f>
        <v/>
      </c>
      <c r="AU376" s="40" t="n"/>
      <c r="AV376" s="40" t="n"/>
      <c r="AW376" s="40" t="n"/>
      <c r="AX376" s="40" t="n"/>
      <c r="AY376" s="30" t="n"/>
      <c r="AZ376" s="30" t="n"/>
      <c r="BA376" s="30" t="n"/>
    </row>
    <row r="377" ht="15.75" customHeight="1" s="57">
      <c r="A377" s="29" t="n"/>
      <c r="B377" s="30" t="n"/>
      <c r="C377" s="39" t="n"/>
      <c r="D377" s="39" t="n"/>
      <c r="E377" s="39" t="n"/>
      <c r="F377" s="40" t="n"/>
      <c r="G377" s="30" t="n"/>
      <c r="H377" s="30" t="n"/>
      <c r="I377" s="30" t="n"/>
      <c r="J377" s="30" t="n"/>
      <c r="K377" s="30" t="n"/>
      <c r="L377" s="30" t="n"/>
      <c r="M377" s="30" t="n"/>
      <c r="N377" s="30" t="n"/>
      <c r="O377" s="30" t="n"/>
      <c r="P377" s="30" t="n"/>
      <c r="Q377" s="30" t="n"/>
      <c r="R377" s="30" t="n"/>
      <c r="S377" s="30" t="n"/>
      <c r="T377" s="30" t="n"/>
      <c r="U377" s="30" t="n"/>
      <c r="V377" s="30" t="n"/>
      <c r="W377" s="30" t="n"/>
      <c r="X377" s="30" t="n"/>
      <c r="Y377" s="30" t="n"/>
      <c r="Z377" s="30" t="n"/>
      <c r="AA377" s="30" t="n"/>
      <c r="AB377" s="30" t="n"/>
      <c r="AC377" s="30" t="n"/>
      <c r="AD377" s="41" t="n"/>
      <c r="AE377" s="30" t="n"/>
      <c r="AF377" s="42">
        <f>IF($AA390="","",IF(LEFT(UPPER(TRIM($AA390)),8)="FELICITA","N/A",IF($AE390="","",IFERROR(VLOOKUP(UPPER(TRIM($AE390)),Config!$A$6:$D$8,2,FALSE),IFERROR(VLOOKUP(IF(LEFT(UPPER(TRIM($AE390)),5)="SUPER","SUPER SALUD",IF(LEFT(UPPER(TRIM($AE390)),8)="SECRETAR","SECRETARIA DE SALUD",IF(LEFT(UPPER(TRIM($AE390)),4)="SEDE","SEDE",UPPER(TRIM($AE390))))),Config!$A$6:$D$8,2,FALSE),"⚠")))))</f>
        <v/>
      </c>
      <c r="AG377" s="30">
        <f>IF($AA390="","",IF(LEFT(UPPER(TRIM($AA390)),8)="FELICITA","N/A",IF($AE390="","",IFERROR(VLOOKUP(UPPER(TRIM($AE390)),Config!$A$6:$D$8,3,FALSE),IFERROR(VLOOKUP(IF(LEFT(UPPER(TRIM($AE390)),5)="SUPER","SUPER SALUD",IF(LEFT(UPPER(TRIM($AE390)),8)="SECRETAR","SECRETARIA DE SALUD",IF(LEFT(UPPER(TRIM($AE390)),4)="SEDE","SEDE",UPPER(TRIM($AE390))))),Config!$A$6:$D$8,3,FALSE),"")))))</f>
        <v/>
      </c>
      <c r="AH377" s="39">
        <f>IF(OR($E390="",NOT(ISNUMBER($E390)),$AF390="",$AF390="N/A",NOT(ISNUMBER($AF390))),"",IF($AG390="Hábiles",WORKDAY(INT($E390),$AF390,Config!$F$6:$F$39),INT($E390)+$AF390))</f>
        <v/>
      </c>
      <c r="AI377" s="30">
        <f>IF($E390="","",IF(LEFT(UPPER(TRIM($AA390)),8)="FELICITA","⭐ Felicitación",IF(NOT(ISNUMBER($E390)),"⚠ Revisar fecha",IF(UPPER(TRIM($AK390))="RESPONDIDA - CERRADA","✅ Cerrada",IF($AE390="","⚠ Falta entidad",IF($AH390="","⚠ Revisar término",IF(TODAY()&gt;$AH390,"🔴 Vencida",IF($AH390-TODAY()&lt;=Config!$B$12,"🟡 Próxima a vencer","🟢 En término"))))))))</f>
        <v/>
      </c>
      <c r="AJ377" s="42">
        <f>IF(OR($E390="",NOT(ISNUMBER($E390))),"",IF(ISNUMBER($AS390),MAX(0,INT($AS390)-INT($E390)),MAX(0,TODAY()-INT($E390))))</f>
        <v/>
      </c>
      <c r="AK377" s="30" t="n"/>
      <c r="AL377" s="30" t="n"/>
      <c r="AM377" s="30" t="n"/>
      <c r="AN377" s="39" t="n"/>
      <c r="AO377" s="30" t="n"/>
      <c r="AP377" s="30" t="n"/>
      <c r="AQ377" s="39" t="n"/>
      <c r="AR377" s="30" t="n"/>
      <c r="AS377" s="39" t="n"/>
      <c r="AT377" s="30">
        <f>IF(OR($AS390="",NOT(ISNUMBER($AS390)),$AH390=""),"",IF(INT($AS390)&lt;=$AH390,"A tiempo","Fuera de término"))</f>
        <v/>
      </c>
      <c r="AU377" s="40" t="n"/>
      <c r="AV377" s="40" t="n"/>
      <c r="AW377" s="40" t="n"/>
      <c r="AX377" s="40" t="n"/>
      <c r="AY377" s="30" t="n"/>
      <c r="AZ377" s="30" t="n"/>
      <c r="BA377" s="30" t="n"/>
    </row>
    <row r="378" ht="15.75" customHeight="1" s="57">
      <c r="A378" s="29" t="n"/>
      <c r="B378" s="30" t="n"/>
      <c r="C378" s="39" t="n"/>
      <c r="D378" s="39" t="n"/>
      <c r="E378" s="39" t="n"/>
      <c r="F378" s="40" t="n"/>
      <c r="G378" s="30" t="n"/>
      <c r="H378" s="30" t="n"/>
      <c r="I378" s="30" t="n"/>
      <c r="J378" s="30" t="n"/>
      <c r="K378" s="30" t="n"/>
      <c r="L378" s="30" t="n"/>
      <c r="M378" s="30" t="n"/>
      <c r="N378" s="30" t="n"/>
      <c r="O378" s="30" t="n"/>
      <c r="P378" s="30" t="n"/>
      <c r="Q378" s="30" t="n"/>
      <c r="R378" s="30" t="n"/>
      <c r="S378" s="30" t="n"/>
      <c r="T378" s="30" t="n"/>
      <c r="U378" s="30" t="n"/>
      <c r="V378" s="30" t="n"/>
      <c r="W378" s="30" t="n"/>
      <c r="X378" s="30" t="n"/>
      <c r="Y378" s="30" t="n"/>
      <c r="Z378" s="30" t="n"/>
      <c r="AA378" s="30" t="n"/>
      <c r="AB378" s="30" t="n"/>
      <c r="AC378" s="30" t="n"/>
      <c r="AD378" s="41" t="n"/>
      <c r="AE378" s="30" t="n"/>
      <c r="AF378" s="42">
        <f>IF($AA391="","",IF(LEFT(UPPER(TRIM($AA391)),8)="FELICITA","N/A",IF($AE391="","",IFERROR(VLOOKUP(UPPER(TRIM($AE391)),Config!$A$6:$D$8,2,FALSE),IFERROR(VLOOKUP(IF(LEFT(UPPER(TRIM($AE391)),5)="SUPER","SUPER SALUD",IF(LEFT(UPPER(TRIM($AE391)),8)="SECRETAR","SECRETARIA DE SALUD",IF(LEFT(UPPER(TRIM($AE391)),4)="SEDE","SEDE",UPPER(TRIM($AE391))))),Config!$A$6:$D$8,2,FALSE),"⚠")))))</f>
        <v/>
      </c>
      <c r="AG378" s="30">
        <f>IF($AA391="","",IF(LEFT(UPPER(TRIM($AA391)),8)="FELICITA","N/A",IF($AE391="","",IFERROR(VLOOKUP(UPPER(TRIM($AE391)),Config!$A$6:$D$8,3,FALSE),IFERROR(VLOOKUP(IF(LEFT(UPPER(TRIM($AE391)),5)="SUPER","SUPER SALUD",IF(LEFT(UPPER(TRIM($AE391)),8)="SECRETAR","SECRETARIA DE SALUD",IF(LEFT(UPPER(TRIM($AE391)),4)="SEDE","SEDE",UPPER(TRIM($AE391))))),Config!$A$6:$D$8,3,FALSE),"")))))</f>
        <v/>
      </c>
      <c r="AH378" s="39">
        <f>IF(OR($E391="",NOT(ISNUMBER($E391)),$AF391="",$AF391="N/A",NOT(ISNUMBER($AF391))),"",IF($AG391="Hábiles",WORKDAY(INT($E391),$AF391,Config!$F$6:$F$39),INT($E391)+$AF391))</f>
        <v/>
      </c>
      <c r="AI378" s="30">
        <f>IF($E391="","",IF(LEFT(UPPER(TRIM($AA391)),8)="FELICITA","⭐ Felicitación",IF(NOT(ISNUMBER($E391)),"⚠ Revisar fecha",IF(UPPER(TRIM($AK391))="RESPONDIDA - CERRADA","✅ Cerrada",IF($AE391="","⚠ Falta entidad",IF($AH391="","⚠ Revisar término",IF(TODAY()&gt;$AH391,"🔴 Vencida",IF($AH391-TODAY()&lt;=Config!$B$12,"🟡 Próxima a vencer","🟢 En término"))))))))</f>
        <v/>
      </c>
      <c r="AJ378" s="42">
        <f>IF(OR($E391="",NOT(ISNUMBER($E391))),"",IF(ISNUMBER($AS391),MAX(0,INT($AS391)-INT($E391)),MAX(0,TODAY()-INT($E391))))</f>
        <v/>
      </c>
      <c r="AK378" s="30" t="n"/>
      <c r="AL378" s="30" t="n"/>
      <c r="AM378" s="30" t="n"/>
      <c r="AN378" s="39" t="n"/>
      <c r="AO378" s="30" t="n"/>
      <c r="AP378" s="30" t="n"/>
      <c r="AQ378" s="39" t="n"/>
      <c r="AR378" s="30" t="n"/>
      <c r="AS378" s="39" t="n"/>
      <c r="AT378" s="30">
        <f>IF(OR($AS391="",NOT(ISNUMBER($AS391)),$AH391=""),"",IF(INT($AS391)&lt;=$AH391,"A tiempo","Fuera de término"))</f>
        <v/>
      </c>
      <c r="AU378" s="40" t="n"/>
      <c r="AV378" s="40" t="n"/>
      <c r="AW378" s="40" t="n"/>
      <c r="AX378" s="40" t="n"/>
      <c r="AY378" s="30" t="n"/>
      <c r="AZ378" s="30" t="n"/>
      <c r="BA378" s="30" t="n"/>
    </row>
    <row r="379" ht="15.75" customHeight="1" s="57">
      <c r="A379" s="29" t="n"/>
      <c r="B379" s="30" t="n"/>
      <c r="C379" s="39" t="n"/>
      <c r="D379" s="39" t="n"/>
      <c r="E379" s="39" t="n"/>
      <c r="F379" s="40" t="n"/>
      <c r="G379" s="30" t="n"/>
      <c r="H379" s="30" t="n"/>
      <c r="I379" s="30" t="n"/>
      <c r="J379" s="30" t="n"/>
      <c r="K379" s="30" t="n"/>
      <c r="L379" s="30" t="n"/>
      <c r="M379" s="30" t="n"/>
      <c r="N379" s="30" t="n"/>
      <c r="O379" s="30" t="n"/>
      <c r="P379" s="30" t="n"/>
      <c r="Q379" s="30" t="n"/>
      <c r="R379" s="30" t="n"/>
      <c r="S379" s="30" t="n"/>
      <c r="T379" s="30" t="n"/>
      <c r="U379" s="30" t="n"/>
      <c r="V379" s="30" t="n"/>
      <c r="W379" s="30" t="n"/>
      <c r="X379" s="30" t="n"/>
      <c r="Y379" s="30" t="n"/>
      <c r="Z379" s="30" t="n"/>
      <c r="AA379" s="30" t="n"/>
      <c r="AB379" s="30" t="n"/>
      <c r="AC379" s="30" t="n"/>
      <c r="AD379" s="41" t="n"/>
      <c r="AE379" s="30" t="n"/>
      <c r="AF379" s="42">
        <f>IF($AA392="","",IF(LEFT(UPPER(TRIM($AA392)),8)="FELICITA","N/A",IF($AE392="","",IFERROR(VLOOKUP(UPPER(TRIM($AE392)),Config!$A$6:$D$8,2,FALSE),IFERROR(VLOOKUP(IF(LEFT(UPPER(TRIM($AE392)),5)="SUPER","SUPER SALUD",IF(LEFT(UPPER(TRIM($AE392)),8)="SECRETAR","SECRETARIA DE SALUD",IF(LEFT(UPPER(TRIM($AE392)),4)="SEDE","SEDE",UPPER(TRIM($AE392))))),Config!$A$6:$D$8,2,FALSE),"⚠")))))</f>
        <v/>
      </c>
      <c r="AG379" s="30">
        <f>IF($AA392="","",IF(LEFT(UPPER(TRIM($AA392)),8)="FELICITA","N/A",IF($AE392="","",IFERROR(VLOOKUP(UPPER(TRIM($AE392)),Config!$A$6:$D$8,3,FALSE),IFERROR(VLOOKUP(IF(LEFT(UPPER(TRIM($AE392)),5)="SUPER","SUPER SALUD",IF(LEFT(UPPER(TRIM($AE392)),8)="SECRETAR","SECRETARIA DE SALUD",IF(LEFT(UPPER(TRIM($AE392)),4)="SEDE","SEDE",UPPER(TRIM($AE392))))),Config!$A$6:$D$8,3,FALSE),"")))))</f>
        <v/>
      </c>
      <c r="AH379" s="39">
        <f>IF(OR($E392="",NOT(ISNUMBER($E392)),$AF392="",$AF392="N/A",NOT(ISNUMBER($AF392))),"",IF($AG392="Hábiles",WORKDAY(INT($E392),$AF392,Config!$F$6:$F$39),INT($E392)+$AF392))</f>
        <v/>
      </c>
      <c r="AI379" s="30">
        <f>IF($E392="","",IF(LEFT(UPPER(TRIM($AA392)),8)="FELICITA","⭐ Felicitación",IF(NOT(ISNUMBER($E392)),"⚠ Revisar fecha",IF(UPPER(TRIM($AK392))="RESPONDIDA - CERRADA","✅ Cerrada",IF($AE392="","⚠ Falta entidad",IF($AH392="","⚠ Revisar término",IF(TODAY()&gt;$AH392,"🔴 Vencida",IF($AH392-TODAY()&lt;=Config!$B$12,"🟡 Próxima a vencer","🟢 En término"))))))))</f>
        <v/>
      </c>
      <c r="AJ379" s="42">
        <f>IF(OR($E392="",NOT(ISNUMBER($E392))),"",IF(ISNUMBER($AS392),MAX(0,INT($AS392)-INT($E392)),MAX(0,TODAY()-INT($E392))))</f>
        <v/>
      </c>
      <c r="AK379" s="30" t="n"/>
      <c r="AL379" s="30" t="n"/>
      <c r="AM379" s="30" t="n"/>
      <c r="AN379" s="39" t="n"/>
      <c r="AO379" s="30" t="n"/>
      <c r="AP379" s="30" t="n"/>
      <c r="AQ379" s="39" t="n"/>
      <c r="AR379" s="30" t="n"/>
      <c r="AS379" s="39" t="n"/>
      <c r="AT379" s="30">
        <f>IF(OR($AS392="",NOT(ISNUMBER($AS392)),$AH392=""),"",IF(INT($AS392)&lt;=$AH392,"A tiempo","Fuera de término"))</f>
        <v/>
      </c>
      <c r="AU379" s="40" t="n"/>
      <c r="AV379" s="40" t="n"/>
      <c r="AW379" s="40" t="n"/>
      <c r="AX379" s="40" t="n"/>
      <c r="AY379" s="30" t="n"/>
      <c r="AZ379" s="30" t="n"/>
      <c r="BA379" s="30" t="n"/>
    </row>
    <row r="380" ht="15.75" customHeight="1" s="57">
      <c r="A380" s="29" t="n"/>
      <c r="B380" s="30" t="n"/>
      <c r="C380" s="39" t="n"/>
      <c r="D380" s="39" t="n"/>
      <c r="E380" s="39" t="n"/>
      <c r="F380" s="40" t="n"/>
      <c r="G380" s="30" t="n"/>
      <c r="H380" s="30" t="n"/>
      <c r="I380" s="30" t="n"/>
      <c r="J380" s="30" t="n"/>
      <c r="K380" s="30" t="n"/>
      <c r="L380" s="30" t="n"/>
      <c r="M380" s="30" t="n"/>
      <c r="N380" s="30" t="n"/>
      <c r="O380" s="30" t="n"/>
      <c r="P380" s="30" t="n"/>
      <c r="Q380" s="30" t="n"/>
      <c r="R380" s="30" t="n"/>
      <c r="S380" s="30" t="n"/>
      <c r="T380" s="30" t="n"/>
      <c r="U380" s="30" t="n"/>
      <c r="V380" s="30" t="n"/>
      <c r="W380" s="30" t="n"/>
      <c r="X380" s="30" t="n"/>
      <c r="Y380" s="30" t="n"/>
      <c r="Z380" s="30" t="n"/>
      <c r="AA380" s="30" t="n"/>
      <c r="AB380" s="30" t="n"/>
      <c r="AC380" s="30" t="n"/>
      <c r="AD380" s="41" t="n"/>
      <c r="AE380" s="30" t="n"/>
      <c r="AF380" s="42">
        <f>IF($AA393="","",IF(LEFT(UPPER(TRIM($AA393)),8)="FELICITA","N/A",IF($AE393="","",IFERROR(VLOOKUP(UPPER(TRIM($AE393)),Config!$A$6:$D$8,2,FALSE),IFERROR(VLOOKUP(IF(LEFT(UPPER(TRIM($AE393)),5)="SUPER","SUPER SALUD",IF(LEFT(UPPER(TRIM($AE393)),8)="SECRETAR","SECRETARIA DE SALUD",IF(LEFT(UPPER(TRIM($AE393)),4)="SEDE","SEDE",UPPER(TRIM($AE393))))),Config!$A$6:$D$8,2,FALSE),"⚠")))))</f>
        <v/>
      </c>
      <c r="AG380" s="30">
        <f>IF($AA393="","",IF(LEFT(UPPER(TRIM($AA393)),8)="FELICITA","N/A",IF($AE393="","",IFERROR(VLOOKUP(UPPER(TRIM($AE393)),Config!$A$6:$D$8,3,FALSE),IFERROR(VLOOKUP(IF(LEFT(UPPER(TRIM($AE393)),5)="SUPER","SUPER SALUD",IF(LEFT(UPPER(TRIM($AE393)),8)="SECRETAR","SECRETARIA DE SALUD",IF(LEFT(UPPER(TRIM($AE393)),4)="SEDE","SEDE",UPPER(TRIM($AE393))))),Config!$A$6:$D$8,3,FALSE),"")))))</f>
        <v/>
      </c>
      <c r="AH380" s="39">
        <f>IF(OR($E393="",NOT(ISNUMBER($E393)),$AF393="",$AF393="N/A",NOT(ISNUMBER($AF393))),"",IF($AG393="Hábiles",WORKDAY(INT($E393),$AF393,Config!$F$6:$F$39),INT($E393)+$AF393))</f>
        <v/>
      </c>
      <c r="AI380" s="30">
        <f>IF($E393="","",IF(LEFT(UPPER(TRIM($AA393)),8)="FELICITA","⭐ Felicitación",IF(NOT(ISNUMBER($E393)),"⚠ Revisar fecha",IF(UPPER(TRIM($AK393))="RESPONDIDA - CERRADA","✅ Cerrada",IF($AE393="","⚠ Falta entidad",IF($AH393="","⚠ Revisar término",IF(TODAY()&gt;$AH393,"🔴 Vencida",IF($AH393-TODAY()&lt;=Config!$B$12,"🟡 Próxima a vencer","🟢 En término"))))))))</f>
        <v/>
      </c>
      <c r="AJ380" s="42">
        <f>IF(OR($E393="",NOT(ISNUMBER($E393))),"",IF(ISNUMBER($AS393),MAX(0,INT($AS393)-INT($E393)),MAX(0,TODAY()-INT($E393))))</f>
        <v/>
      </c>
      <c r="AK380" s="30" t="n"/>
      <c r="AL380" s="30" t="n"/>
      <c r="AM380" s="30" t="n"/>
      <c r="AN380" s="39" t="n"/>
      <c r="AO380" s="30" t="n"/>
      <c r="AP380" s="30" t="n"/>
      <c r="AQ380" s="39" t="n"/>
      <c r="AR380" s="30" t="n"/>
      <c r="AS380" s="39" t="n"/>
      <c r="AT380" s="30">
        <f>IF(OR($AS393="",NOT(ISNUMBER($AS393)),$AH393=""),"",IF(INT($AS393)&lt;=$AH393,"A tiempo","Fuera de término"))</f>
        <v/>
      </c>
      <c r="AU380" s="40" t="n"/>
      <c r="AV380" s="40" t="n"/>
      <c r="AW380" s="40" t="n"/>
      <c r="AX380" s="40" t="n"/>
      <c r="AY380" s="30" t="n"/>
      <c r="AZ380" s="30" t="n"/>
      <c r="BA380" s="30" t="n"/>
    </row>
    <row r="381" ht="15.75" customHeight="1" s="57">
      <c r="A381" s="29" t="n"/>
      <c r="B381" s="30" t="n"/>
      <c r="C381" s="39" t="n"/>
      <c r="D381" s="39" t="n"/>
      <c r="E381" s="39" t="n"/>
      <c r="F381" s="40" t="n"/>
      <c r="G381" s="30" t="n"/>
      <c r="H381" s="30" t="n"/>
      <c r="I381" s="30" t="n"/>
      <c r="J381" s="30" t="n"/>
      <c r="K381" s="30" t="n"/>
      <c r="L381" s="30" t="n"/>
      <c r="M381" s="30" t="n"/>
      <c r="N381" s="30" t="n"/>
      <c r="O381" s="30" t="n"/>
      <c r="P381" s="30" t="n"/>
      <c r="Q381" s="30" t="n"/>
      <c r="R381" s="30" t="n"/>
      <c r="S381" s="30" t="n"/>
      <c r="T381" s="30" t="n"/>
      <c r="U381" s="30" t="n"/>
      <c r="V381" s="30" t="n"/>
      <c r="W381" s="30" t="n"/>
      <c r="X381" s="30" t="n"/>
      <c r="Y381" s="30" t="n"/>
      <c r="Z381" s="30" t="n"/>
      <c r="AA381" s="30" t="n"/>
      <c r="AB381" s="30" t="n"/>
      <c r="AC381" s="30" t="n"/>
      <c r="AD381" s="41" t="n"/>
      <c r="AE381" s="30" t="n"/>
      <c r="AF381" s="42">
        <f>IF($AA394="","",IF(LEFT(UPPER(TRIM($AA394)),8)="FELICITA","N/A",IF($AE394="","",IFERROR(VLOOKUP(UPPER(TRIM($AE394)),Config!$A$6:$D$8,2,FALSE),IFERROR(VLOOKUP(IF(LEFT(UPPER(TRIM($AE394)),5)="SUPER","SUPER SALUD",IF(LEFT(UPPER(TRIM($AE394)),8)="SECRETAR","SECRETARIA DE SALUD",IF(LEFT(UPPER(TRIM($AE394)),4)="SEDE","SEDE",UPPER(TRIM($AE394))))),Config!$A$6:$D$8,2,FALSE),"⚠")))))</f>
        <v/>
      </c>
      <c r="AG381" s="30">
        <f>IF($AA394="","",IF(LEFT(UPPER(TRIM($AA394)),8)="FELICITA","N/A",IF($AE394="","",IFERROR(VLOOKUP(UPPER(TRIM($AE394)),Config!$A$6:$D$8,3,FALSE),IFERROR(VLOOKUP(IF(LEFT(UPPER(TRIM($AE394)),5)="SUPER","SUPER SALUD",IF(LEFT(UPPER(TRIM($AE394)),8)="SECRETAR","SECRETARIA DE SALUD",IF(LEFT(UPPER(TRIM($AE394)),4)="SEDE","SEDE",UPPER(TRIM($AE394))))),Config!$A$6:$D$8,3,FALSE),"")))))</f>
        <v/>
      </c>
      <c r="AH381" s="39">
        <f>IF(OR($E394="",NOT(ISNUMBER($E394)),$AF394="",$AF394="N/A",NOT(ISNUMBER($AF394))),"",IF($AG394="Hábiles",WORKDAY(INT($E394),$AF394,Config!$F$6:$F$39),INT($E394)+$AF394))</f>
        <v/>
      </c>
      <c r="AI381" s="30">
        <f>IF($E394="","",IF(LEFT(UPPER(TRIM($AA394)),8)="FELICITA","⭐ Felicitación",IF(NOT(ISNUMBER($E394)),"⚠ Revisar fecha",IF(UPPER(TRIM($AK394))="RESPONDIDA - CERRADA","✅ Cerrada",IF($AE394="","⚠ Falta entidad",IF($AH394="","⚠ Revisar término",IF(TODAY()&gt;$AH394,"🔴 Vencida",IF($AH394-TODAY()&lt;=Config!$B$12,"🟡 Próxima a vencer","🟢 En término"))))))))</f>
        <v/>
      </c>
      <c r="AJ381" s="42">
        <f>IF(OR($E394="",NOT(ISNUMBER($E394))),"",IF(ISNUMBER($AS394),MAX(0,INT($AS394)-INT($E394)),MAX(0,TODAY()-INT($E394))))</f>
        <v/>
      </c>
      <c r="AK381" s="30" t="n"/>
      <c r="AL381" s="30" t="n"/>
      <c r="AM381" s="30" t="n"/>
      <c r="AN381" s="39" t="n"/>
      <c r="AO381" s="30" t="n"/>
      <c r="AP381" s="30" t="n"/>
      <c r="AQ381" s="39" t="n"/>
      <c r="AR381" s="30" t="n"/>
      <c r="AS381" s="39" t="n"/>
      <c r="AT381" s="30">
        <f>IF(OR($AS394="",NOT(ISNUMBER($AS394)),$AH394=""),"",IF(INT($AS394)&lt;=$AH394,"A tiempo","Fuera de término"))</f>
        <v/>
      </c>
      <c r="AU381" s="40" t="n"/>
      <c r="AV381" s="40" t="n"/>
      <c r="AW381" s="40" t="n"/>
      <c r="AX381" s="40" t="n"/>
      <c r="AY381" s="30" t="n"/>
      <c r="AZ381" s="30" t="n"/>
      <c r="BA381" s="30" t="n"/>
    </row>
    <row r="382" ht="15.75" customHeight="1" s="57">
      <c r="A382" s="29" t="n"/>
      <c r="B382" s="30" t="n"/>
      <c r="C382" s="39" t="n"/>
      <c r="D382" s="39" t="n"/>
      <c r="E382" s="39" t="n"/>
      <c r="F382" s="40" t="n"/>
      <c r="G382" s="30" t="n"/>
      <c r="H382" s="30" t="n"/>
      <c r="I382" s="30" t="n"/>
      <c r="J382" s="30" t="n"/>
      <c r="K382" s="30" t="n"/>
      <c r="L382" s="30" t="n"/>
      <c r="M382" s="30" t="n"/>
      <c r="N382" s="30" t="n"/>
      <c r="O382" s="30" t="n"/>
      <c r="P382" s="30" t="n"/>
      <c r="Q382" s="30" t="n"/>
      <c r="R382" s="30" t="n"/>
      <c r="S382" s="30" t="n"/>
      <c r="T382" s="30" t="n"/>
      <c r="U382" s="30" t="n"/>
      <c r="V382" s="30" t="n"/>
      <c r="W382" s="30" t="n"/>
      <c r="X382" s="30" t="n"/>
      <c r="Y382" s="30" t="n"/>
      <c r="Z382" s="30" t="n"/>
      <c r="AA382" s="30" t="n"/>
      <c r="AB382" s="30" t="n"/>
      <c r="AC382" s="30" t="n"/>
      <c r="AD382" s="41" t="n"/>
      <c r="AE382" s="30" t="n"/>
      <c r="AF382" s="42">
        <f>IF($AA395="","",IF(LEFT(UPPER(TRIM($AA395)),8)="FELICITA","N/A",IF($AE395="","",IFERROR(VLOOKUP(UPPER(TRIM($AE395)),Config!$A$6:$D$8,2,FALSE),IFERROR(VLOOKUP(IF(LEFT(UPPER(TRIM($AE395)),5)="SUPER","SUPER SALUD",IF(LEFT(UPPER(TRIM($AE395)),8)="SECRETAR","SECRETARIA DE SALUD",IF(LEFT(UPPER(TRIM($AE395)),4)="SEDE","SEDE",UPPER(TRIM($AE395))))),Config!$A$6:$D$8,2,FALSE),"⚠")))))</f>
        <v/>
      </c>
      <c r="AG382" s="30">
        <f>IF($AA395="","",IF(LEFT(UPPER(TRIM($AA395)),8)="FELICITA","N/A",IF($AE395="","",IFERROR(VLOOKUP(UPPER(TRIM($AE395)),Config!$A$6:$D$8,3,FALSE),IFERROR(VLOOKUP(IF(LEFT(UPPER(TRIM($AE395)),5)="SUPER","SUPER SALUD",IF(LEFT(UPPER(TRIM($AE395)),8)="SECRETAR","SECRETARIA DE SALUD",IF(LEFT(UPPER(TRIM($AE395)),4)="SEDE","SEDE",UPPER(TRIM($AE395))))),Config!$A$6:$D$8,3,FALSE),"")))))</f>
        <v/>
      </c>
      <c r="AH382" s="39">
        <f>IF(OR($E395="",NOT(ISNUMBER($E395)),$AF395="",$AF395="N/A",NOT(ISNUMBER($AF395))),"",IF($AG395="Hábiles",WORKDAY(INT($E395),$AF395,Config!$F$6:$F$39),INT($E395)+$AF395))</f>
        <v/>
      </c>
      <c r="AI382" s="30">
        <f>IF($E395="","",IF(LEFT(UPPER(TRIM($AA395)),8)="FELICITA","⭐ Felicitación",IF(NOT(ISNUMBER($E395)),"⚠ Revisar fecha",IF(UPPER(TRIM($AK395))="RESPONDIDA - CERRADA","✅ Cerrada",IF($AE395="","⚠ Falta entidad",IF($AH395="","⚠ Revisar término",IF(TODAY()&gt;$AH395,"🔴 Vencida",IF($AH395-TODAY()&lt;=Config!$B$12,"🟡 Próxima a vencer","🟢 En término"))))))))</f>
        <v/>
      </c>
      <c r="AJ382" s="42">
        <f>IF(OR($E395="",NOT(ISNUMBER($E395))),"",IF(ISNUMBER($AS395),MAX(0,INT($AS395)-INT($E395)),MAX(0,TODAY()-INT($E395))))</f>
        <v/>
      </c>
      <c r="AK382" s="30" t="n"/>
      <c r="AL382" s="30" t="n"/>
      <c r="AM382" s="30" t="n"/>
      <c r="AN382" s="39" t="n"/>
      <c r="AO382" s="30" t="n"/>
      <c r="AP382" s="30" t="n"/>
      <c r="AQ382" s="39" t="n"/>
      <c r="AR382" s="30" t="n"/>
      <c r="AS382" s="39" t="n"/>
      <c r="AT382" s="30">
        <f>IF(OR($AS395="",NOT(ISNUMBER($AS395)),$AH395=""),"",IF(INT($AS395)&lt;=$AH395,"A tiempo","Fuera de término"))</f>
        <v/>
      </c>
      <c r="AU382" s="40" t="n"/>
      <c r="AV382" s="40" t="n"/>
      <c r="AW382" s="40" t="n"/>
      <c r="AX382" s="40" t="n"/>
      <c r="AY382" s="30" t="n"/>
      <c r="AZ382" s="30" t="n"/>
      <c r="BA382" s="30" t="n"/>
    </row>
    <row r="383" ht="15.75" customHeight="1" s="57">
      <c r="A383" s="29" t="n"/>
      <c r="B383" s="30" t="n"/>
      <c r="C383" s="39" t="n"/>
      <c r="D383" s="39" t="n"/>
      <c r="E383" s="39" t="n"/>
      <c r="F383" s="40" t="n"/>
      <c r="G383" s="30" t="n"/>
      <c r="H383" s="30" t="n"/>
      <c r="I383" s="30" t="n"/>
      <c r="J383" s="30" t="n"/>
      <c r="K383" s="30" t="n"/>
      <c r="L383" s="30" t="n"/>
      <c r="M383" s="30" t="n"/>
      <c r="N383" s="30" t="n"/>
      <c r="O383" s="30" t="n"/>
      <c r="P383" s="30" t="n"/>
      <c r="Q383" s="30" t="n"/>
      <c r="R383" s="30" t="n"/>
      <c r="S383" s="30" t="n"/>
      <c r="T383" s="30" t="n"/>
      <c r="U383" s="30" t="n"/>
      <c r="V383" s="30" t="n"/>
      <c r="W383" s="30" t="n"/>
      <c r="X383" s="30" t="n"/>
      <c r="Y383" s="30" t="n"/>
      <c r="Z383" s="30" t="n"/>
      <c r="AA383" s="30" t="n"/>
      <c r="AB383" s="30" t="n"/>
      <c r="AC383" s="30" t="n"/>
      <c r="AD383" s="41" t="n"/>
      <c r="AE383" s="30" t="n"/>
      <c r="AF383" s="42">
        <f>IF($AA396="","",IF(LEFT(UPPER(TRIM($AA396)),8)="FELICITA","N/A",IF($AE396="","",IFERROR(VLOOKUP(UPPER(TRIM($AE396)),Config!$A$6:$D$8,2,FALSE),IFERROR(VLOOKUP(IF(LEFT(UPPER(TRIM($AE396)),5)="SUPER","SUPER SALUD",IF(LEFT(UPPER(TRIM($AE396)),8)="SECRETAR","SECRETARIA DE SALUD",IF(LEFT(UPPER(TRIM($AE396)),4)="SEDE","SEDE",UPPER(TRIM($AE396))))),Config!$A$6:$D$8,2,FALSE),"⚠")))))</f>
        <v/>
      </c>
      <c r="AG383" s="30">
        <f>IF($AA396="","",IF(LEFT(UPPER(TRIM($AA396)),8)="FELICITA","N/A",IF($AE396="","",IFERROR(VLOOKUP(UPPER(TRIM($AE396)),Config!$A$6:$D$8,3,FALSE),IFERROR(VLOOKUP(IF(LEFT(UPPER(TRIM($AE396)),5)="SUPER","SUPER SALUD",IF(LEFT(UPPER(TRIM($AE396)),8)="SECRETAR","SECRETARIA DE SALUD",IF(LEFT(UPPER(TRIM($AE396)),4)="SEDE","SEDE",UPPER(TRIM($AE396))))),Config!$A$6:$D$8,3,FALSE),"")))))</f>
        <v/>
      </c>
      <c r="AH383" s="39">
        <f>IF(OR($E396="",NOT(ISNUMBER($E396)),$AF396="",$AF396="N/A",NOT(ISNUMBER($AF396))),"",IF($AG396="Hábiles",WORKDAY(INT($E396),$AF396,Config!$F$6:$F$39),INT($E396)+$AF396))</f>
        <v/>
      </c>
      <c r="AI383" s="30">
        <f>IF($E396="","",IF(LEFT(UPPER(TRIM($AA396)),8)="FELICITA","⭐ Felicitación",IF(NOT(ISNUMBER($E396)),"⚠ Revisar fecha",IF(UPPER(TRIM($AK396))="RESPONDIDA - CERRADA","✅ Cerrada",IF($AE396="","⚠ Falta entidad",IF($AH396="","⚠ Revisar término",IF(TODAY()&gt;$AH396,"🔴 Vencida",IF($AH396-TODAY()&lt;=Config!$B$12,"🟡 Próxima a vencer","🟢 En término"))))))))</f>
        <v/>
      </c>
      <c r="AJ383" s="42">
        <f>IF(OR($E396="",NOT(ISNUMBER($E396))),"",IF(ISNUMBER($AS396),MAX(0,INT($AS396)-INT($E396)),MAX(0,TODAY()-INT($E396))))</f>
        <v/>
      </c>
      <c r="AK383" s="30" t="n"/>
      <c r="AL383" s="30" t="n"/>
      <c r="AM383" s="30" t="n"/>
      <c r="AN383" s="39" t="n"/>
      <c r="AO383" s="30" t="n"/>
      <c r="AP383" s="30" t="n"/>
      <c r="AQ383" s="39" t="n"/>
      <c r="AR383" s="30" t="n"/>
      <c r="AS383" s="39" t="n"/>
      <c r="AT383" s="30">
        <f>IF(OR($AS396="",NOT(ISNUMBER($AS396)),$AH396=""),"",IF(INT($AS396)&lt;=$AH396,"A tiempo","Fuera de término"))</f>
        <v/>
      </c>
      <c r="AU383" s="40" t="n"/>
      <c r="AV383" s="40" t="n"/>
      <c r="AW383" s="40" t="n"/>
      <c r="AX383" s="40" t="n"/>
      <c r="AY383" s="30" t="n"/>
      <c r="AZ383" s="30" t="n"/>
      <c r="BA383" s="30" t="n"/>
    </row>
    <row r="384" ht="15.75" customHeight="1" s="57">
      <c r="A384" s="29" t="n"/>
      <c r="B384" s="30" t="n"/>
      <c r="C384" s="39" t="n"/>
      <c r="D384" s="39" t="n"/>
      <c r="E384" s="39" t="n"/>
      <c r="F384" s="40" t="n"/>
      <c r="G384" s="30" t="n"/>
      <c r="H384" s="30" t="n"/>
      <c r="I384" s="30" t="n"/>
      <c r="J384" s="30" t="n"/>
      <c r="K384" s="30" t="n"/>
      <c r="L384" s="30" t="n"/>
      <c r="M384" s="30" t="n"/>
      <c r="N384" s="30" t="n"/>
      <c r="O384" s="30" t="n"/>
      <c r="P384" s="30" t="n"/>
      <c r="Q384" s="30" t="n"/>
      <c r="R384" s="30" t="n"/>
      <c r="S384" s="30" t="n"/>
      <c r="T384" s="30" t="n"/>
      <c r="U384" s="30" t="n"/>
      <c r="V384" s="30" t="n"/>
      <c r="W384" s="30" t="n"/>
      <c r="X384" s="30" t="n"/>
      <c r="Y384" s="30" t="n"/>
      <c r="Z384" s="30" t="n"/>
      <c r="AA384" s="30" t="n"/>
      <c r="AB384" s="30" t="n"/>
      <c r="AC384" s="30" t="n"/>
      <c r="AD384" s="41" t="n"/>
      <c r="AE384" s="30" t="n"/>
      <c r="AF384" s="42">
        <f>IF($AA397="","",IF(LEFT(UPPER(TRIM($AA397)),8)="FELICITA","N/A",IF($AE397="","",IFERROR(VLOOKUP(UPPER(TRIM($AE397)),Config!$A$6:$D$8,2,FALSE),IFERROR(VLOOKUP(IF(LEFT(UPPER(TRIM($AE397)),5)="SUPER","SUPER SALUD",IF(LEFT(UPPER(TRIM($AE397)),8)="SECRETAR","SECRETARIA DE SALUD",IF(LEFT(UPPER(TRIM($AE397)),4)="SEDE","SEDE",UPPER(TRIM($AE397))))),Config!$A$6:$D$8,2,FALSE),"⚠")))))</f>
        <v/>
      </c>
      <c r="AG384" s="30">
        <f>IF($AA397="","",IF(LEFT(UPPER(TRIM($AA397)),8)="FELICITA","N/A",IF($AE397="","",IFERROR(VLOOKUP(UPPER(TRIM($AE397)),Config!$A$6:$D$8,3,FALSE),IFERROR(VLOOKUP(IF(LEFT(UPPER(TRIM($AE397)),5)="SUPER","SUPER SALUD",IF(LEFT(UPPER(TRIM($AE397)),8)="SECRETAR","SECRETARIA DE SALUD",IF(LEFT(UPPER(TRIM($AE397)),4)="SEDE","SEDE",UPPER(TRIM($AE397))))),Config!$A$6:$D$8,3,FALSE),"")))))</f>
        <v/>
      </c>
      <c r="AH384" s="39">
        <f>IF(OR($E397="",NOT(ISNUMBER($E397)),$AF397="",$AF397="N/A",NOT(ISNUMBER($AF397))),"",IF($AG397="Hábiles",WORKDAY(INT($E397),$AF397,Config!$F$6:$F$39),INT($E397)+$AF397))</f>
        <v/>
      </c>
      <c r="AI384" s="30">
        <f>IF($E397="","",IF(LEFT(UPPER(TRIM($AA397)),8)="FELICITA","⭐ Felicitación",IF(NOT(ISNUMBER($E397)),"⚠ Revisar fecha",IF(UPPER(TRIM($AK397))="RESPONDIDA - CERRADA","✅ Cerrada",IF($AE397="","⚠ Falta entidad",IF($AH397="","⚠ Revisar término",IF(TODAY()&gt;$AH397,"🔴 Vencida",IF($AH397-TODAY()&lt;=Config!$B$12,"🟡 Próxima a vencer","🟢 En término"))))))))</f>
        <v/>
      </c>
      <c r="AJ384" s="42">
        <f>IF(OR($E397="",NOT(ISNUMBER($E397))),"",IF(ISNUMBER($AS397),MAX(0,INT($AS397)-INT($E397)),MAX(0,TODAY()-INT($E397))))</f>
        <v/>
      </c>
      <c r="AK384" s="30" t="n"/>
      <c r="AL384" s="30" t="n"/>
      <c r="AM384" s="30" t="n"/>
      <c r="AN384" s="39" t="n"/>
      <c r="AO384" s="30" t="n"/>
      <c r="AP384" s="30" t="n"/>
      <c r="AQ384" s="39" t="n"/>
      <c r="AR384" s="30" t="n"/>
      <c r="AS384" s="39" t="n"/>
      <c r="AT384" s="30">
        <f>IF(OR($AS397="",NOT(ISNUMBER($AS397)),$AH397=""),"",IF(INT($AS397)&lt;=$AH397,"A tiempo","Fuera de término"))</f>
        <v/>
      </c>
      <c r="AU384" s="40" t="n"/>
      <c r="AV384" s="40" t="n"/>
      <c r="AW384" s="40" t="n"/>
      <c r="AX384" s="40" t="n"/>
      <c r="AY384" s="30" t="n"/>
      <c r="AZ384" s="30" t="n"/>
      <c r="BA384" s="30" t="n"/>
    </row>
    <row r="385" ht="15.75" customHeight="1" s="57">
      <c r="A385" s="29" t="n"/>
      <c r="B385" s="30" t="n"/>
      <c r="C385" s="39" t="n"/>
      <c r="D385" s="39" t="n"/>
      <c r="E385" s="39" t="n"/>
      <c r="F385" s="40" t="n"/>
      <c r="G385" s="30" t="n"/>
      <c r="H385" s="30" t="n"/>
      <c r="I385" s="30" t="n"/>
      <c r="J385" s="30" t="n"/>
      <c r="K385" s="30" t="n"/>
      <c r="L385" s="30" t="n"/>
      <c r="M385" s="30" t="n"/>
      <c r="N385" s="30" t="n"/>
      <c r="O385" s="30" t="n"/>
      <c r="P385" s="30" t="n"/>
      <c r="Q385" s="30" t="n"/>
      <c r="R385" s="30" t="n"/>
      <c r="S385" s="30" t="n"/>
      <c r="T385" s="30" t="n"/>
      <c r="U385" s="30" t="n"/>
      <c r="V385" s="30" t="n"/>
      <c r="W385" s="30" t="n"/>
      <c r="X385" s="30" t="n"/>
      <c r="Y385" s="30" t="n"/>
      <c r="Z385" s="30" t="n"/>
      <c r="AA385" s="30" t="n"/>
      <c r="AB385" s="30" t="n"/>
      <c r="AC385" s="30" t="n"/>
      <c r="AD385" s="41" t="n"/>
      <c r="AE385" s="30" t="n"/>
      <c r="AF385" s="42">
        <f>IF($AA398="","",IF(LEFT(UPPER(TRIM($AA398)),8)="FELICITA","N/A",IF($AE398="","",IFERROR(VLOOKUP(UPPER(TRIM($AE398)),Config!$A$6:$D$8,2,FALSE),IFERROR(VLOOKUP(IF(LEFT(UPPER(TRIM($AE398)),5)="SUPER","SUPER SALUD",IF(LEFT(UPPER(TRIM($AE398)),8)="SECRETAR","SECRETARIA DE SALUD",IF(LEFT(UPPER(TRIM($AE398)),4)="SEDE","SEDE",UPPER(TRIM($AE398))))),Config!$A$6:$D$8,2,FALSE),"⚠")))))</f>
        <v/>
      </c>
      <c r="AG385" s="30">
        <f>IF($AA398="","",IF(LEFT(UPPER(TRIM($AA398)),8)="FELICITA","N/A",IF($AE398="","",IFERROR(VLOOKUP(UPPER(TRIM($AE398)),Config!$A$6:$D$8,3,FALSE),IFERROR(VLOOKUP(IF(LEFT(UPPER(TRIM($AE398)),5)="SUPER","SUPER SALUD",IF(LEFT(UPPER(TRIM($AE398)),8)="SECRETAR","SECRETARIA DE SALUD",IF(LEFT(UPPER(TRIM($AE398)),4)="SEDE","SEDE",UPPER(TRIM($AE398))))),Config!$A$6:$D$8,3,FALSE),"")))))</f>
        <v/>
      </c>
      <c r="AH385" s="39">
        <f>IF(OR($E398="",NOT(ISNUMBER($E398)),$AF398="",$AF398="N/A",NOT(ISNUMBER($AF398))),"",IF($AG398="Hábiles",WORKDAY(INT($E398),$AF398,Config!$F$6:$F$39),INT($E398)+$AF398))</f>
        <v/>
      </c>
      <c r="AI385" s="30">
        <f>IF($E398="","",IF(LEFT(UPPER(TRIM($AA398)),8)="FELICITA","⭐ Felicitación",IF(NOT(ISNUMBER($E398)),"⚠ Revisar fecha",IF(UPPER(TRIM($AK398))="RESPONDIDA - CERRADA","✅ Cerrada",IF($AE398="","⚠ Falta entidad",IF($AH398="","⚠ Revisar término",IF(TODAY()&gt;$AH398,"🔴 Vencida",IF($AH398-TODAY()&lt;=Config!$B$12,"🟡 Próxima a vencer","🟢 En término"))))))))</f>
        <v/>
      </c>
      <c r="AJ385" s="42">
        <f>IF(OR($E398="",NOT(ISNUMBER($E398))),"",IF(ISNUMBER($AS398),MAX(0,INT($AS398)-INT($E398)),MAX(0,TODAY()-INT($E398))))</f>
        <v/>
      </c>
      <c r="AK385" s="30" t="n"/>
      <c r="AL385" s="30" t="n"/>
      <c r="AM385" s="30" t="n"/>
      <c r="AN385" s="39" t="n"/>
      <c r="AO385" s="30" t="n"/>
      <c r="AP385" s="30" t="n"/>
      <c r="AQ385" s="39" t="n"/>
      <c r="AR385" s="30" t="n"/>
      <c r="AS385" s="39" t="n"/>
      <c r="AT385" s="30">
        <f>IF(OR($AS398="",NOT(ISNUMBER($AS398)),$AH398=""),"",IF(INT($AS398)&lt;=$AH398,"A tiempo","Fuera de término"))</f>
        <v/>
      </c>
      <c r="AU385" s="40" t="n"/>
      <c r="AV385" s="40" t="n"/>
      <c r="AW385" s="40" t="n"/>
      <c r="AX385" s="40" t="n"/>
      <c r="AY385" s="30" t="n"/>
      <c r="AZ385" s="30" t="n"/>
      <c r="BA385" s="30" t="n"/>
    </row>
    <row r="386" ht="15.75" customHeight="1" s="57">
      <c r="A386" s="29" t="n"/>
      <c r="B386" s="30" t="n"/>
      <c r="C386" s="39" t="n"/>
      <c r="D386" s="39" t="n"/>
      <c r="E386" s="39" t="n"/>
      <c r="F386" s="40" t="n"/>
      <c r="G386" s="30" t="n"/>
      <c r="H386" s="30" t="n"/>
      <c r="I386" s="30" t="n"/>
      <c r="J386" s="30" t="n"/>
      <c r="K386" s="30" t="n"/>
      <c r="L386" s="30" t="n"/>
      <c r="M386" s="30" t="n"/>
      <c r="N386" s="30" t="n"/>
      <c r="O386" s="30" t="n"/>
      <c r="P386" s="30" t="n"/>
      <c r="Q386" s="30" t="n"/>
      <c r="R386" s="30" t="n"/>
      <c r="S386" s="30" t="n"/>
      <c r="T386" s="30" t="n"/>
      <c r="U386" s="30" t="n"/>
      <c r="V386" s="30" t="n"/>
      <c r="W386" s="30" t="n"/>
      <c r="X386" s="30" t="n"/>
      <c r="Y386" s="30" t="n"/>
      <c r="Z386" s="30" t="n"/>
      <c r="AA386" s="30" t="n"/>
      <c r="AB386" s="30" t="n"/>
      <c r="AC386" s="30" t="n"/>
      <c r="AD386" s="41" t="n"/>
      <c r="AE386" s="30" t="n"/>
      <c r="AF386" s="42">
        <f>IF($AA399="","",IF(LEFT(UPPER(TRIM($AA399)),8)="FELICITA","N/A",IF($AE399="","",IFERROR(VLOOKUP(UPPER(TRIM($AE399)),Config!$A$6:$D$8,2,FALSE),IFERROR(VLOOKUP(IF(LEFT(UPPER(TRIM($AE399)),5)="SUPER","SUPER SALUD",IF(LEFT(UPPER(TRIM($AE399)),8)="SECRETAR","SECRETARIA DE SALUD",IF(LEFT(UPPER(TRIM($AE399)),4)="SEDE","SEDE",UPPER(TRIM($AE399))))),Config!$A$6:$D$8,2,FALSE),"⚠")))))</f>
        <v/>
      </c>
      <c r="AG386" s="30">
        <f>IF($AA399="","",IF(LEFT(UPPER(TRIM($AA399)),8)="FELICITA","N/A",IF($AE399="","",IFERROR(VLOOKUP(UPPER(TRIM($AE399)),Config!$A$6:$D$8,3,FALSE),IFERROR(VLOOKUP(IF(LEFT(UPPER(TRIM($AE399)),5)="SUPER","SUPER SALUD",IF(LEFT(UPPER(TRIM($AE399)),8)="SECRETAR","SECRETARIA DE SALUD",IF(LEFT(UPPER(TRIM($AE399)),4)="SEDE","SEDE",UPPER(TRIM($AE399))))),Config!$A$6:$D$8,3,FALSE),"")))))</f>
        <v/>
      </c>
      <c r="AH386" s="39">
        <f>IF(OR($E399="",NOT(ISNUMBER($E399)),$AF399="",$AF399="N/A",NOT(ISNUMBER($AF399))),"",IF($AG399="Hábiles",WORKDAY(INT($E399),$AF399,Config!$F$6:$F$39),INT($E399)+$AF399))</f>
        <v/>
      </c>
      <c r="AI386" s="30">
        <f>IF($E399="","",IF(LEFT(UPPER(TRIM($AA399)),8)="FELICITA","⭐ Felicitación",IF(NOT(ISNUMBER($E399)),"⚠ Revisar fecha",IF(UPPER(TRIM($AK399))="RESPONDIDA - CERRADA","✅ Cerrada",IF($AE399="","⚠ Falta entidad",IF($AH399="","⚠ Revisar término",IF(TODAY()&gt;$AH399,"🔴 Vencida",IF($AH399-TODAY()&lt;=Config!$B$12,"🟡 Próxima a vencer","🟢 En término"))))))))</f>
        <v/>
      </c>
      <c r="AJ386" s="42">
        <f>IF(OR($E399="",NOT(ISNUMBER($E399))),"",IF(ISNUMBER($AS399),MAX(0,INT($AS399)-INT($E399)),MAX(0,TODAY()-INT($E399))))</f>
        <v/>
      </c>
      <c r="AK386" s="30" t="n"/>
      <c r="AL386" s="30" t="n"/>
      <c r="AM386" s="30" t="n"/>
      <c r="AN386" s="39" t="n"/>
      <c r="AO386" s="30" t="n"/>
      <c r="AP386" s="30" t="n"/>
      <c r="AQ386" s="39" t="n"/>
      <c r="AR386" s="30" t="n"/>
      <c r="AS386" s="39" t="n"/>
      <c r="AT386" s="30">
        <f>IF(OR($AS399="",NOT(ISNUMBER($AS399)),$AH399=""),"",IF(INT($AS399)&lt;=$AH399,"A tiempo","Fuera de término"))</f>
        <v/>
      </c>
      <c r="AU386" s="40" t="n"/>
      <c r="AV386" s="40" t="n"/>
      <c r="AW386" s="40" t="n"/>
      <c r="AX386" s="40" t="n"/>
      <c r="AY386" s="30" t="n"/>
      <c r="AZ386" s="30" t="n"/>
      <c r="BA386" s="30" t="n"/>
    </row>
    <row r="387" ht="15.75" customHeight="1" s="57">
      <c r="A387" s="29" t="n"/>
      <c r="B387" s="30" t="n"/>
      <c r="C387" s="39" t="n"/>
      <c r="D387" s="39" t="n"/>
      <c r="E387" s="39" t="n"/>
      <c r="F387" s="40" t="n"/>
      <c r="G387" s="30" t="n"/>
      <c r="H387" s="30" t="n"/>
      <c r="I387" s="30" t="n"/>
      <c r="J387" s="30" t="n"/>
      <c r="K387" s="30" t="n"/>
      <c r="L387" s="30" t="n"/>
      <c r="M387" s="30" t="n"/>
      <c r="N387" s="30" t="n"/>
      <c r="O387" s="30" t="n"/>
      <c r="P387" s="30" t="n"/>
      <c r="Q387" s="30" t="n"/>
      <c r="R387" s="30" t="n"/>
      <c r="S387" s="30" t="n"/>
      <c r="T387" s="30" t="n"/>
      <c r="U387" s="30" t="n"/>
      <c r="V387" s="30" t="n"/>
      <c r="W387" s="30" t="n"/>
      <c r="X387" s="30" t="n"/>
      <c r="Y387" s="30" t="n"/>
      <c r="Z387" s="30" t="n"/>
      <c r="AA387" s="30" t="n"/>
      <c r="AB387" s="30" t="n"/>
      <c r="AC387" s="30" t="n"/>
      <c r="AD387" s="41" t="n"/>
      <c r="AE387" s="30" t="n"/>
      <c r="AF387" s="42">
        <f>IF($AA400="","",IF(LEFT(UPPER(TRIM($AA400)),8)="FELICITA","N/A",IF($AE400="","",IFERROR(VLOOKUP(UPPER(TRIM($AE400)),Config!$A$6:$D$8,2,FALSE),IFERROR(VLOOKUP(IF(LEFT(UPPER(TRIM($AE400)),5)="SUPER","SUPER SALUD",IF(LEFT(UPPER(TRIM($AE400)),8)="SECRETAR","SECRETARIA DE SALUD",IF(LEFT(UPPER(TRIM($AE400)),4)="SEDE","SEDE",UPPER(TRIM($AE400))))),Config!$A$6:$D$8,2,FALSE),"⚠")))))</f>
        <v/>
      </c>
      <c r="AG387" s="30">
        <f>IF($AA400="","",IF(LEFT(UPPER(TRIM($AA400)),8)="FELICITA","N/A",IF($AE400="","",IFERROR(VLOOKUP(UPPER(TRIM($AE400)),Config!$A$6:$D$8,3,FALSE),IFERROR(VLOOKUP(IF(LEFT(UPPER(TRIM($AE400)),5)="SUPER","SUPER SALUD",IF(LEFT(UPPER(TRIM($AE400)),8)="SECRETAR","SECRETARIA DE SALUD",IF(LEFT(UPPER(TRIM($AE400)),4)="SEDE","SEDE",UPPER(TRIM($AE400))))),Config!$A$6:$D$8,3,FALSE),"")))))</f>
        <v/>
      </c>
      <c r="AH387" s="39">
        <f>IF(OR($E400="",NOT(ISNUMBER($E400)),$AF400="",$AF400="N/A",NOT(ISNUMBER($AF400))),"",IF($AG400="Hábiles",WORKDAY(INT($E400),$AF400,Config!$F$6:$F$39),INT($E400)+$AF400))</f>
        <v/>
      </c>
      <c r="AI387" s="30">
        <f>IF($E400="","",IF(LEFT(UPPER(TRIM($AA400)),8)="FELICITA","⭐ Felicitación",IF(NOT(ISNUMBER($E400)),"⚠ Revisar fecha",IF(UPPER(TRIM($AK400))="RESPONDIDA - CERRADA","✅ Cerrada",IF($AE400="","⚠ Falta entidad",IF($AH400="","⚠ Revisar término",IF(TODAY()&gt;$AH400,"🔴 Vencida",IF($AH400-TODAY()&lt;=Config!$B$12,"🟡 Próxima a vencer","🟢 En término"))))))))</f>
        <v/>
      </c>
      <c r="AJ387" s="42">
        <f>IF(OR($E400="",NOT(ISNUMBER($E400))),"",IF(ISNUMBER($AS400),MAX(0,INT($AS400)-INT($E400)),MAX(0,TODAY()-INT($E400))))</f>
        <v/>
      </c>
      <c r="AK387" s="30" t="n"/>
      <c r="AL387" s="30" t="n"/>
      <c r="AM387" s="30" t="n"/>
      <c r="AN387" s="39" t="n"/>
      <c r="AO387" s="30" t="n"/>
      <c r="AP387" s="30" t="n"/>
      <c r="AQ387" s="39" t="n"/>
      <c r="AR387" s="30" t="n"/>
      <c r="AS387" s="39" t="n"/>
      <c r="AT387" s="30">
        <f>IF(OR($AS400="",NOT(ISNUMBER($AS400)),$AH400=""),"",IF(INT($AS400)&lt;=$AH400,"A tiempo","Fuera de término"))</f>
        <v/>
      </c>
      <c r="AU387" s="40" t="n"/>
      <c r="AV387" s="40" t="n"/>
      <c r="AW387" s="40" t="n"/>
      <c r="AX387" s="40" t="n"/>
      <c r="AY387" s="30" t="n"/>
      <c r="AZ387" s="30" t="n"/>
      <c r="BA387" s="30" t="n"/>
    </row>
    <row r="388" ht="15.75" customHeight="1" s="57">
      <c r="A388" s="29" t="n"/>
      <c r="B388" s="30" t="n"/>
      <c r="C388" s="39" t="n"/>
      <c r="D388" s="39" t="n"/>
      <c r="E388" s="39" t="n"/>
      <c r="F388" s="40" t="n"/>
      <c r="G388" s="30" t="n"/>
      <c r="H388" s="30" t="n"/>
      <c r="I388" s="30" t="n"/>
      <c r="J388" s="30" t="n"/>
      <c r="K388" s="30" t="n"/>
      <c r="L388" s="30" t="n"/>
      <c r="M388" s="30" t="n"/>
      <c r="N388" s="30" t="n"/>
      <c r="O388" s="30" t="n"/>
      <c r="P388" s="30" t="n"/>
      <c r="Q388" s="30" t="n"/>
      <c r="R388" s="30" t="n"/>
      <c r="S388" s="30" t="n"/>
      <c r="T388" s="30" t="n"/>
      <c r="U388" s="30" t="n"/>
      <c r="V388" s="30" t="n"/>
      <c r="W388" s="30" t="n"/>
      <c r="X388" s="30" t="n"/>
      <c r="Y388" s="30" t="n"/>
      <c r="Z388" s="30" t="n"/>
      <c r="AA388" s="30" t="n"/>
      <c r="AB388" s="30" t="n"/>
      <c r="AC388" s="30" t="n"/>
      <c r="AD388" s="41" t="n"/>
      <c r="AE388" s="30" t="n"/>
      <c r="AF388" s="42">
        <f>IF($AA401="","",IF(LEFT(UPPER(TRIM($AA401)),8)="FELICITA","N/A",IF($AE401="","",IFERROR(VLOOKUP(UPPER(TRIM($AE401)),Config!$A$6:$D$8,2,FALSE),IFERROR(VLOOKUP(IF(LEFT(UPPER(TRIM($AE401)),5)="SUPER","SUPER SALUD",IF(LEFT(UPPER(TRIM($AE401)),8)="SECRETAR","SECRETARIA DE SALUD",IF(LEFT(UPPER(TRIM($AE401)),4)="SEDE","SEDE",UPPER(TRIM($AE401))))),Config!$A$6:$D$8,2,FALSE),"⚠")))))</f>
        <v/>
      </c>
      <c r="AG388" s="30">
        <f>IF($AA401="","",IF(LEFT(UPPER(TRIM($AA401)),8)="FELICITA","N/A",IF($AE401="","",IFERROR(VLOOKUP(UPPER(TRIM($AE401)),Config!$A$6:$D$8,3,FALSE),IFERROR(VLOOKUP(IF(LEFT(UPPER(TRIM($AE401)),5)="SUPER","SUPER SALUD",IF(LEFT(UPPER(TRIM($AE401)),8)="SECRETAR","SECRETARIA DE SALUD",IF(LEFT(UPPER(TRIM($AE401)),4)="SEDE","SEDE",UPPER(TRIM($AE401))))),Config!$A$6:$D$8,3,FALSE),"")))))</f>
        <v/>
      </c>
      <c r="AH388" s="39">
        <f>IF(OR($E401="",NOT(ISNUMBER($E401)),$AF401="",$AF401="N/A",NOT(ISNUMBER($AF401))),"",IF($AG401="Hábiles",WORKDAY(INT($E401),$AF401,Config!$F$6:$F$39),INT($E401)+$AF401))</f>
        <v/>
      </c>
      <c r="AI388" s="30">
        <f>IF($E401="","",IF(LEFT(UPPER(TRIM($AA401)),8)="FELICITA","⭐ Felicitación",IF(NOT(ISNUMBER($E401)),"⚠ Revisar fecha",IF(UPPER(TRIM($AK401))="RESPONDIDA - CERRADA","✅ Cerrada",IF($AE401="","⚠ Falta entidad",IF($AH401="","⚠ Revisar término",IF(TODAY()&gt;$AH401,"🔴 Vencida",IF($AH401-TODAY()&lt;=Config!$B$12,"🟡 Próxima a vencer","🟢 En término"))))))))</f>
        <v/>
      </c>
      <c r="AJ388" s="42">
        <f>IF(OR($E401="",NOT(ISNUMBER($E401))),"",IF(ISNUMBER($AS401),MAX(0,INT($AS401)-INT($E401)),MAX(0,TODAY()-INT($E401))))</f>
        <v/>
      </c>
      <c r="AK388" s="30" t="n"/>
      <c r="AL388" s="30" t="n"/>
      <c r="AM388" s="30" t="n"/>
      <c r="AN388" s="39" t="n"/>
      <c r="AO388" s="30" t="n"/>
      <c r="AP388" s="30" t="n"/>
      <c r="AQ388" s="39" t="n"/>
      <c r="AR388" s="30" t="n"/>
      <c r="AS388" s="39" t="n"/>
      <c r="AT388" s="30">
        <f>IF(OR($AS401="",NOT(ISNUMBER($AS401)),$AH401=""),"",IF(INT($AS401)&lt;=$AH401,"A tiempo","Fuera de término"))</f>
        <v/>
      </c>
      <c r="AU388" s="40" t="n"/>
      <c r="AV388" s="40" t="n"/>
      <c r="AW388" s="40" t="n"/>
      <c r="AX388" s="40" t="n"/>
      <c r="AY388" s="30" t="n"/>
      <c r="AZ388" s="30" t="n"/>
      <c r="BA388" s="30" t="n"/>
    </row>
    <row r="389" ht="15.75" customHeight="1" s="57">
      <c r="A389" s="29" t="n"/>
      <c r="B389" s="30" t="n"/>
      <c r="C389" s="39" t="n"/>
      <c r="D389" s="39" t="n"/>
      <c r="E389" s="39" t="n"/>
      <c r="F389" s="40" t="n"/>
      <c r="G389" s="30" t="n"/>
      <c r="H389" s="30" t="n"/>
      <c r="I389" s="30" t="n"/>
      <c r="J389" s="30" t="n"/>
      <c r="K389" s="30" t="n"/>
      <c r="L389" s="30" t="n"/>
      <c r="M389" s="30" t="n"/>
      <c r="N389" s="30" t="n"/>
      <c r="O389" s="30" t="n"/>
      <c r="P389" s="30" t="n"/>
      <c r="Q389" s="30" t="n"/>
      <c r="R389" s="30" t="n"/>
      <c r="S389" s="30" t="n"/>
      <c r="T389" s="30" t="n"/>
      <c r="U389" s="30" t="n"/>
      <c r="V389" s="30" t="n"/>
      <c r="W389" s="30" t="n"/>
      <c r="X389" s="30" t="n"/>
      <c r="Y389" s="30" t="n"/>
      <c r="Z389" s="30" t="n"/>
      <c r="AA389" s="30" t="n"/>
      <c r="AB389" s="30" t="n"/>
      <c r="AC389" s="30" t="n"/>
      <c r="AD389" s="41" t="n"/>
      <c r="AE389" s="30" t="n"/>
      <c r="AF389" s="42">
        <f>IF($AA402="","",IF(LEFT(UPPER(TRIM($AA402)),8)="FELICITA","N/A",IF($AE402="","",IFERROR(VLOOKUP(UPPER(TRIM($AE402)),Config!$A$6:$D$8,2,FALSE),IFERROR(VLOOKUP(IF(LEFT(UPPER(TRIM($AE402)),5)="SUPER","SUPER SALUD",IF(LEFT(UPPER(TRIM($AE402)),8)="SECRETAR","SECRETARIA DE SALUD",IF(LEFT(UPPER(TRIM($AE402)),4)="SEDE","SEDE",UPPER(TRIM($AE402))))),Config!$A$6:$D$8,2,FALSE),"⚠")))))</f>
        <v/>
      </c>
      <c r="AG389" s="30">
        <f>IF($AA402="","",IF(LEFT(UPPER(TRIM($AA402)),8)="FELICITA","N/A",IF($AE402="","",IFERROR(VLOOKUP(UPPER(TRIM($AE402)),Config!$A$6:$D$8,3,FALSE),IFERROR(VLOOKUP(IF(LEFT(UPPER(TRIM($AE402)),5)="SUPER","SUPER SALUD",IF(LEFT(UPPER(TRIM($AE402)),8)="SECRETAR","SECRETARIA DE SALUD",IF(LEFT(UPPER(TRIM($AE402)),4)="SEDE","SEDE",UPPER(TRIM($AE402))))),Config!$A$6:$D$8,3,FALSE),"")))))</f>
        <v/>
      </c>
      <c r="AH389" s="39">
        <f>IF(OR($E402="",NOT(ISNUMBER($E402)),$AF402="",$AF402="N/A",NOT(ISNUMBER($AF402))),"",IF($AG402="Hábiles",WORKDAY(INT($E402),$AF402,Config!$F$6:$F$39),INT($E402)+$AF402))</f>
        <v/>
      </c>
      <c r="AI389" s="30">
        <f>IF($E402="","",IF(LEFT(UPPER(TRIM($AA402)),8)="FELICITA","⭐ Felicitación",IF(NOT(ISNUMBER($E402)),"⚠ Revisar fecha",IF(UPPER(TRIM($AK402))="RESPONDIDA - CERRADA","✅ Cerrada",IF($AE402="","⚠ Falta entidad",IF($AH402="","⚠ Revisar término",IF(TODAY()&gt;$AH402,"🔴 Vencida",IF($AH402-TODAY()&lt;=Config!$B$12,"🟡 Próxima a vencer","🟢 En término"))))))))</f>
        <v/>
      </c>
      <c r="AJ389" s="42">
        <f>IF(OR($E402="",NOT(ISNUMBER($E402))),"",IF(ISNUMBER($AS402),MAX(0,INT($AS402)-INT($E402)),MAX(0,TODAY()-INT($E402))))</f>
        <v/>
      </c>
      <c r="AK389" s="30" t="n"/>
      <c r="AL389" s="30" t="n"/>
      <c r="AM389" s="30" t="n"/>
      <c r="AN389" s="39" t="n"/>
      <c r="AO389" s="30" t="n"/>
      <c r="AP389" s="30" t="n"/>
      <c r="AQ389" s="39" t="n"/>
      <c r="AR389" s="30" t="n"/>
      <c r="AS389" s="39" t="n"/>
      <c r="AT389" s="30">
        <f>IF(OR($AS402="",NOT(ISNUMBER($AS402)),$AH402=""),"",IF(INT($AS402)&lt;=$AH402,"A tiempo","Fuera de término"))</f>
        <v/>
      </c>
      <c r="AU389" s="40" t="n"/>
      <c r="AV389" s="40" t="n"/>
      <c r="AW389" s="40" t="n"/>
      <c r="AX389" s="40" t="n"/>
      <c r="AY389" s="30" t="n"/>
      <c r="AZ389" s="30" t="n"/>
      <c r="BA389" s="30" t="n"/>
    </row>
    <row r="390" ht="15.75" customHeight="1" s="57">
      <c r="A390" s="29" t="n"/>
      <c r="B390" s="30" t="n"/>
      <c r="C390" s="39" t="n"/>
      <c r="D390" s="39" t="n"/>
      <c r="E390" s="39" t="n"/>
      <c r="F390" s="40" t="n"/>
      <c r="G390" s="30" t="n"/>
      <c r="H390" s="30" t="n"/>
      <c r="I390" s="30" t="n"/>
      <c r="J390" s="30" t="n"/>
      <c r="K390" s="30" t="n"/>
      <c r="L390" s="30" t="n"/>
      <c r="M390" s="30" t="n"/>
      <c r="N390" s="30" t="n"/>
      <c r="O390" s="30" t="n"/>
      <c r="P390" s="30" t="n"/>
      <c r="Q390" s="30" t="n"/>
      <c r="R390" s="30" t="n"/>
      <c r="S390" s="30" t="n"/>
      <c r="T390" s="30" t="n"/>
      <c r="U390" s="30" t="n"/>
      <c r="V390" s="30" t="n"/>
      <c r="W390" s="30" t="n"/>
      <c r="X390" s="30" t="n"/>
      <c r="Y390" s="30" t="n"/>
      <c r="Z390" s="30" t="n"/>
      <c r="AA390" s="30" t="n"/>
      <c r="AB390" s="30" t="n"/>
      <c r="AC390" s="30" t="n"/>
      <c r="AD390" s="41" t="n"/>
      <c r="AE390" s="30" t="n"/>
      <c r="AF390" s="42">
        <f>IF($AA403="","",IF(LEFT(UPPER(TRIM($AA403)),8)="FELICITA","N/A",IF($AE403="","",IFERROR(VLOOKUP(UPPER(TRIM($AE403)),Config!$A$6:$D$8,2,FALSE),IFERROR(VLOOKUP(IF(LEFT(UPPER(TRIM($AE403)),5)="SUPER","SUPER SALUD",IF(LEFT(UPPER(TRIM($AE403)),8)="SECRETAR","SECRETARIA DE SALUD",IF(LEFT(UPPER(TRIM($AE403)),4)="SEDE","SEDE",UPPER(TRIM($AE403))))),Config!$A$6:$D$8,2,FALSE),"⚠")))))</f>
        <v/>
      </c>
      <c r="AG390" s="30">
        <f>IF($AA403="","",IF(LEFT(UPPER(TRIM($AA403)),8)="FELICITA","N/A",IF($AE403="","",IFERROR(VLOOKUP(UPPER(TRIM($AE403)),Config!$A$6:$D$8,3,FALSE),IFERROR(VLOOKUP(IF(LEFT(UPPER(TRIM($AE403)),5)="SUPER","SUPER SALUD",IF(LEFT(UPPER(TRIM($AE403)),8)="SECRETAR","SECRETARIA DE SALUD",IF(LEFT(UPPER(TRIM($AE403)),4)="SEDE","SEDE",UPPER(TRIM($AE403))))),Config!$A$6:$D$8,3,FALSE),"")))))</f>
        <v/>
      </c>
      <c r="AH390" s="39">
        <f>IF(OR($E403="",NOT(ISNUMBER($E403)),$AF403="",$AF403="N/A",NOT(ISNUMBER($AF403))),"",IF($AG403="Hábiles",WORKDAY(INT($E403),$AF403,Config!$F$6:$F$39),INT($E403)+$AF403))</f>
        <v/>
      </c>
      <c r="AI390" s="30">
        <f>IF($E403="","",IF(LEFT(UPPER(TRIM($AA403)),8)="FELICITA","⭐ Felicitación",IF(NOT(ISNUMBER($E403)),"⚠ Revisar fecha",IF(UPPER(TRIM($AK403))="RESPONDIDA - CERRADA","✅ Cerrada",IF($AE403="","⚠ Falta entidad",IF($AH403="","⚠ Revisar término",IF(TODAY()&gt;$AH403,"🔴 Vencida",IF($AH403-TODAY()&lt;=Config!$B$12,"🟡 Próxima a vencer","🟢 En término"))))))))</f>
        <v/>
      </c>
      <c r="AJ390" s="42">
        <f>IF(OR($E403="",NOT(ISNUMBER($E403))),"",IF(ISNUMBER($AS403),MAX(0,INT($AS403)-INT($E403)),MAX(0,TODAY()-INT($E403))))</f>
        <v/>
      </c>
      <c r="AK390" s="30" t="n"/>
      <c r="AL390" s="30" t="n"/>
      <c r="AM390" s="30" t="n"/>
      <c r="AN390" s="39" t="n"/>
      <c r="AO390" s="30" t="n"/>
      <c r="AP390" s="30" t="n"/>
      <c r="AQ390" s="39" t="n"/>
      <c r="AR390" s="30" t="n"/>
      <c r="AS390" s="39" t="n"/>
      <c r="AT390" s="30">
        <f>IF(OR($AS403="",NOT(ISNUMBER($AS403)),$AH403=""),"",IF(INT($AS403)&lt;=$AH403,"A tiempo","Fuera de término"))</f>
        <v/>
      </c>
      <c r="AU390" s="40" t="n"/>
      <c r="AV390" s="40" t="n"/>
      <c r="AW390" s="40" t="n"/>
      <c r="AX390" s="40" t="n"/>
      <c r="AY390" s="30" t="n"/>
      <c r="AZ390" s="30" t="n"/>
      <c r="BA390" s="30" t="n"/>
    </row>
    <row r="391" ht="15.75" customHeight="1" s="57">
      <c r="A391" s="29" t="n"/>
      <c r="B391" s="30" t="n"/>
      <c r="C391" s="39" t="n"/>
      <c r="D391" s="39" t="n"/>
      <c r="E391" s="39" t="n"/>
      <c r="F391" s="40" t="n"/>
      <c r="G391" s="30" t="n"/>
      <c r="H391" s="30" t="n"/>
      <c r="I391" s="30" t="n"/>
      <c r="J391" s="30" t="n"/>
      <c r="K391" s="30" t="n"/>
      <c r="L391" s="30" t="n"/>
      <c r="M391" s="30" t="n"/>
      <c r="N391" s="30" t="n"/>
      <c r="O391" s="30" t="n"/>
      <c r="P391" s="30" t="n"/>
      <c r="Q391" s="30" t="n"/>
      <c r="R391" s="30" t="n"/>
      <c r="S391" s="30" t="n"/>
      <c r="T391" s="30" t="n"/>
      <c r="U391" s="30" t="n"/>
      <c r="V391" s="30" t="n"/>
      <c r="W391" s="30" t="n"/>
      <c r="X391" s="30" t="n"/>
      <c r="Y391" s="30" t="n"/>
      <c r="Z391" s="30" t="n"/>
      <c r="AA391" s="30" t="n"/>
      <c r="AB391" s="30" t="n"/>
      <c r="AC391" s="30" t="n"/>
      <c r="AD391" s="41" t="n"/>
      <c r="AE391" s="30" t="n"/>
      <c r="AF391" s="42">
        <f>IF($AA404="","",IF(LEFT(UPPER(TRIM($AA404)),8)="FELICITA","N/A",IF($AE404="","",IFERROR(VLOOKUP(UPPER(TRIM($AE404)),Config!$A$6:$D$8,2,FALSE),IFERROR(VLOOKUP(IF(LEFT(UPPER(TRIM($AE404)),5)="SUPER","SUPER SALUD",IF(LEFT(UPPER(TRIM($AE404)),8)="SECRETAR","SECRETARIA DE SALUD",IF(LEFT(UPPER(TRIM($AE404)),4)="SEDE","SEDE",UPPER(TRIM($AE404))))),Config!$A$6:$D$8,2,FALSE),"⚠")))))</f>
        <v/>
      </c>
      <c r="AG391" s="30">
        <f>IF($AA404="","",IF(LEFT(UPPER(TRIM($AA404)),8)="FELICITA","N/A",IF($AE404="","",IFERROR(VLOOKUP(UPPER(TRIM($AE404)),Config!$A$6:$D$8,3,FALSE),IFERROR(VLOOKUP(IF(LEFT(UPPER(TRIM($AE404)),5)="SUPER","SUPER SALUD",IF(LEFT(UPPER(TRIM($AE404)),8)="SECRETAR","SECRETARIA DE SALUD",IF(LEFT(UPPER(TRIM($AE404)),4)="SEDE","SEDE",UPPER(TRIM($AE404))))),Config!$A$6:$D$8,3,FALSE),"")))))</f>
        <v/>
      </c>
      <c r="AH391" s="39">
        <f>IF(OR($E404="",NOT(ISNUMBER($E404)),$AF404="",$AF404="N/A",NOT(ISNUMBER($AF404))),"",IF($AG404="Hábiles",WORKDAY(INT($E404),$AF404,Config!$F$6:$F$39),INT($E404)+$AF404))</f>
        <v/>
      </c>
      <c r="AI391" s="30">
        <f>IF($E404="","",IF(LEFT(UPPER(TRIM($AA404)),8)="FELICITA","⭐ Felicitación",IF(NOT(ISNUMBER($E404)),"⚠ Revisar fecha",IF(UPPER(TRIM($AK404))="RESPONDIDA - CERRADA","✅ Cerrada",IF($AE404="","⚠ Falta entidad",IF($AH404="","⚠ Revisar término",IF(TODAY()&gt;$AH404,"🔴 Vencida",IF($AH404-TODAY()&lt;=Config!$B$12,"🟡 Próxima a vencer","🟢 En término"))))))))</f>
        <v/>
      </c>
      <c r="AJ391" s="42">
        <f>IF(OR($E404="",NOT(ISNUMBER($E404))),"",IF(ISNUMBER($AS404),MAX(0,INT($AS404)-INT($E404)),MAX(0,TODAY()-INT($E404))))</f>
        <v/>
      </c>
      <c r="AK391" s="30" t="n"/>
      <c r="AL391" s="30" t="n"/>
      <c r="AM391" s="30" t="n"/>
      <c r="AN391" s="39" t="n"/>
      <c r="AO391" s="30" t="n"/>
      <c r="AP391" s="30" t="n"/>
      <c r="AQ391" s="39" t="n"/>
      <c r="AR391" s="30" t="n"/>
      <c r="AS391" s="39" t="n"/>
      <c r="AT391" s="30">
        <f>IF(OR($AS404="",NOT(ISNUMBER($AS404)),$AH404=""),"",IF(INT($AS404)&lt;=$AH404,"A tiempo","Fuera de término"))</f>
        <v/>
      </c>
      <c r="AU391" s="40" t="n"/>
      <c r="AV391" s="40" t="n"/>
      <c r="AW391" s="40" t="n"/>
      <c r="AX391" s="40" t="n"/>
      <c r="AY391" s="30" t="n"/>
      <c r="AZ391" s="30" t="n"/>
      <c r="BA391" s="30" t="n"/>
    </row>
    <row r="392" ht="15.75" customHeight="1" s="57">
      <c r="AD392" s="54" t="n"/>
      <c r="AJ392" s="56" t="n"/>
    </row>
    <row r="393" ht="15.75" customHeight="1" s="57">
      <c r="AD393" s="54" t="n"/>
      <c r="AJ393" s="56" t="n"/>
    </row>
    <row r="394" ht="15.75" customHeight="1" s="57">
      <c r="AD394" s="54" t="n"/>
      <c r="AJ394" s="56" t="n"/>
    </row>
    <row r="395" ht="15.75" customHeight="1" s="57">
      <c r="AD395" s="54" t="n"/>
      <c r="AJ395" s="56" t="n"/>
    </row>
    <row r="396" ht="15.75" customHeight="1" s="57">
      <c r="AD396" s="54" t="n"/>
      <c r="AJ396" s="56" t="n"/>
    </row>
    <row r="397" ht="15.75" customHeight="1" s="57">
      <c r="AD397" s="54" t="n"/>
      <c r="AJ397" s="56" t="n"/>
    </row>
    <row r="398" ht="15.75" customHeight="1" s="57">
      <c r="AD398" s="54" t="n"/>
      <c r="AJ398" s="56" t="n"/>
    </row>
    <row r="399" ht="15.75" customHeight="1" s="57">
      <c r="AD399" s="54" t="n"/>
      <c r="AJ399" s="56" t="n"/>
    </row>
    <row r="400" ht="15.75" customHeight="1" s="57">
      <c r="AD400" s="54" t="n"/>
      <c r="AJ400" s="56" t="n"/>
    </row>
    <row r="401" ht="15.75" customHeight="1" s="57">
      <c r="AD401" s="54" t="n"/>
      <c r="AJ401" s="56" t="n"/>
    </row>
    <row r="402" ht="15.75" customHeight="1" s="57">
      <c r="AD402" s="54" t="n"/>
      <c r="AJ402" s="56" t="n"/>
    </row>
    <row r="403" ht="15.75" customHeight="1" s="57">
      <c r="AD403" s="54" t="n"/>
      <c r="AJ403" s="56" t="n"/>
    </row>
    <row r="404" ht="15.75" customHeight="1" s="57">
      <c r="AD404" s="54" t="n"/>
      <c r="AJ404" s="56" t="n"/>
    </row>
    <row r="405" ht="15.75" customHeight="1" s="57">
      <c r="AD405" s="54" t="n"/>
      <c r="AJ405" s="56" t="n"/>
    </row>
    <row r="406" ht="15.75" customHeight="1" s="57">
      <c r="AD406" s="54" t="n"/>
      <c r="AJ406" s="56" t="n"/>
    </row>
    <row r="407" ht="15.75" customHeight="1" s="57">
      <c r="AD407" s="54" t="n"/>
      <c r="AJ407" s="56" t="n"/>
    </row>
    <row r="408" ht="15.75" customHeight="1" s="57">
      <c r="AD408" s="54" t="n"/>
      <c r="AJ408" s="56" t="n"/>
    </row>
    <row r="409" ht="15.75" customHeight="1" s="57">
      <c r="AD409" s="54" t="n"/>
      <c r="AJ409" s="56" t="n"/>
    </row>
    <row r="410" ht="15.75" customHeight="1" s="57">
      <c r="AD410" s="54" t="n"/>
      <c r="AJ410" s="56" t="n"/>
    </row>
    <row r="411" ht="15.75" customHeight="1" s="57">
      <c r="AD411" s="54" t="n"/>
      <c r="AJ411" s="56" t="n"/>
    </row>
    <row r="412" ht="15.75" customHeight="1" s="57">
      <c r="AD412" s="54" t="n"/>
      <c r="AJ412" s="56" t="n"/>
    </row>
    <row r="413" ht="15.75" customHeight="1" s="57">
      <c r="AD413" s="54" t="n"/>
      <c r="AJ413" s="56" t="n"/>
    </row>
    <row r="414" ht="15.75" customHeight="1" s="57">
      <c r="AD414" s="54" t="n"/>
      <c r="AJ414" s="56" t="n"/>
    </row>
    <row r="415" ht="15.75" customHeight="1" s="57">
      <c r="AD415" s="54" t="n"/>
      <c r="AJ415" s="56" t="n"/>
    </row>
    <row r="416" ht="15.75" customHeight="1" s="57">
      <c r="AD416" s="54" t="n"/>
      <c r="AJ416" s="56" t="n"/>
    </row>
    <row r="417" ht="15.75" customHeight="1" s="57">
      <c r="AD417" s="54" t="n"/>
      <c r="AJ417" s="56" t="n"/>
    </row>
    <row r="418" ht="15.75" customHeight="1" s="57">
      <c r="AD418" s="54" t="n"/>
      <c r="AJ418" s="56" t="n"/>
    </row>
    <row r="419" ht="15.75" customHeight="1" s="57">
      <c r="AD419" s="54" t="n"/>
      <c r="AJ419" s="56" t="n"/>
    </row>
    <row r="420" ht="15.75" customHeight="1" s="57">
      <c r="AD420" s="54" t="n"/>
      <c r="AJ420" s="56" t="n"/>
    </row>
    <row r="421" ht="15.75" customHeight="1" s="57">
      <c r="AD421" s="54" t="n"/>
      <c r="AJ421" s="56" t="n"/>
    </row>
    <row r="422" ht="15.75" customHeight="1" s="57">
      <c r="AD422" s="54" t="n"/>
      <c r="AJ422" s="56" t="n"/>
    </row>
    <row r="423" ht="15.75" customHeight="1" s="57">
      <c r="AD423" s="54" t="n"/>
      <c r="AJ423" s="56" t="n"/>
    </row>
    <row r="424" ht="15.75" customHeight="1" s="57">
      <c r="AD424" s="54" t="n"/>
      <c r="AJ424" s="56" t="n"/>
    </row>
    <row r="425" ht="15.75" customHeight="1" s="57">
      <c r="AD425" s="54" t="n"/>
      <c r="AJ425" s="56" t="n"/>
    </row>
    <row r="426" ht="15.75" customHeight="1" s="57">
      <c r="AD426" s="54" t="n"/>
      <c r="AJ426" s="56" t="n"/>
    </row>
    <row r="427" ht="15.75" customHeight="1" s="57">
      <c r="AD427" s="54" t="n"/>
      <c r="AJ427" s="56" t="n"/>
    </row>
    <row r="428" ht="15.75" customHeight="1" s="57">
      <c r="AD428" s="54" t="n"/>
      <c r="AJ428" s="56" t="n"/>
    </row>
    <row r="429" ht="15.75" customHeight="1" s="57">
      <c r="AD429" s="54" t="n"/>
      <c r="AJ429" s="56" t="n"/>
    </row>
    <row r="430" ht="15.75" customHeight="1" s="57">
      <c r="AD430" s="54" t="n"/>
      <c r="AJ430" s="56" t="n"/>
    </row>
    <row r="431" ht="15.75" customHeight="1" s="57">
      <c r="AD431" s="54" t="n"/>
      <c r="AJ431" s="56" t="n"/>
    </row>
    <row r="432" ht="15.75" customHeight="1" s="57">
      <c r="AD432" s="54" t="n"/>
      <c r="AJ432" s="56" t="n"/>
    </row>
    <row r="433" ht="15.75" customHeight="1" s="57">
      <c r="AD433" s="54" t="n"/>
      <c r="AJ433" s="56" t="n"/>
    </row>
    <row r="434" ht="15.75" customHeight="1" s="57">
      <c r="AD434" s="54" t="n"/>
      <c r="AJ434" s="56" t="n"/>
    </row>
    <row r="435" ht="15.75" customHeight="1" s="57">
      <c r="AD435" s="54" t="n"/>
      <c r="AJ435" s="56" t="n"/>
    </row>
    <row r="436" ht="15.75" customHeight="1" s="57">
      <c r="AD436" s="54" t="n"/>
      <c r="AJ436" s="56" t="n"/>
    </row>
    <row r="437" ht="15.75" customHeight="1" s="57">
      <c r="AD437" s="54" t="n"/>
      <c r="AJ437" s="56" t="n"/>
    </row>
    <row r="438" ht="15.75" customHeight="1" s="57">
      <c r="AD438" s="54" t="n"/>
      <c r="AJ438" s="56" t="n"/>
    </row>
    <row r="439" ht="15.75" customHeight="1" s="57">
      <c r="AD439" s="54" t="n"/>
      <c r="AJ439" s="56" t="n"/>
    </row>
    <row r="440" ht="15.75" customHeight="1" s="57">
      <c r="AD440" s="54" t="n"/>
      <c r="AJ440" s="56" t="n"/>
    </row>
    <row r="441" ht="15.75" customHeight="1" s="57">
      <c r="AD441" s="54" t="n"/>
      <c r="AJ441" s="56" t="n"/>
    </row>
    <row r="442" ht="15.75" customHeight="1" s="57">
      <c r="AD442" s="54" t="n"/>
      <c r="AJ442" s="56" t="n"/>
    </row>
    <row r="443" ht="15.75" customHeight="1" s="57">
      <c r="AD443" s="54" t="n"/>
      <c r="AJ443" s="56" t="n"/>
    </row>
    <row r="444" ht="15.75" customHeight="1" s="57">
      <c r="AD444" s="54" t="n"/>
      <c r="AJ444" s="56" t="n"/>
    </row>
    <row r="445" ht="15.75" customHeight="1" s="57">
      <c r="AD445" s="54" t="n"/>
      <c r="AJ445" s="56" t="n"/>
    </row>
    <row r="446" ht="15.75" customHeight="1" s="57">
      <c r="AD446" s="54" t="n"/>
      <c r="AJ446" s="56" t="n"/>
    </row>
    <row r="447" ht="15.75" customHeight="1" s="57">
      <c r="AD447" s="54" t="n"/>
      <c r="AJ447" s="56" t="n"/>
    </row>
    <row r="448" ht="15.75" customHeight="1" s="57">
      <c r="AD448" s="54" t="n"/>
      <c r="AJ448" s="56" t="n"/>
    </row>
    <row r="449" ht="15.75" customHeight="1" s="57">
      <c r="AD449" s="54" t="n"/>
      <c r="AJ449" s="56" t="n"/>
    </row>
    <row r="450" ht="15.75" customHeight="1" s="57">
      <c r="AD450" s="54" t="n"/>
      <c r="AJ450" s="56" t="n"/>
    </row>
    <row r="451" ht="15.75" customHeight="1" s="57">
      <c r="AD451" s="54" t="n"/>
      <c r="AJ451" s="56" t="n"/>
    </row>
    <row r="452" ht="15.75" customHeight="1" s="57">
      <c r="AD452" s="54" t="n"/>
      <c r="AJ452" s="56" t="n"/>
    </row>
    <row r="453" ht="15.75" customHeight="1" s="57">
      <c r="AD453" s="54" t="n"/>
      <c r="AJ453" s="56" t="n"/>
    </row>
    <row r="454" ht="15.75" customHeight="1" s="57">
      <c r="AD454" s="54" t="n"/>
      <c r="AJ454" s="56" t="n"/>
    </row>
    <row r="455" ht="15.75" customHeight="1" s="57">
      <c r="AD455" s="54" t="n"/>
      <c r="AJ455" s="56" t="n"/>
    </row>
    <row r="456" ht="15.75" customHeight="1" s="57">
      <c r="AD456" s="54" t="n"/>
      <c r="AJ456" s="56" t="n"/>
    </row>
    <row r="457" ht="15.75" customHeight="1" s="57">
      <c r="AD457" s="54" t="n"/>
      <c r="AJ457" s="56" t="n"/>
    </row>
    <row r="458" ht="15.75" customHeight="1" s="57">
      <c r="AD458" s="54" t="n"/>
      <c r="AJ458" s="56" t="n"/>
    </row>
    <row r="459" ht="15.75" customHeight="1" s="57">
      <c r="AD459" s="54" t="n"/>
      <c r="AJ459" s="56" t="n"/>
    </row>
    <row r="460" ht="15.75" customHeight="1" s="57">
      <c r="AD460" s="54" t="n"/>
      <c r="AJ460" s="56" t="n"/>
    </row>
    <row r="461" ht="15.75" customHeight="1" s="57">
      <c r="AD461" s="54" t="n"/>
      <c r="AJ461" s="56" t="n"/>
    </row>
    <row r="462" ht="15.75" customHeight="1" s="57">
      <c r="AD462" s="54" t="n"/>
      <c r="AJ462" s="56" t="n"/>
    </row>
    <row r="463" ht="15.75" customHeight="1" s="57">
      <c r="AD463" s="54" t="n"/>
      <c r="AJ463" s="56" t="n"/>
    </row>
    <row r="464" ht="15.75" customHeight="1" s="57">
      <c r="AD464" s="54" t="n"/>
      <c r="AJ464" s="56" t="n"/>
    </row>
    <row r="465" ht="15.75" customHeight="1" s="57">
      <c r="AD465" s="54" t="n"/>
      <c r="AJ465" s="56" t="n"/>
    </row>
    <row r="466" ht="15.75" customHeight="1" s="57">
      <c r="AD466" s="54" t="n"/>
      <c r="AJ466" s="56" t="n"/>
    </row>
    <row r="467" ht="15.75" customHeight="1" s="57">
      <c r="AD467" s="54" t="n"/>
      <c r="AJ467" s="56" t="n"/>
    </row>
    <row r="468" ht="15.75" customHeight="1" s="57">
      <c r="AD468" s="54" t="n"/>
      <c r="AJ468" s="56" t="n"/>
    </row>
    <row r="469" ht="15.75" customHeight="1" s="57">
      <c r="AD469" s="54" t="n"/>
      <c r="AJ469" s="56" t="n"/>
    </row>
    <row r="470" ht="15.75" customHeight="1" s="57">
      <c r="AD470" s="54" t="n"/>
      <c r="AJ470" s="56" t="n"/>
    </row>
    <row r="471" ht="15.75" customHeight="1" s="57">
      <c r="AD471" s="54" t="n"/>
      <c r="AJ471" s="56" t="n"/>
    </row>
    <row r="472" ht="15.75" customHeight="1" s="57">
      <c r="AD472" s="54" t="n"/>
      <c r="AJ472" s="56" t="n"/>
    </row>
    <row r="473" ht="15.75" customHeight="1" s="57">
      <c r="AD473" s="54" t="n"/>
      <c r="AJ473" s="56" t="n"/>
    </row>
    <row r="474" ht="15.75" customHeight="1" s="57">
      <c r="AD474" s="54" t="n"/>
      <c r="AJ474" s="56" t="n"/>
    </row>
    <row r="475" ht="15.75" customHeight="1" s="57">
      <c r="AD475" s="54" t="n"/>
      <c r="AJ475" s="56" t="n"/>
    </row>
    <row r="476" ht="15.75" customHeight="1" s="57">
      <c r="AD476" s="54" t="n"/>
      <c r="AJ476" s="56" t="n"/>
    </row>
    <row r="477" ht="15.75" customHeight="1" s="57">
      <c r="AD477" s="54" t="n"/>
      <c r="AJ477" s="56" t="n"/>
    </row>
    <row r="478" ht="15.75" customHeight="1" s="57">
      <c r="AD478" s="54" t="n"/>
      <c r="AJ478" s="56" t="n"/>
    </row>
    <row r="479" ht="15.75" customHeight="1" s="57">
      <c r="AD479" s="54" t="n"/>
      <c r="AJ479" s="56" t="n"/>
    </row>
    <row r="480" ht="15.75" customHeight="1" s="57">
      <c r="AD480" s="54" t="n"/>
      <c r="AJ480" s="56" t="n"/>
    </row>
    <row r="481" ht="15.75" customHeight="1" s="57">
      <c r="AD481" s="54" t="n"/>
      <c r="AJ481" s="56" t="n"/>
    </row>
    <row r="482" ht="15.75" customHeight="1" s="57">
      <c r="AD482" s="54" t="n"/>
      <c r="AJ482" s="56" t="n"/>
    </row>
    <row r="483" ht="15.75" customHeight="1" s="57">
      <c r="AD483" s="54" t="n"/>
      <c r="AJ483" s="56" t="n"/>
    </row>
    <row r="484" ht="15.75" customHeight="1" s="57">
      <c r="AD484" s="54" t="n"/>
      <c r="AJ484" s="56" t="n"/>
    </row>
    <row r="485" ht="15.75" customHeight="1" s="57">
      <c r="AD485" s="54" t="n"/>
      <c r="AJ485" s="56" t="n"/>
    </row>
    <row r="486" ht="15.75" customHeight="1" s="57">
      <c r="AD486" s="54" t="n"/>
      <c r="AJ486" s="56" t="n"/>
    </row>
    <row r="487" ht="15.75" customHeight="1" s="57">
      <c r="AD487" s="54" t="n"/>
      <c r="AJ487" s="56" t="n"/>
    </row>
    <row r="488" ht="15.75" customHeight="1" s="57">
      <c r="AD488" s="54" t="n"/>
      <c r="AJ488" s="56" t="n"/>
    </row>
    <row r="489" ht="15.75" customHeight="1" s="57">
      <c r="AD489" s="54" t="n"/>
      <c r="AJ489" s="56" t="n"/>
    </row>
    <row r="490" ht="15.75" customHeight="1" s="57">
      <c r="AD490" s="54" t="n"/>
      <c r="AJ490" s="56" t="n"/>
    </row>
    <row r="491" ht="15.75" customHeight="1" s="57">
      <c r="AD491" s="54" t="n"/>
      <c r="AJ491" s="56" t="n"/>
    </row>
    <row r="492" ht="15.75" customHeight="1" s="57">
      <c r="AD492" s="54" t="n"/>
      <c r="AJ492" s="56" t="n"/>
    </row>
    <row r="493" ht="15.75" customHeight="1" s="57">
      <c r="AD493" s="54" t="n"/>
      <c r="AJ493" s="56" t="n"/>
    </row>
    <row r="494" ht="15.75" customHeight="1" s="57">
      <c r="AD494" s="54" t="n"/>
      <c r="AJ494" s="56" t="n"/>
    </row>
    <row r="495" ht="15.75" customHeight="1" s="57">
      <c r="AD495" s="54" t="n"/>
      <c r="AJ495" s="56" t="n"/>
    </row>
    <row r="496" ht="15.75" customHeight="1" s="57">
      <c r="AD496" s="54" t="n"/>
      <c r="AJ496" s="56" t="n"/>
    </row>
    <row r="497" ht="15.75" customHeight="1" s="57">
      <c r="AD497" s="54" t="n"/>
      <c r="AJ497" s="56" t="n"/>
    </row>
    <row r="498" ht="15.75" customHeight="1" s="57">
      <c r="AD498" s="54" t="n"/>
      <c r="AJ498" s="56" t="n"/>
    </row>
    <row r="499" ht="15.75" customHeight="1" s="57">
      <c r="AD499" s="54" t="n"/>
      <c r="AJ499" s="56" t="n"/>
    </row>
    <row r="500" ht="15.75" customHeight="1" s="57">
      <c r="AD500" s="54" t="n"/>
      <c r="AJ500" s="56" t="n"/>
    </row>
    <row r="501" ht="15.75" customHeight="1" s="57">
      <c r="AD501" s="54" t="n"/>
      <c r="AJ501" s="56" t="n"/>
    </row>
    <row r="502" ht="15.75" customHeight="1" s="57">
      <c r="AD502" s="54" t="n"/>
      <c r="AJ502" s="56" t="n"/>
    </row>
    <row r="503" ht="15.75" customHeight="1" s="57">
      <c r="AD503" s="54" t="n"/>
      <c r="AJ503" s="56" t="n"/>
    </row>
    <row r="504" ht="15.75" customHeight="1" s="57">
      <c r="AD504" s="54" t="n"/>
      <c r="AJ504" s="56" t="n"/>
    </row>
    <row r="505" ht="15.75" customHeight="1" s="57">
      <c r="AD505" s="54" t="n"/>
      <c r="AJ505" s="56" t="n"/>
    </row>
    <row r="506" ht="15.75" customHeight="1" s="57">
      <c r="AD506" s="54" t="n"/>
      <c r="AJ506" s="56" t="n"/>
    </row>
    <row r="507" ht="15.75" customHeight="1" s="57">
      <c r="AD507" s="54" t="n"/>
      <c r="AJ507" s="56" t="n"/>
    </row>
    <row r="508" ht="15.75" customHeight="1" s="57">
      <c r="AD508" s="54" t="n"/>
      <c r="AJ508" s="56" t="n"/>
    </row>
    <row r="509" ht="15.75" customHeight="1" s="57">
      <c r="AD509" s="54" t="n"/>
      <c r="AJ509" s="56" t="n"/>
    </row>
    <row r="510" ht="15.75" customHeight="1" s="57">
      <c r="AD510" s="54" t="n"/>
      <c r="AJ510" s="56" t="n"/>
    </row>
    <row r="511" ht="15.75" customHeight="1" s="57">
      <c r="AD511" s="54" t="n"/>
      <c r="AJ511" s="56" t="n"/>
    </row>
    <row r="512" ht="15.75" customHeight="1" s="57">
      <c r="AD512" s="54" t="n"/>
      <c r="AJ512" s="56" t="n"/>
    </row>
    <row r="513" ht="15.75" customHeight="1" s="57">
      <c r="AD513" s="54" t="n"/>
      <c r="AJ513" s="56" t="n"/>
    </row>
    <row r="514" ht="15.75" customHeight="1" s="57">
      <c r="AD514" s="54" t="n"/>
      <c r="AJ514" s="56" t="n"/>
    </row>
    <row r="515" ht="15.75" customHeight="1" s="57">
      <c r="AD515" s="54" t="n"/>
      <c r="AJ515" s="56" t="n"/>
    </row>
    <row r="516" ht="15.75" customHeight="1" s="57">
      <c r="AD516" s="54" t="n"/>
      <c r="AJ516" s="56" t="n"/>
    </row>
    <row r="517" ht="15.75" customHeight="1" s="57">
      <c r="AD517" s="54" t="n"/>
      <c r="AJ517" s="56" t="n"/>
    </row>
    <row r="518" ht="15.75" customHeight="1" s="57">
      <c r="AD518" s="54" t="n"/>
      <c r="AJ518" s="56" t="n"/>
    </row>
    <row r="519" ht="15.75" customHeight="1" s="57">
      <c r="AD519" s="54" t="n"/>
      <c r="AJ519" s="56" t="n"/>
    </row>
    <row r="520" ht="15.75" customHeight="1" s="57">
      <c r="AD520" s="54" t="n"/>
      <c r="AJ520" s="56" t="n"/>
    </row>
    <row r="521" ht="15.75" customHeight="1" s="57">
      <c r="AD521" s="54" t="n"/>
      <c r="AJ521" s="56" t="n"/>
    </row>
    <row r="522" ht="15.75" customHeight="1" s="57">
      <c r="AD522" s="54" t="n"/>
      <c r="AJ522" s="56" t="n"/>
    </row>
    <row r="523" ht="15.75" customHeight="1" s="57">
      <c r="AD523" s="54" t="n"/>
      <c r="AJ523" s="56" t="n"/>
    </row>
    <row r="524" ht="15.75" customHeight="1" s="57">
      <c r="AD524" s="54" t="n"/>
      <c r="AJ524" s="56" t="n"/>
    </row>
    <row r="525" ht="15.75" customHeight="1" s="57">
      <c r="AD525" s="54" t="n"/>
      <c r="AJ525" s="56" t="n"/>
    </row>
    <row r="526" ht="15.75" customHeight="1" s="57">
      <c r="AD526" s="54" t="n"/>
      <c r="AJ526" s="56" t="n"/>
    </row>
    <row r="527" ht="15.75" customHeight="1" s="57">
      <c r="AD527" s="54" t="n"/>
      <c r="AJ527" s="56" t="n"/>
    </row>
    <row r="528" ht="15.75" customHeight="1" s="57">
      <c r="AD528" s="54" t="n"/>
      <c r="AJ528" s="56" t="n"/>
    </row>
    <row r="529" ht="15.75" customHeight="1" s="57">
      <c r="AD529" s="54" t="n"/>
      <c r="AJ529" s="56" t="n"/>
    </row>
    <row r="530" ht="15.75" customHeight="1" s="57">
      <c r="AD530" s="54" t="n"/>
      <c r="AJ530" s="56" t="n"/>
    </row>
    <row r="531" ht="15.75" customHeight="1" s="57">
      <c r="AD531" s="54" t="n"/>
      <c r="AJ531" s="56" t="n"/>
    </row>
    <row r="532" ht="15.75" customHeight="1" s="57">
      <c r="AD532" s="54" t="n"/>
      <c r="AJ532" s="56" t="n"/>
    </row>
    <row r="533" ht="15.75" customHeight="1" s="57">
      <c r="AD533" s="54" t="n"/>
      <c r="AJ533" s="56" t="n"/>
    </row>
    <row r="534" ht="15.75" customHeight="1" s="57">
      <c r="AD534" s="54" t="n"/>
      <c r="AJ534" s="56" t="n"/>
    </row>
    <row r="535" ht="15.75" customHeight="1" s="57">
      <c r="AD535" s="54" t="n"/>
      <c r="AJ535" s="56" t="n"/>
    </row>
    <row r="536" ht="15.75" customHeight="1" s="57">
      <c r="AD536" s="54" t="n"/>
      <c r="AJ536" s="56" t="n"/>
    </row>
    <row r="537" ht="15.75" customHeight="1" s="57">
      <c r="AD537" s="54" t="n"/>
      <c r="AJ537" s="56" t="n"/>
    </row>
    <row r="538" ht="15.75" customHeight="1" s="57">
      <c r="AD538" s="54" t="n"/>
      <c r="AJ538" s="56" t="n"/>
    </row>
    <row r="539" ht="15.75" customHeight="1" s="57">
      <c r="AD539" s="54" t="n"/>
      <c r="AJ539" s="56" t="n"/>
    </row>
    <row r="540" ht="15.75" customHeight="1" s="57">
      <c r="AD540" s="54" t="n"/>
      <c r="AJ540" s="56" t="n"/>
    </row>
    <row r="541" ht="15.75" customHeight="1" s="57">
      <c r="AD541" s="54" t="n"/>
      <c r="AJ541" s="56" t="n"/>
    </row>
    <row r="542" ht="15.75" customHeight="1" s="57">
      <c r="AD542" s="54" t="n"/>
      <c r="AJ542" s="56" t="n"/>
    </row>
    <row r="543" ht="15.75" customHeight="1" s="57">
      <c r="AD543" s="54" t="n"/>
      <c r="AJ543" s="56" t="n"/>
    </row>
    <row r="544" ht="15.75" customHeight="1" s="57">
      <c r="AD544" s="54" t="n"/>
      <c r="AJ544" s="56" t="n"/>
    </row>
    <row r="545" ht="15.75" customHeight="1" s="57">
      <c r="AD545" s="54" t="n"/>
      <c r="AJ545" s="56" t="n"/>
    </row>
    <row r="546" ht="15.75" customHeight="1" s="57">
      <c r="AD546" s="54" t="n"/>
      <c r="AJ546" s="56" t="n"/>
    </row>
    <row r="547" ht="15.75" customHeight="1" s="57">
      <c r="AD547" s="54" t="n"/>
      <c r="AJ547" s="56" t="n"/>
    </row>
    <row r="548" ht="15.75" customHeight="1" s="57">
      <c r="AD548" s="54" t="n"/>
      <c r="AJ548" s="56" t="n"/>
    </row>
    <row r="549" ht="15.75" customHeight="1" s="57">
      <c r="AD549" s="54" t="n"/>
      <c r="AJ549" s="56" t="n"/>
    </row>
    <row r="550" ht="15.75" customHeight="1" s="57">
      <c r="AD550" s="54" t="n"/>
      <c r="AJ550" s="56" t="n"/>
    </row>
    <row r="551" ht="15.75" customHeight="1" s="57">
      <c r="AD551" s="54" t="n"/>
      <c r="AJ551" s="56" t="n"/>
    </row>
    <row r="552" ht="15.75" customHeight="1" s="57">
      <c r="AD552" s="54" t="n"/>
      <c r="AJ552" s="56" t="n"/>
    </row>
    <row r="553" ht="15.75" customHeight="1" s="57">
      <c r="AD553" s="54" t="n"/>
      <c r="AJ553" s="56" t="n"/>
    </row>
    <row r="554" ht="15.75" customHeight="1" s="57">
      <c r="AD554" s="54" t="n"/>
      <c r="AJ554" s="56" t="n"/>
    </row>
    <row r="555" ht="15.75" customHeight="1" s="57">
      <c r="AD555" s="54" t="n"/>
      <c r="AJ555" s="56" t="n"/>
    </row>
    <row r="556" ht="15.75" customHeight="1" s="57">
      <c r="AD556" s="54" t="n"/>
      <c r="AJ556" s="56" t="n"/>
    </row>
    <row r="557" ht="15.75" customHeight="1" s="57">
      <c r="AD557" s="54" t="n"/>
      <c r="AJ557" s="56" t="n"/>
    </row>
    <row r="558" ht="15.75" customHeight="1" s="57">
      <c r="AD558" s="54" t="n"/>
      <c r="AJ558" s="56" t="n"/>
    </row>
    <row r="559" ht="15.75" customHeight="1" s="57">
      <c r="AD559" s="54" t="n"/>
      <c r="AJ559" s="56" t="n"/>
    </row>
    <row r="560" ht="15.75" customHeight="1" s="57">
      <c r="AD560" s="54" t="n"/>
      <c r="AJ560" s="56" t="n"/>
    </row>
    <row r="561" ht="15.75" customHeight="1" s="57">
      <c r="AD561" s="54" t="n"/>
      <c r="AJ561" s="56" t="n"/>
    </row>
    <row r="562" ht="15.75" customHeight="1" s="57">
      <c r="AD562" s="54" t="n"/>
      <c r="AJ562" s="56" t="n"/>
    </row>
    <row r="563" ht="15.75" customHeight="1" s="57">
      <c r="AD563" s="54" t="n"/>
      <c r="AJ563" s="56" t="n"/>
    </row>
    <row r="564" ht="15.75" customHeight="1" s="57">
      <c r="AD564" s="54" t="n"/>
      <c r="AJ564" s="56" t="n"/>
    </row>
    <row r="565" ht="15.75" customHeight="1" s="57">
      <c r="AD565" s="54" t="n"/>
      <c r="AJ565" s="56" t="n"/>
    </row>
    <row r="566" ht="15.75" customHeight="1" s="57">
      <c r="AD566" s="54" t="n"/>
      <c r="AJ566" s="56" t="n"/>
    </row>
    <row r="567" ht="15.75" customHeight="1" s="57">
      <c r="AD567" s="54" t="n"/>
      <c r="AJ567" s="56" t="n"/>
    </row>
    <row r="568" ht="15.75" customHeight="1" s="57">
      <c r="AD568" s="54" t="n"/>
      <c r="AJ568" s="56" t="n"/>
    </row>
    <row r="569" ht="15.75" customHeight="1" s="57">
      <c r="AD569" s="54" t="n"/>
      <c r="AJ569" s="56" t="n"/>
    </row>
    <row r="570" ht="15.75" customHeight="1" s="57">
      <c r="AD570" s="54" t="n"/>
      <c r="AJ570" s="56" t="n"/>
    </row>
    <row r="571" ht="15.75" customHeight="1" s="57">
      <c r="AD571" s="54" t="n"/>
      <c r="AJ571" s="56" t="n"/>
    </row>
    <row r="572" ht="15.75" customHeight="1" s="57">
      <c r="AD572" s="54" t="n"/>
      <c r="AJ572" s="56" t="n"/>
    </row>
    <row r="573" ht="15.75" customHeight="1" s="57">
      <c r="AD573" s="54" t="n"/>
      <c r="AJ573" s="56" t="n"/>
    </row>
    <row r="574" ht="15.75" customHeight="1" s="57">
      <c r="AD574" s="54" t="n"/>
      <c r="AJ574" s="56" t="n"/>
    </row>
    <row r="575" ht="15.75" customHeight="1" s="57">
      <c r="AD575" s="54" t="n"/>
      <c r="AJ575" s="56" t="n"/>
    </row>
    <row r="576" ht="15.75" customHeight="1" s="57">
      <c r="AD576" s="54" t="n"/>
      <c r="AJ576" s="56" t="n"/>
    </row>
    <row r="577" ht="15.75" customHeight="1" s="57">
      <c r="AD577" s="54" t="n"/>
      <c r="AJ577" s="56" t="n"/>
    </row>
    <row r="578" ht="15.75" customHeight="1" s="57">
      <c r="AD578" s="54" t="n"/>
      <c r="AJ578" s="56" t="n"/>
    </row>
    <row r="579" ht="15.75" customHeight="1" s="57">
      <c r="AD579" s="54" t="n"/>
      <c r="AJ579" s="56" t="n"/>
    </row>
    <row r="580" ht="15.75" customHeight="1" s="57">
      <c r="AD580" s="54" t="n"/>
      <c r="AJ580" s="56" t="n"/>
    </row>
    <row r="581" ht="15.75" customHeight="1" s="57">
      <c r="AD581" s="54" t="n"/>
      <c r="AJ581" s="56" t="n"/>
    </row>
    <row r="582" ht="15.75" customHeight="1" s="57">
      <c r="AD582" s="54" t="n"/>
      <c r="AJ582" s="56" t="n"/>
    </row>
    <row r="583" ht="15.75" customHeight="1" s="57">
      <c r="AD583" s="54" t="n"/>
      <c r="AJ583" s="56" t="n"/>
    </row>
    <row r="584" ht="15.75" customHeight="1" s="57">
      <c r="AD584" s="54" t="n"/>
      <c r="AJ584" s="56" t="n"/>
    </row>
    <row r="585" ht="15.75" customHeight="1" s="57">
      <c r="AD585" s="54" t="n"/>
      <c r="AJ585" s="56" t="n"/>
    </row>
    <row r="586" ht="15.75" customHeight="1" s="57">
      <c r="AD586" s="54" t="n"/>
      <c r="AJ586" s="56" t="n"/>
    </row>
    <row r="587" ht="15.75" customHeight="1" s="57">
      <c r="AD587" s="54" t="n"/>
      <c r="AJ587" s="56" t="n"/>
    </row>
    <row r="588" ht="15.75" customHeight="1" s="57">
      <c r="AD588" s="54" t="n"/>
      <c r="AJ588" s="56" t="n"/>
    </row>
    <row r="589" ht="15.75" customHeight="1" s="57">
      <c r="AD589" s="54" t="n"/>
      <c r="AJ589" s="56" t="n"/>
    </row>
    <row r="590" ht="15.75" customHeight="1" s="57">
      <c r="AD590" s="54" t="n"/>
      <c r="AJ590" s="56" t="n"/>
    </row>
    <row r="591" ht="15.75" customHeight="1" s="57">
      <c r="AD591" s="54" t="n"/>
      <c r="AJ591" s="56" t="n"/>
    </row>
    <row r="592" ht="15.75" customHeight="1" s="57">
      <c r="AD592" s="54" t="n"/>
      <c r="AJ592" s="56" t="n"/>
    </row>
    <row r="593" ht="15.75" customHeight="1" s="57">
      <c r="AD593" s="54" t="n"/>
      <c r="AJ593" s="56" t="n"/>
    </row>
    <row r="594" ht="15.75" customHeight="1" s="57">
      <c r="AD594" s="54" t="n"/>
      <c r="AJ594" s="56" t="n"/>
    </row>
    <row r="595" ht="15.75" customHeight="1" s="57">
      <c r="AD595" s="54" t="n"/>
      <c r="AJ595" s="56" t="n"/>
    </row>
    <row r="596" ht="15.75" customHeight="1" s="57">
      <c r="AD596" s="54" t="n"/>
      <c r="AJ596" s="56" t="n"/>
    </row>
    <row r="597" ht="15.75" customHeight="1" s="57">
      <c r="AD597" s="54" t="n"/>
      <c r="AJ597" s="56" t="n"/>
    </row>
    <row r="598" ht="15.75" customHeight="1" s="57">
      <c r="AD598" s="54" t="n"/>
      <c r="AJ598" s="56" t="n"/>
    </row>
    <row r="599" ht="15.75" customHeight="1" s="57">
      <c r="AD599" s="54" t="n"/>
      <c r="AJ599" s="56" t="n"/>
    </row>
    <row r="600" ht="15.75" customHeight="1" s="57">
      <c r="AD600" s="54" t="n"/>
      <c r="AJ600" s="56" t="n"/>
    </row>
    <row r="601" ht="15.75" customHeight="1" s="57">
      <c r="AD601" s="54" t="n"/>
      <c r="AJ601" s="56" t="n"/>
    </row>
    <row r="602" ht="15.75" customHeight="1" s="57">
      <c r="AD602" s="54" t="n"/>
      <c r="AJ602" s="56" t="n"/>
    </row>
    <row r="603" ht="15.75" customHeight="1" s="57">
      <c r="AD603" s="54" t="n"/>
      <c r="AJ603" s="56" t="n"/>
    </row>
    <row r="604" ht="15.75" customHeight="1" s="57">
      <c r="AD604" s="54" t="n"/>
      <c r="AJ604" s="56" t="n"/>
    </row>
    <row r="605" ht="15.75" customHeight="1" s="57">
      <c r="AD605" s="54" t="n"/>
      <c r="AJ605" s="56" t="n"/>
    </row>
    <row r="606" ht="15.75" customHeight="1" s="57">
      <c r="AD606" s="54" t="n"/>
      <c r="AJ606" s="56" t="n"/>
    </row>
    <row r="607" ht="15.75" customHeight="1" s="57">
      <c r="AD607" s="54" t="n"/>
      <c r="AJ607" s="56" t="n"/>
    </row>
    <row r="608" ht="15.75" customHeight="1" s="57">
      <c r="AD608" s="54" t="n"/>
      <c r="AJ608" s="56" t="n"/>
    </row>
    <row r="609" ht="15.75" customHeight="1" s="57">
      <c r="AD609" s="54" t="n"/>
      <c r="AJ609" s="56" t="n"/>
    </row>
    <row r="610" ht="15.75" customHeight="1" s="57">
      <c r="AD610" s="54" t="n"/>
      <c r="AJ610" s="56" t="n"/>
    </row>
    <row r="611" ht="15.75" customHeight="1" s="57">
      <c r="AD611" s="54" t="n"/>
      <c r="AJ611" s="56" t="n"/>
    </row>
    <row r="612" ht="15.75" customHeight="1" s="57">
      <c r="AD612" s="54" t="n"/>
      <c r="AJ612" s="56" t="n"/>
    </row>
    <row r="613" ht="15.75" customHeight="1" s="57">
      <c r="AD613" s="54" t="n"/>
      <c r="AJ613" s="56" t="n"/>
    </row>
    <row r="614" ht="15.75" customHeight="1" s="57">
      <c r="AD614" s="54" t="n"/>
      <c r="AJ614" s="56" t="n"/>
    </row>
    <row r="615" ht="15.75" customHeight="1" s="57">
      <c r="AD615" s="54" t="n"/>
      <c r="AJ615" s="56" t="n"/>
    </row>
    <row r="616" ht="15.75" customHeight="1" s="57">
      <c r="AD616" s="54" t="n"/>
      <c r="AJ616" s="56" t="n"/>
    </row>
    <row r="617" ht="15.75" customHeight="1" s="57">
      <c r="AD617" s="54" t="n"/>
      <c r="AJ617" s="56" t="n"/>
    </row>
    <row r="618" ht="15.75" customHeight="1" s="57">
      <c r="AD618" s="54" t="n"/>
      <c r="AJ618" s="56" t="n"/>
    </row>
    <row r="619" ht="15.75" customHeight="1" s="57">
      <c r="AD619" s="54" t="n"/>
      <c r="AJ619" s="56" t="n"/>
    </row>
    <row r="620" ht="15.75" customHeight="1" s="57">
      <c r="AD620" s="54" t="n"/>
      <c r="AJ620" s="56" t="n"/>
    </row>
    <row r="621" ht="15.75" customHeight="1" s="57">
      <c r="AD621" s="54" t="n"/>
      <c r="AJ621" s="56" t="n"/>
    </row>
    <row r="622" ht="15.75" customHeight="1" s="57">
      <c r="AD622" s="54" t="n"/>
      <c r="AJ622" s="56" t="n"/>
    </row>
    <row r="623" ht="15.75" customHeight="1" s="57">
      <c r="AD623" s="54" t="n"/>
      <c r="AJ623" s="56" t="n"/>
    </row>
    <row r="624" ht="15.75" customHeight="1" s="57">
      <c r="AD624" s="54" t="n"/>
      <c r="AJ624" s="56" t="n"/>
    </row>
    <row r="625" ht="15.75" customHeight="1" s="57">
      <c r="AD625" s="54" t="n"/>
      <c r="AJ625" s="56" t="n"/>
    </row>
    <row r="626" ht="15.75" customHeight="1" s="57">
      <c r="AD626" s="54" t="n"/>
      <c r="AJ626" s="56" t="n"/>
    </row>
    <row r="627" ht="15.75" customHeight="1" s="57">
      <c r="AD627" s="54" t="n"/>
      <c r="AJ627" s="56" t="n"/>
    </row>
    <row r="628" ht="15.75" customHeight="1" s="57">
      <c r="AD628" s="54" t="n"/>
      <c r="AJ628" s="56" t="n"/>
    </row>
    <row r="629" ht="15.75" customHeight="1" s="57">
      <c r="AD629" s="54" t="n"/>
      <c r="AJ629" s="56" t="n"/>
    </row>
    <row r="630" ht="15.75" customHeight="1" s="57">
      <c r="AD630" s="54" t="n"/>
      <c r="AJ630" s="56" t="n"/>
    </row>
    <row r="631" ht="15.75" customHeight="1" s="57">
      <c r="AD631" s="54" t="n"/>
      <c r="AJ631" s="56" t="n"/>
    </row>
    <row r="632" ht="15.75" customHeight="1" s="57">
      <c r="AD632" s="54" t="n"/>
      <c r="AJ632" s="56" t="n"/>
    </row>
    <row r="633" ht="15.75" customHeight="1" s="57">
      <c r="AD633" s="54" t="n"/>
      <c r="AJ633" s="56" t="n"/>
    </row>
    <row r="634" ht="15.75" customHeight="1" s="57">
      <c r="AD634" s="54" t="n"/>
      <c r="AJ634" s="56" t="n"/>
    </row>
    <row r="635" ht="15.75" customHeight="1" s="57">
      <c r="AD635" s="54" t="n"/>
      <c r="AJ635" s="56" t="n"/>
    </row>
    <row r="636" ht="15.75" customHeight="1" s="57">
      <c r="AD636" s="54" t="n"/>
      <c r="AJ636" s="56" t="n"/>
    </row>
    <row r="637" ht="15.75" customHeight="1" s="57">
      <c r="AD637" s="54" t="n"/>
      <c r="AJ637" s="56" t="n"/>
    </row>
    <row r="638" ht="15.75" customHeight="1" s="57">
      <c r="AD638" s="54" t="n"/>
      <c r="AJ638" s="56" t="n"/>
    </row>
    <row r="639" ht="15.75" customHeight="1" s="57">
      <c r="AD639" s="54" t="n"/>
      <c r="AJ639" s="56" t="n"/>
    </row>
    <row r="640" ht="15.75" customHeight="1" s="57">
      <c r="AD640" s="54" t="n"/>
      <c r="AJ640" s="56" t="n"/>
    </row>
    <row r="641" ht="15.75" customHeight="1" s="57">
      <c r="AD641" s="54" t="n"/>
      <c r="AJ641" s="56" t="n"/>
    </row>
    <row r="642" ht="15.75" customHeight="1" s="57">
      <c r="AD642" s="54" t="n"/>
      <c r="AJ642" s="56" t="n"/>
    </row>
    <row r="643" ht="15.75" customHeight="1" s="57">
      <c r="AD643" s="54" t="n"/>
      <c r="AJ643" s="56" t="n"/>
    </row>
    <row r="644" ht="15.75" customHeight="1" s="57">
      <c r="AD644" s="54" t="n"/>
      <c r="AJ644" s="56" t="n"/>
    </row>
    <row r="645" ht="15.75" customHeight="1" s="57">
      <c r="AD645" s="54" t="n"/>
      <c r="AJ645" s="56" t="n"/>
    </row>
    <row r="646" ht="15.75" customHeight="1" s="57">
      <c r="AD646" s="54" t="n"/>
      <c r="AJ646" s="56" t="n"/>
    </row>
    <row r="647" ht="15.75" customHeight="1" s="57">
      <c r="AD647" s="54" t="n"/>
      <c r="AJ647" s="56" t="n"/>
    </row>
    <row r="648" ht="15.75" customHeight="1" s="57">
      <c r="AD648" s="54" t="n"/>
      <c r="AJ648" s="56" t="n"/>
    </row>
    <row r="649" ht="15.75" customHeight="1" s="57">
      <c r="AD649" s="54" t="n"/>
      <c r="AJ649" s="56" t="n"/>
    </row>
    <row r="650" ht="15.75" customHeight="1" s="57">
      <c r="AD650" s="54" t="n"/>
      <c r="AJ650" s="56" t="n"/>
    </row>
    <row r="651" ht="15.75" customHeight="1" s="57">
      <c r="AD651" s="54" t="n"/>
      <c r="AJ651" s="56" t="n"/>
    </row>
    <row r="652" ht="15.75" customHeight="1" s="57">
      <c r="AD652" s="54" t="n"/>
      <c r="AJ652" s="56" t="n"/>
    </row>
    <row r="653" ht="15.75" customHeight="1" s="57">
      <c r="AD653" s="54" t="n"/>
      <c r="AJ653" s="56" t="n"/>
    </row>
    <row r="654" ht="15.75" customHeight="1" s="57">
      <c r="AD654" s="54" t="n"/>
      <c r="AJ654" s="56" t="n"/>
    </row>
    <row r="655" ht="15.75" customHeight="1" s="57">
      <c r="AD655" s="54" t="n"/>
      <c r="AJ655" s="56" t="n"/>
    </row>
    <row r="656" ht="15.75" customHeight="1" s="57">
      <c r="AD656" s="54" t="n"/>
      <c r="AJ656" s="56" t="n"/>
    </row>
    <row r="657" ht="15.75" customHeight="1" s="57">
      <c r="AD657" s="54" t="n"/>
      <c r="AJ657" s="56" t="n"/>
    </row>
    <row r="658" ht="15.75" customHeight="1" s="57">
      <c r="AD658" s="54" t="n"/>
      <c r="AJ658" s="56" t="n"/>
    </row>
    <row r="659" ht="15.75" customHeight="1" s="57">
      <c r="AD659" s="54" t="n"/>
      <c r="AJ659" s="56" t="n"/>
    </row>
    <row r="660" ht="15.75" customHeight="1" s="57">
      <c r="AD660" s="54" t="n"/>
      <c r="AJ660" s="56" t="n"/>
    </row>
    <row r="661" ht="15.75" customHeight="1" s="57">
      <c r="AD661" s="54" t="n"/>
      <c r="AJ661" s="56" t="n"/>
    </row>
    <row r="662" ht="15.75" customHeight="1" s="57">
      <c r="AD662" s="54" t="n"/>
      <c r="AJ662" s="56" t="n"/>
    </row>
    <row r="663" ht="15.75" customHeight="1" s="57">
      <c r="AD663" s="54" t="n"/>
      <c r="AJ663" s="56" t="n"/>
    </row>
    <row r="664" ht="15.75" customHeight="1" s="57">
      <c r="AD664" s="54" t="n"/>
      <c r="AJ664" s="56" t="n"/>
    </row>
    <row r="665" ht="15.75" customHeight="1" s="57">
      <c r="AD665" s="54" t="n"/>
      <c r="AJ665" s="56" t="n"/>
    </row>
    <row r="666" ht="15.75" customHeight="1" s="57">
      <c r="AD666" s="54" t="n"/>
      <c r="AJ666" s="56" t="n"/>
    </row>
    <row r="667" ht="15.75" customHeight="1" s="57">
      <c r="AD667" s="54" t="n"/>
      <c r="AJ667" s="56" t="n"/>
    </row>
    <row r="668" ht="15.75" customHeight="1" s="57">
      <c r="AD668" s="54" t="n"/>
      <c r="AJ668" s="56" t="n"/>
    </row>
    <row r="669" ht="15.75" customHeight="1" s="57">
      <c r="AD669" s="54" t="n"/>
      <c r="AJ669" s="56" t="n"/>
    </row>
    <row r="670" ht="15.75" customHeight="1" s="57">
      <c r="AD670" s="54" t="n"/>
      <c r="AJ670" s="56" t="n"/>
    </row>
    <row r="671" ht="15.75" customHeight="1" s="57">
      <c r="AD671" s="54" t="n"/>
      <c r="AJ671" s="56" t="n"/>
    </row>
    <row r="672" ht="15.75" customHeight="1" s="57">
      <c r="AD672" s="54" t="n"/>
      <c r="AJ672" s="56" t="n"/>
    </row>
    <row r="673" ht="15.75" customHeight="1" s="57">
      <c r="AD673" s="54" t="n"/>
      <c r="AJ673" s="56" t="n"/>
    </row>
    <row r="674" ht="15.75" customHeight="1" s="57">
      <c r="AD674" s="54" t="n"/>
      <c r="AJ674" s="56" t="n"/>
    </row>
    <row r="675" ht="15.75" customHeight="1" s="57">
      <c r="AD675" s="54" t="n"/>
      <c r="AJ675" s="56" t="n"/>
    </row>
    <row r="676" ht="15.75" customHeight="1" s="57">
      <c r="AD676" s="54" t="n"/>
      <c r="AJ676" s="56" t="n"/>
    </row>
    <row r="677" ht="15.75" customHeight="1" s="57">
      <c r="AD677" s="54" t="n"/>
      <c r="AJ677" s="56" t="n"/>
    </row>
    <row r="678" ht="15.75" customHeight="1" s="57">
      <c r="AD678" s="54" t="n"/>
      <c r="AJ678" s="56" t="n"/>
    </row>
    <row r="679" ht="15.75" customHeight="1" s="57">
      <c r="AD679" s="54" t="n"/>
      <c r="AJ679" s="56" t="n"/>
    </row>
    <row r="680" ht="15.75" customHeight="1" s="57">
      <c r="AD680" s="54" t="n"/>
      <c r="AJ680" s="56" t="n"/>
    </row>
    <row r="681" ht="15.75" customHeight="1" s="57">
      <c r="AD681" s="54" t="n"/>
      <c r="AJ681" s="56" t="n"/>
    </row>
    <row r="682" ht="15.75" customHeight="1" s="57">
      <c r="AD682" s="54" t="n"/>
      <c r="AJ682" s="56" t="n"/>
    </row>
    <row r="683" ht="15.75" customHeight="1" s="57">
      <c r="AD683" s="54" t="n"/>
      <c r="AJ683" s="56" t="n"/>
    </row>
    <row r="684" ht="15.75" customHeight="1" s="57">
      <c r="AD684" s="54" t="n"/>
      <c r="AJ684" s="56" t="n"/>
    </row>
    <row r="685" ht="15.75" customHeight="1" s="57">
      <c r="AD685" s="54" t="n"/>
      <c r="AJ685" s="56" t="n"/>
    </row>
    <row r="686" ht="15.75" customHeight="1" s="57">
      <c r="AD686" s="54" t="n"/>
      <c r="AJ686" s="56" t="n"/>
    </row>
    <row r="687" ht="15.75" customHeight="1" s="57">
      <c r="AD687" s="54" t="n"/>
      <c r="AJ687" s="56" t="n"/>
    </row>
    <row r="688" ht="15.75" customHeight="1" s="57">
      <c r="AD688" s="54" t="n"/>
      <c r="AJ688" s="56" t="n"/>
    </row>
    <row r="689" ht="15.75" customHeight="1" s="57">
      <c r="AD689" s="54" t="n"/>
      <c r="AJ689" s="56" t="n"/>
    </row>
    <row r="690" ht="15.75" customHeight="1" s="57">
      <c r="AD690" s="54" t="n"/>
      <c r="AJ690" s="56" t="n"/>
    </row>
    <row r="691" ht="15.75" customHeight="1" s="57">
      <c r="AD691" s="54" t="n"/>
      <c r="AJ691" s="56" t="n"/>
    </row>
    <row r="692" ht="15.75" customHeight="1" s="57">
      <c r="AD692" s="54" t="n"/>
      <c r="AJ692" s="56" t="n"/>
    </row>
    <row r="693" ht="15.75" customHeight="1" s="57">
      <c r="AD693" s="54" t="n"/>
      <c r="AJ693" s="56" t="n"/>
    </row>
    <row r="694" ht="15.75" customHeight="1" s="57">
      <c r="AD694" s="54" t="n"/>
      <c r="AJ694" s="56" t="n"/>
    </row>
    <row r="695" ht="15.75" customHeight="1" s="57">
      <c r="AD695" s="54" t="n"/>
      <c r="AJ695" s="56" t="n"/>
    </row>
    <row r="696" ht="15.75" customHeight="1" s="57">
      <c r="AD696" s="54" t="n"/>
      <c r="AJ696" s="56" t="n"/>
    </row>
    <row r="697" ht="15.75" customHeight="1" s="57">
      <c r="AD697" s="54" t="n"/>
      <c r="AJ697" s="56" t="n"/>
    </row>
    <row r="698" ht="15.75" customHeight="1" s="57">
      <c r="AD698" s="54" t="n"/>
      <c r="AJ698" s="56" t="n"/>
    </row>
    <row r="699" ht="15.75" customHeight="1" s="57">
      <c r="AD699" s="54" t="n"/>
      <c r="AJ699" s="56" t="n"/>
    </row>
    <row r="700" ht="15.75" customHeight="1" s="57">
      <c r="AD700" s="54" t="n"/>
      <c r="AJ700" s="56" t="n"/>
    </row>
    <row r="701" ht="15.75" customHeight="1" s="57">
      <c r="AD701" s="54" t="n"/>
      <c r="AJ701" s="56" t="n"/>
    </row>
    <row r="702" ht="15.75" customHeight="1" s="57">
      <c r="AD702" s="54" t="n"/>
      <c r="AJ702" s="56" t="n"/>
    </row>
    <row r="703" ht="15.75" customHeight="1" s="57">
      <c r="AD703" s="54" t="n"/>
      <c r="AJ703" s="56" t="n"/>
    </row>
    <row r="704" ht="15.75" customHeight="1" s="57">
      <c r="AD704" s="54" t="n"/>
      <c r="AJ704" s="56" t="n"/>
    </row>
    <row r="705" ht="15.75" customHeight="1" s="57">
      <c r="AD705" s="54" t="n"/>
      <c r="AJ705" s="56" t="n"/>
    </row>
    <row r="706" ht="15.75" customHeight="1" s="57">
      <c r="AD706" s="54" t="n"/>
      <c r="AJ706" s="56" t="n"/>
    </row>
    <row r="707" ht="15.75" customHeight="1" s="57">
      <c r="AD707" s="54" t="n"/>
      <c r="AJ707" s="56" t="n"/>
    </row>
    <row r="708" ht="15.75" customHeight="1" s="57">
      <c r="AD708" s="54" t="n"/>
      <c r="AJ708" s="56" t="n"/>
    </row>
    <row r="709" ht="15.75" customHeight="1" s="57">
      <c r="AD709" s="54" t="n"/>
      <c r="AJ709" s="56" t="n"/>
    </row>
    <row r="710" ht="15.75" customHeight="1" s="57">
      <c r="AD710" s="54" t="n"/>
      <c r="AJ710" s="56" t="n"/>
    </row>
    <row r="711" ht="15.75" customHeight="1" s="57">
      <c r="AD711" s="54" t="n"/>
      <c r="AJ711" s="56" t="n"/>
    </row>
    <row r="712" ht="15.75" customHeight="1" s="57">
      <c r="AD712" s="54" t="n"/>
      <c r="AJ712" s="56" t="n"/>
    </row>
    <row r="713" ht="15.75" customHeight="1" s="57">
      <c r="AD713" s="54" t="n"/>
      <c r="AJ713" s="56" t="n"/>
    </row>
    <row r="714" ht="15.75" customHeight="1" s="57">
      <c r="AD714" s="54" t="n"/>
      <c r="AJ714" s="56" t="n"/>
    </row>
    <row r="715" ht="15.75" customHeight="1" s="57">
      <c r="AD715" s="54" t="n"/>
      <c r="AJ715" s="56" t="n"/>
    </row>
    <row r="716" ht="15.75" customHeight="1" s="57">
      <c r="AD716" s="54" t="n"/>
      <c r="AJ716" s="56" t="n"/>
    </row>
    <row r="717" ht="15.75" customHeight="1" s="57">
      <c r="AD717" s="54" t="n"/>
      <c r="AJ717" s="56" t="n"/>
    </row>
    <row r="718" ht="15.75" customHeight="1" s="57">
      <c r="AD718" s="54" t="n"/>
      <c r="AJ718" s="56" t="n"/>
    </row>
    <row r="719" ht="15.75" customHeight="1" s="57">
      <c r="AD719" s="54" t="n"/>
      <c r="AJ719" s="56" t="n"/>
    </row>
    <row r="720" ht="15.75" customHeight="1" s="57">
      <c r="AD720" s="54" t="n"/>
      <c r="AJ720" s="56" t="n"/>
    </row>
    <row r="721" ht="15.75" customHeight="1" s="57">
      <c r="AD721" s="54" t="n"/>
      <c r="AJ721" s="56" t="n"/>
    </row>
    <row r="722" ht="15.75" customHeight="1" s="57">
      <c r="AD722" s="54" t="n"/>
      <c r="AJ722" s="56" t="n"/>
    </row>
    <row r="723" ht="15.75" customHeight="1" s="57">
      <c r="AD723" s="54" t="n"/>
      <c r="AJ723" s="56" t="n"/>
    </row>
    <row r="724" ht="15.75" customHeight="1" s="57">
      <c r="AD724" s="54" t="n"/>
      <c r="AJ724" s="56" t="n"/>
    </row>
    <row r="725" ht="15.75" customHeight="1" s="57">
      <c r="AD725" s="54" t="n"/>
      <c r="AJ725" s="56" t="n"/>
    </row>
    <row r="726" ht="15.75" customHeight="1" s="57">
      <c r="AD726" s="54" t="n"/>
      <c r="AJ726" s="56" t="n"/>
    </row>
    <row r="727" ht="15.75" customHeight="1" s="57">
      <c r="AD727" s="54" t="n"/>
      <c r="AJ727" s="56" t="n"/>
    </row>
    <row r="728" ht="15.75" customHeight="1" s="57">
      <c r="AD728" s="54" t="n"/>
      <c r="AJ728" s="56" t="n"/>
    </row>
    <row r="729" ht="15.75" customHeight="1" s="57">
      <c r="AD729" s="54" t="n"/>
      <c r="AJ729" s="56" t="n"/>
    </row>
    <row r="730" ht="15.75" customHeight="1" s="57">
      <c r="AD730" s="54" t="n"/>
      <c r="AJ730" s="56" t="n"/>
    </row>
    <row r="731" ht="15.75" customHeight="1" s="57">
      <c r="AD731" s="54" t="n"/>
      <c r="AJ731" s="56" t="n"/>
    </row>
    <row r="732" ht="15.75" customHeight="1" s="57">
      <c r="AD732" s="54" t="n"/>
      <c r="AJ732" s="56" t="n"/>
    </row>
    <row r="733" ht="15.75" customHeight="1" s="57">
      <c r="AD733" s="54" t="n"/>
      <c r="AJ733" s="56" t="n"/>
    </row>
    <row r="734" ht="15.75" customHeight="1" s="57">
      <c r="AD734" s="54" t="n"/>
      <c r="AJ734" s="56" t="n"/>
    </row>
    <row r="735" ht="15.75" customHeight="1" s="57">
      <c r="AD735" s="54" t="n"/>
      <c r="AJ735" s="56" t="n"/>
    </row>
    <row r="736" ht="15.75" customHeight="1" s="57">
      <c r="AD736" s="54" t="n"/>
      <c r="AJ736" s="56" t="n"/>
    </row>
    <row r="737" ht="15.75" customHeight="1" s="57">
      <c r="AD737" s="54" t="n"/>
      <c r="AJ737" s="56" t="n"/>
    </row>
    <row r="738" ht="15.75" customHeight="1" s="57">
      <c r="AD738" s="54" t="n"/>
      <c r="AJ738" s="56" t="n"/>
    </row>
    <row r="739" ht="15.75" customHeight="1" s="57">
      <c r="AD739" s="54" t="n"/>
      <c r="AJ739" s="56" t="n"/>
    </row>
    <row r="740" ht="15.75" customHeight="1" s="57">
      <c r="AD740" s="54" t="n"/>
      <c r="AJ740" s="56" t="n"/>
    </row>
    <row r="741" ht="15.75" customHeight="1" s="57">
      <c r="AD741" s="54" t="n"/>
      <c r="AJ741" s="56" t="n"/>
    </row>
    <row r="742" ht="15.75" customHeight="1" s="57">
      <c r="AD742" s="54" t="n"/>
      <c r="AJ742" s="56" t="n"/>
    </row>
    <row r="743" ht="15.75" customHeight="1" s="57">
      <c r="AD743" s="54" t="n"/>
      <c r="AJ743" s="56" t="n"/>
    </row>
    <row r="744" ht="15.75" customHeight="1" s="57">
      <c r="AD744" s="54" t="n"/>
      <c r="AJ744" s="56" t="n"/>
    </row>
    <row r="745" ht="15.75" customHeight="1" s="57">
      <c r="AD745" s="54" t="n"/>
      <c r="AJ745" s="56" t="n"/>
    </row>
    <row r="746" ht="15.75" customHeight="1" s="57">
      <c r="AD746" s="54" t="n"/>
      <c r="AJ746" s="56" t="n"/>
    </row>
    <row r="747" ht="15.75" customHeight="1" s="57">
      <c r="AD747" s="54" t="n"/>
      <c r="AJ747" s="56" t="n"/>
    </row>
    <row r="748" ht="15.75" customHeight="1" s="57">
      <c r="AD748" s="54" t="n"/>
      <c r="AJ748" s="56" t="n"/>
    </row>
    <row r="749" ht="15.75" customHeight="1" s="57">
      <c r="AD749" s="54" t="n"/>
      <c r="AJ749" s="56" t="n"/>
    </row>
    <row r="750" ht="15.75" customHeight="1" s="57">
      <c r="AD750" s="54" t="n"/>
      <c r="AJ750" s="56" t="n"/>
    </row>
    <row r="751" ht="15.75" customHeight="1" s="57">
      <c r="AD751" s="54" t="n"/>
      <c r="AJ751" s="56" t="n"/>
    </row>
    <row r="752" ht="15.75" customHeight="1" s="57">
      <c r="AD752" s="54" t="n"/>
      <c r="AJ752" s="56" t="n"/>
    </row>
    <row r="753" ht="15.75" customHeight="1" s="57">
      <c r="AD753" s="54" t="n"/>
      <c r="AJ753" s="56" t="n"/>
    </row>
    <row r="754" ht="15.75" customHeight="1" s="57">
      <c r="AD754" s="54" t="n"/>
      <c r="AJ754" s="56" t="n"/>
    </row>
    <row r="755" ht="15.75" customHeight="1" s="57">
      <c r="AD755" s="54" t="n"/>
      <c r="AJ755" s="56" t="n"/>
    </row>
    <row r="756" ht="15.75" customHeight="1" s="57">
      <c r="AD756" s="54" t="n"/>
      <c r="AJ756" s="56" t="n"/>
    </row>
    <row r="757" ht="15.75" customHeight="1" s="57">
      <c r="AD757" s="54" t="n"/>
      <c r="AJ757" s="56" t="n"/>
    </row>
    <row r="758" ht="15.75" customHeight="1" s="57">
      <c r="AD758" s="54" t="n"/>
      <c r="AJ758" s="56" t="n"/>
    </row>
    <row r="759" ht="15.75" customHeight="1" s="57">
      <c r="AD759" s="54" t="n"/>
      <c r="AJ759" s="56" t="n"/>
    </row>
    <row r="760" ht="15.75" customHeight="1" s="57">
      <c r="AD760" s="54" t="n"/>
      <c r="AJ760" s="56" t="n"/>
    </row>
    <row r="761" ht="15.75" customHeight="1" s="57">
      <c r="AD761" s="54" t="n"/>
      <c r="AJ761" s="56" t="n"/>
    </row>
    <row r="762" ht="15.75" customHeight="1" s="57">
      <c r="AD762" s="54" t="n"/>
      <c r="AJ762" s="56" t="n"/>
    </row>
    <row r="763" ht="15.75" customHeight="1" s="57">
      <c r="AD763" s="54" t="n"/>
      <c r="AJ763" s="56" t="n"/>
    </row>
    <row r="764" ht="15.75" customHeight="1" s="57">
      <c r="AD764" s="54" t="n"/>
      <c r="AJ764" s="56" t="n"/>
    </row>
    <row r="765" ht="15.75" customHeight="1" s="57">
      <c r="AD765" s="54" t="n"/>
      <c r="AJ765" s="56" t="n"/>
    </row>
    <row r="766" ht="15.75" customHeight="1" s="57">
      <c r="AD766" s="54" t="n"/>
      <c r="AJ766" s="56" t="n"/>
    </row>
    <row r="767" ht="15.75" customHeight="1" s="57">
      <c r="AD767" s="54" t="n"/>
      <c r="AJ767" s="56" t="n"/>
    </row>
    <row r="768" ht="15.75" customHeight="1" s="57">
      <c r="AD768" s="54" t="n"/>
      <c r="AJ768" s="56" t="n"/>
    </row>
    <row r="769" ht="15.75" customHeight="1" s="57">
      <c r="AD769" s="54" t="n"/>
      <c r="AJ769" s="56" t="n"/>
    </row>
    <row r="770" ht="15.75" customHeight="1" s="57">
      <c r="AD770" s="54" t="n"/>
      <c r="AJ770" s="56" t="n"/>
    </row>
    <row r="771" ht="15.75" customHeight="1" s="57">
      <c r="AD771" s="54" t="n"/>
      <c r="AJ771" s="56" t="n"/>
    </row>
    <row r="772" ht="15.75" customHeight="1" s="57">
      <c r="AD772" s="54" t="n"/>
      <c r="AJ772" s="56" t="n"/>
    </row>
    <row r="773" ht="15.75" customHeight="1" s="57">
      <c r="AD773" s="54" t="n"/>
      <c r="AJ773" s="56" t="n"/>
    </row>
    <row r="774" ht="15.75" customHeight="1" s="57">
      <c r="AD774" s="54" t="n"/>
      <c r="AJ774" s="56" t="n"/>
    </row>
    <row r="775" ht="15.75" customHeight="1" s="57">
      <c r="AD775" s="54" t="n"/>
      <c r="AJ775" s="56" t="n"/>
    </row>
    <row r="776" ht="15.75" customHeight="1" s="57">
      <c r="AD776" s="54" t="n"/>
      <c r="AJ776" s="56" t="n"/>
    </row>
    <row r="777" ht="15.75" customHeight="1" s="57">
      <c r="AD777" s="54" t="n"/>
      <c r="AJ777" s="56" t="n"/>
    </row>
    <row r="778" ht="15.75" customHeight="1" s="57">
      <c r="AD778" s="54" t="n"/>
      <c r="AJ778" s="56" t="n"/>
    </row>
    <row r="779" ht="15.75" customHeight="1" s="57">
      <c r="AD779" s="54" t="n"/>
      <c r="AJ779" s="56" t="n"/>
    </row>
    <row r="780" ht="15.75" customHeight="1" s="57">
      <c r="AD780" s="54" t="n"/>
      <c r="AJ780" s="56" t="n"/>
    </row>
    <row r="781" ht="15.75" customHeight="1" s="57">
      <c r="AD781" s="54" t="n"/>
      <c r="AJ781" s="56" t="n"/>
    </row>
    <row r="782" ht="15.75" customHeight="1" s="57">
      <c r="AD782" s="54" t="n"/>
      <c r="AJ782" s="56" t="n"/>
    </row>
    <row r="783" ht="15.75" customHeight="1" s="57">
      <c r="AD783" s="54" t="n"/>
      <c r="AJ783" s="56" t="n"/>
    </row>
    <row r="784" ht="15.75" customHeight="1" s="57">
      <c r="AD784" s="54" t="n"/>
      <c r="AJ784" s="56" t="n"/>
    </row>
    <row r="785" ht="15.75" customHeight="1" s="57">
      <c r="AD785" s="54" t="n"/>
      <c r="AJ785" s="56" t="n"/>
    </row>
    <row r="786" ht="15.75" customHeight="1" s="57">
      <c r="AD786" s="54" t="n"/>
      <c r="AJ786" s="56" t="n"/>
    </row>
    <row r="787" ht="15.75" customHeight="1" s="57">
      <c r="AD787" s="54" t="n"/>
      <c r="AJ787" s="56" t="n"/>
    </row>
    <row r="788" ht="15.75" customHeight="1" s="57">
      <c r="AD788" s="54" t="n"/>
      <c r="AJ788" s="56" t="n"/>
    </row>
    <row r="789" ht="15.75" customHeight="1" s="57">
      <c r="AD789" s="54" t="n"/>
      <c r="AJ789" s="56" t="n"/>
    </row>
    <row r="790" ht="15.75" customHeight="1" s="57">
      <c r="AD790" s="54" t="n"/>
      <c r="AJ790" s="56" t="n"/>
    </row>
    <row r="791" ht="15.75" customHeight="1" s="57">
      <c r="AD791" s="54" t="n"/>
      <c r="AJ791" s="56" t="n"/>
    </row>
    <row r="792" ht="15.75" customHeight="1" s="57">
      <c r="AD792" s="54" t="n"/>
      <c r="AJ792" s="56" t="n"/>
    </row>
    <row r="793" ht="15.75" customHeight="1" s="57">
      <c r="AD793" s="54" t="n"/>
      <c r="AJ793" s="56" t="n"/>
    </row>
    <row r="794" ht="15.75" customHeight="1" s="57">
      <c r="AD794" s="54" t="n"/>
      <c r="AJ794" s="56" t="n"/>
    </row>
    <row r="795" ht="15.75" customHeight="1" s="57">
      <c r="AD795" s="54" t="n"/>
      <c r="AJ795" s="56" t="n"/>
    </row>
    <row r="796" ht="15.75" customHeight="1" s="57">
      <c r="AD796" s="54" t="n"/>
      <c r="AJ796" s="56" t="n"/>
    </row>
    <row r="797" ht="15.75" customHeight="1" s="57">
      <c r="AD797" s="54" t="n"/>
      <c r="AJ797" s="56" t="n"/>
    </row>
    <row r="798" ht="15.75" customHeight="1" s="57">
      <c r="AD798" s="54" t="n"/>
      <c r="AJ798" s="56" t="n"/>
    </row>
    <row r="799" ht="15.75" customHeight="1" s="57">
      <c r="AD799" s="54" t="n"/>
      <c r="AJ799" s="56" t="n"/>
    </row>
    <row r="800" ht="15.75" customHeight="1" s="57">
      <c r="AD800" s="54" t="n"/>
      <c r="AJ800" s="56" t="n"/>
    </row>
    <row r="801" ht="15.75" customHeight="1" s="57">
      <c r="AD801" s="54" t="n"/>
      <c r="AJ801" s="56" t="n"/>
    </row>
    <row r="802" ht="15.75" customHeight="1" s="57">
      <c r="AD802" s="54" t="n"/>
      <c r="AJ802" s="56" t="n"/>
    </row>
    <row r="803" ht="15.75" customHeight="1" s="57">
      <c r="AD803" s="54" t="n"/>
      <c r="AJ803" s="56" t="n"/>
    </row>
    <row r="804" ht="15.75" customHeight="1" s="57">
      <c r="AD804" s="54" t="n"/>
      <c r="AJ804" s="56" t="n"/>
    </row>
    <row r="805" ht="15.75" customHeight="1" s="57">
      <c r="AD805" s="54" t="n"/>
      <c r="AJ805" s="56" t="n"/>
    </row>
    <row r="806" ht="15.75" customHeight="1" s="57">
      <c r="AD806" s="54" t="n"/>
      <c r="AJ806" s="56" t="n"/>
    </row>
    <row r="807" ht="15.75" customHeight="1" s="57">
      <c r="AD807" s="54" t="n"/>
      <c r="AJ807" s="56" t="n"/>
    </row>
    <row r="808" ht="15.75" customHeight="1" s="57">
      <c r="AD808" s="54" t="n"/>
      <c r="AJ808" s="56" t="n"/>
    </row>
    <row r="809" ht="15.75" customHeight="1" s="57">
      <c r="AD809" s="54" t="n"/>
      <c r="AJ809" s="56" t="n"/>
    </row>
    <row r="810" ht="15.75" customHeight="1" s="57">
      <c r="AD810" s="54" t="n"/>
      <c r="AJ810" s="56" t="n"/>
    </row>
    <row r="811" ht="15.75" customHeight="1" s="57">
      <c r="AD811" s="54" t="n"/>
      <c r="AJ811" s="56" t="n"/>
    </row>
    <row r="812" ht="15.75" customHeight="1" s="57">
      <c r="AD812" s="54" t="n"/>
      <c r="AJ812" s="56" t="n"/>
    </row>
    <row r="813" ht="15.75" customHeight="1" s="57">
      <c r="AD813" s="54" t="n"/>
      <c r="AJ813" s="56" t="n"/>
    </row>
    <row r="814" ht="15.75" customHeight="1" s="57">
      <c r="AD814" s="54" t="n"/>
      <c r="AJ814" s="56" t="n"/>
    </row>
    <row r="815" ht="15.75" customHeight="1" s="57">
      <c r="AD815" s="54" t="n"/>
      <c r="AJ815" s="56" t="n"/>
    </row>
    <row r="816" ht="15.75" customHeight="1" s="57">
      <c r="AD816" s="54" t="n"/>
      <c r="AJ816" s="56" t="n"/>
    </row>
    <row r="817" ht="15.75" customHeight="1" s="57">
      <c r="AD817" s="54" t="n"/>
      <c r="AJ817" s="56" t="n"/>
    </row>
    <row r="818" ht="15.75" customHeight="1" s="57">
      <c r="AD818" s="54" t="n"/>
      <c r="AJ818" s="56" t="n"/>
    </row>
    <row r="819" ht="15.75" customHeight="1" s="57">
      <c r="AD819" s="54" t="n"/>
      <c r="AJ819" s="56" t="n"/>
    </row>
    <row r="820" ht="15.75" customHeight="1" s="57">
      <c r="AD820" s="54" t="n"/>
      <c r="AJ820" s="56" t="n"/>
    </row>
    <row r="821" ht="15.75" customHeight="1" s="57">
      <c r="AD821" s="54" t="n"/>
      <c r="AJ821" s="56" t="n"/>
    </row>
    <row r="822" ht="15.75" customHeight="1" s="57">
      <c r="AD822" s="54" t="n"/>
      <c r="AJ822" s="56" t="n"/>
    </row>
    <row r="823" ht="15.75" customHeight="1" s="57">
      <c r="AD823" s="54" t="n"/>
      <c r="AJ823" s="56" t="n"/>
    </row>
    <row r="824" ht="15.75" customHeight="1" s="57">
      <c r="AD824" s="54" t="n"/>
      <c r="AJ824" s="56" t="n"/>
    </row>
    <row r="825" ht="15.75" customHeight="1" s="57">
      <c r="AD825" s="54" t="n"/>
      <c r="AJ825" s="56" t="n"/>
    </row>
    <row r="826" ht="15.75" customHeight="1" s="57">
      <c r="AD826" s="54" t="n"/>
      <c r="AJ826" s="56" t="n"/>
    </row>
    <row r="827" ht="15.75" customHeight="1" s="57">
      <c r="AD827" s="54" t="n"/>
      <c r="AJ827" s="56" t="n"/>
    </row>
    <row r="828" ht="15.75" customHeight="1" s="57">
      <c r="AD828" s="54" t="n"/>
      <c r="AJ828" s="56" t="n"/>
    </row>
    <row r="829" ht="15.75" customHeight="1" s="57">
      <c r="AD829" s="54" t="n"/>
      <c r="AJ829" s="56" t="n"/>
    </row>
    <row r="830" ht="15.75" customHeight="1" s="57">
      <c r="AD830" s="54" t="n"/>
      <c r="AJ830" s="56" t="n"/>
    </row>
    <row r="831" ht="15.75" customHeight="1" s="57">
      <c r="AD831" s="54" t="n"/>
      <c r="AJ831" s="56" t="n"/>
    </row>
    <row r="832" ht="15.75" customHeight="1" s="57">
      <c r="AD832" s="54" t="n"/>
      <c r="AJ832" s="56" t="n"/>
    </row>
    <row r="833" ht="15.75" customHeight="1" s="57">
      <c r="AD833" s="54" t="n"/>
      <c r="AJ833" s="56" t="n"/>
    </row>
    <row r="834" ht="15.75" customHeight="1" s="57">
      <c r="AD834" s="54" t="n"/>
      <c r="AJ834" s="56" t="n"/>
    </row>
    <row r="835" ht="15.75" customHeight="1" s="57">
      <c r="AD835" s="54" t="n"/>
      <c r="AJ835" s="56" t="n"/>
    </row>
    <row r="836" ht="15.75" customHeight="1" s="57">
      <c r="AD836" s="54" t="n"/>
      <c r="AJ836" s="56" t="n"/>
    </row>
    <row r="837" ht="15.75" customHeight="1" s="57">
      <c r="AD837" s="54" t="n"/>
      <c r="AJ837" s="56" t="n"/>
    </row>
    <row r="838" ht="15.75" customHeight="1" s="57">
      <c r="AD838" s="54" t="n"/>
      <c r="AJ838" s="56" t="n"/>
    </row>
    <row r="839" ht="15.75" customHeight="1" s="57">
      <c r="AD839" s="54" t="n"/>
      <c r="AJ839" s="56" t="n"/>
    </row>
    <row r="840" ht="15.75" customHeight="1" s="57">
      <c r="AD840" s="54" t="n"/>
      <c r="AJ840" s="56" t="n"/>
    </row>
    <row r="841" ht="15.75" customHeight="1" s="57">
      <c r="AD841" s="54" t="n"/>
      <c r="AJ841" s="56" t="n"/>
    </row>
    <row r="842" ht="15.75" customHeight="1" s="57">
      <c r="AD842" s="54" t="n"/>
      <c r="AJ842" s="56" t="n"/>
    </row>
    <row r="843" ht="15.75" customHeight="1" s="57">
      <c r="AD843" s="54" t="n"/>
      <c r="AJ843" s="56" t="n"/>
    </row>
    <row r="844" ht="15.75" customHeight="1" s="57">
      <c r="AD844" s="54" t="n"/>
      <c r="AJ844" s="56" t="n"/>
    </row>
    <row r="845" ht="15.75" customHeight="1" s="57">
      <c r="AD845" s="54" t="n"/>
      <c r="AJ845" s="56" t="n"/>
    </row>
    <row r="846" ht="15.75" customHeight="1" s="57">
      <c r="AD846" s="54" t="n"/>
      <c r="AJ846" s="56" t="n"/>
    </row>
    <row r="847" ht="15.75" customHeight="1" s="57">
      <c r="AD847" s="54" t="n"/>
      <c r="AJ847" s="56" t="n"/>
    </row>
    <row r="848" ht="15.75" customHeight="1" s="57">
      <c r="AD848" s="54" t="n"/>
      <c r="AJ848" s="56" t="n"/>
    </row>
    <row r="849" ht="15.75" customHeight="1" s="57">
      <c r="AD849" s="54" t="n"/>
      <c r="AJ849" s="56" t="n"/>
    </row>
    <row r="850" ht="15.75" customHeight="1" s="57">
      <c r="AD850" s="54" t="n"/>
      <c r="AJ850" s="56" t="n"/>
    </row>
    <row r="851" ht="15.75" customHeight="1" s="57">
      <c r="AD851" s="54" t="n"/>
      <c r="AJ851" s="56" t="n"/>
    </row>
    <row r="852" ht="15.75" customHeight="1" s="57">
      <c r="AD852" s="54" t="n"/>
      <c r="AJ852" s="56" t="n"/>
    </row>
    <row r="853" ht="15.75" customHeight="1" s="57">
      <c r="AD853" s="54" t="n"/>
      <c r="AJ853" s="56" t="n"/>
    </row>
    <row r="854" ht="15.75" customHeight="1" s="57">
      <c r="AD854" s="54" t="n"/>
      <c r="AJ854" s="56" t="n"/>
    </row>
    <row r="855" ht="15.75" customHeight="1" s="57">
      <c r="AD855" s="54" t="n"/>
      <c r="AJ855" s="56" t="n"/>
    </row>
    <row r="856" ht="15.75" customHeight="1" s="57">
      <c r="AD856" s="54" t="n"/>
      <c r="AJ856" s="56" t="n"/>
    </row>
    <row r="857" ht="15.75" customHeight="1" s="57">
      <c r="AD857" s="54" t="n"/>
      <c r="AJ857" s="56" t="n"/>
    </row>
    <row r="858" ht="15.75" customHeight="1" s="57">
      <c r="AD858" s="54" t="n"/>
      <c r="AJ858" s="56" t="n"/>
    </row>
    <row r="859" ht="15.75" customHeight="1" s="57">
      <c r="AD859" s="54" t="n"/>
      <c r="AJ859" s="56" t="n"/>
    </row>
    <row r="860" ht="15.75" customHeight="1" s="57">
      <c r="AD860" s="54" t="n"/>
      <c r="AJ860" s="56" t="n"/>
    </row>
    <row r="861" ht="15.75" customHeight="1" s="57">
      <c r="AD861" s="54" t="n"/>
      <c r="AJ861" s="56" t="n"/>
    </row>
    <row r="862" ht="15.75" customHeight="1" s="57">
      <c r="AD862" s="54" t="n"/>
      <c r="AJ862" s="56" t="n"/>
    </row>
    <row r="863" ht="15.75" customHeight="1" s="57">
      <c r="AD863" s="54" t="n"/>
      <c r="AJ863" s="56" t="n"/>
    </row>
    <row r="864" ht="15.75" customHeight="1" s="57">
      <c r="AD864" s="54" t="n"/>
      <c r="AJ864" s="56" t="n"/>
    </row>
    <row r="865" ht="15.75" customHeight="1" s="57">
      <c r="AD865" s="54" t="n"/>
      <c r="AJ865" s="56" t="n"/>
    </row>
    <row r="866" ht="15.75" customHeight="1" s="57">
      <c r="AD866" s="54" t="n"/>
      <c r="AJ866" s="56" t="n"/>
    </row>
    <row r="867" ht="15.75" customHeight="1" s="57">
      <c r="AD867" s="54" t="n"/>
      <c r="AJ867" s="56" t="n"/>
    </row>
    <row r="868" ht="15.75" customHeight="1" s="57">
      <c r="AD868" s="54" t="n"/>
      <c r="AJ868" s="56" t="n"/>
    </row>
    <row r="869" ht="15.75" customHeight="1" s="57">
      <c r="AD869" s="54" t="n"/>
      <c r="AJ869" s="56" t="n"/>
    </row>
    <row r="870" ht="15.75" customHeight="1" s="57">
      <c r="AD870" s="54" t="n"/>
      <c r="AJ870" s="56" t="n"/>
    </row>
    <row r="871" ht="15.75" customHeight="1" s="57">
      <c r="AD871" s="54" t="n"/>
      <c r="AJ871" s="56" t="n"/>
    </row>
    <row r="872" ht="15.75" customHeight="1" s="57">
      <c r="AD872" s="54" t="n"/>
      <c r="AJ872" s="56" t="n"/>
    </row>
    <row r="873" ht="15.75" customHeight="1" s="57">
      <c r="AD873" s="54" t="n"/>
      <c r="AJ873" s="56" t="n"/>
    </row>
    <row r="874" ht="15.75" customHeight="1" s="57">
      <c r="AD874" s="54" t="n"/>
      <c r="AJ874" s="56" t="n"/>
    </row>
    <row r="875" ht="15.75" customHeight="1" s="57">
      <c r="AD875" s="54" t="n"/>
      <c r="AJ875" s="56" t="n"/>
    </row>
    <row r="876" ht="15.75" customHeight="1" s="57">
      <c r="AD876" s="54" t="n"/>
      <c r="AJ876" s="56" t="n"/>
    </row>
    <row r="877" ht="15.75" customHeight="1" s="57">
      <c r="AD877" s="54" t="n"/>
      <c r="AJ877" s="56" t="n"/>
    </row>
    <row r="878" ht="15.75" customHeight="1" s="57">
      <c r="AD878" s="54" t="n"/>
      <c r="AJ878" s="56" t="n"/>
    </row>
    <row r="879" ht="15.75" customHeight="1" s="57">
      <c r="AD879" s="54" t="n"/>
      <c r="AJ879" s="56" t="n"/>
    </row>
    <row r="880" ht="15.75" customHeight="1" s="57">
      <c r="AD880" s="54" t="n"/>
      <c r="AJ880" s="56" t="n"/>
    </row>
    <row r="881" ht="15.75" customHeight="1" s="57">
      <c r="AD881" s="54" t="n"/>
      <c r="AJ881" s="56" t="n"/>
    </row>
    <row r="882" ht="15.75" customHeight="1" s="57">
      <c r="AD882" s="54" t="n"/>
      <c r="AJ882" s="56" t="n"/>
    </row>
    <row r="883" ht="15.75" customHeight="1" s="57">
      <c r="AD883" s="54" t="n"/>
      <c r="AJ883" s="56" t="n"/>
    </row>
    <row r="884" ht="15.75" customHeight="1" s="57">
      <c r="AD884" s="54" t="n"/>
      <c r="AJ884" s="56" t="n"/>
    </row>
    <row r="885" ht="15.75" customHeight="1" s="57">
      <c r="AD885" s="54" t="n"/>
      <c r="AJ885" s="56" t="n"/>
    </row>
    <row r="886" ht="15.75" customHeight="1" s="57">
      <c r="AD886" s="54" t="n"/>
      <c r="AJ886" s="56" t="n"/>
    </row>
    <row r="887" ht="15.75" customHeight="1" s="57">
      <c r="AD887" s="54" t="n"/>
      <c r="AJ887" s="56" t="n"/>
    </row>
    <row r="888" ht="15.75" customHeight="1" s="57">
      <c r="AD888" s="54" t="n"/>
      <c r="AJ888" s="56" t="n"/>
    </row>
    <row r="889" ht="15.75" customHeight="1" s="57">
      <c r="AD889" s="54" t="n"/>
      <c r="AJ889" s="56" t="n"/>
    </row>
    <row r="890" ht="15.75" customHeight="1" s="57">
      <c r="AD890" s="54" t="n"/>
      <c r="AJ890" s="56" t="n"/>
    </row>
    <row r="891" ht="15.75" customHeight="1" s="57">
      <c r="AD891" s="54" t="n"/>
      <c r="AJ891" s="56" t="n"/>
    </row>
    <row r="892" ht="15.75" customHeight="1" s="57">
      <c r="AD892" s="54" t="n"/>
      <c r="AJ892" s="56" t="n"/>
    </row>
    <row r="893" ht="15.75" customHeight="1" s="57">
      <c r="AD893" s="54" t="n"/>
      <c r="AJ893" s="56" t="n"/>
    </row>
    <row r="894" ht="15.75" customHeight="1" s="57">
      <c r="AD894" s="54" t="n"/>
      <c r="AJ894" s="56" t="n"/>
    </row>
    <row r="895" ht="15.75" customHeight="1" s="57">
      <c r="AD895" s="54" t="n"/>
      <c r="AJ895" s="56" t="n"/>
    </row>
    <row r="896" ht="15.75" customHeight="1" s="57">
      <c r="AD896" s="54" t="n"/>
      <c r="AJ896" s="56" t="n"/>
    </row>
    <row r="897" ht="15.75" customHeight="1" s="57">
      <c r="AD897" s="54" t="n"/>
      <c r="AJ897" s="56" t="n"/>
    </row>
    <row r="898" ht="15.75" customHeight="1" s="57">
      <c r="AD898" s="54" t="n"/>
      <c r="AJ898" s="56" t="n"/>
    </row>
    <row r="899" ht="15.75" customHeight="1" s="57">
      <c r="AD899" s="54" t="n"/>
      <c r="AJ899" s="56" t="n"/>
    </row>
    <row r="900" ht="15.75" customHeight="1" s="57">
      <c r="AD900" s="54" t="n"/>
      <c r="AJ900" s="56" t="n"/>
    </row>
    <row r="901" ht="15.75" customHeight="1" s="57">
      <c r="AD901" s="54" t="n"/>
      <c r="AJ901" s="56" t="n"/>
    </row>
    <row r="902" ht="15.75" customHeight="1" s="57">
      <c r="AD902" s="54" t="n"/>
      <c r="AJ902" s="56" t="n"/>
    </row>
    <row r="903" ht="15.75" customHeight="1" s="57">
      <c r="AD903" s="54" t="n"/>
      <c r="AJ903" s="56" t="n"/>
    </row>
    <row r="904" ht="15.75" customHeight="1" s="57">
      <c r="AD904" s="54" t="n"/>
      <c r="AJ904" s="56" t="n"/>
    </row>
    <row r="905" ht="15.75" customHeight="1" s="57">
      <c r="AD905" s="54" t="n"/>
      <c r="AJ905" s="56" t="n"/>
    </row>
    <row r="906" ht="15.75" customHeight="1" s="57">
      <c r="AD906" s="54" t="n"/>
      <c r="AJ906" s="56" t="n"/>
    </row>
    <row r="907" ht="15.75" customHeight="1" s="57">
      <c r="AD907" s="54" t="n"/>
      <c r="AJ907" s="56" t="n"/>
    </row>
    <row r="908" ht="15.75" customHeight="1" s="57">
      <c r="AD908" s="54" t="n"/>
      <c r="AJ908" s="56" t="n"/>
    </row>
    <row r="909" ht="15.75" customHeight="1" s="57">
      <c r="AD909" s="54" t="n"/>
      <c r="AJ909" s="56" t="n"/>
    </row>
    <row r="910" ht="15.75" customHeight="1" s="57">
      <c r="AD910" s="54" t="n"/>
      <c r="AJ910" s="56" t="n"/>
    </row>
    <row r="911" ht="15.75" customHeight="1" s="57">
      <c r="AD911" s="54" t="n"/>
      <c r="AJ911" s="56" t="n"/>
    </row>
    <row r="912" ht="15.75" customHeight="1" s="57">
      <c r="AD912" s="54" t="n"/>
      <c r="AJ912" s="56" t="n"/>
    </row>
    <row r="913" ht="15.75" customHeight="1" s="57">
      <c r="AD913" s="54" t="n"/>
      <c r="AJ913" s="56" t="n"/>
    </row>
    <row r="914" ht="15.75" customHeight="1" s="57">
      <c r="AD914" s="54" t="n"/>
      <c r="AJ914" s="56" t="n"/>
    </row>
    <row r="915" ht="15.75" customHeight="1" s="57">
      <c r="AD915" s="54" t="n"/>
      <c r="AJ915" s="56" t="n"/>
    </row>
    <row r="916" ht="15.75" customHeight="1" s="57">
      <c r="AD916" s="54" t="n"/>
      <c r="AJ916" s="56" t="n"/>
    </row>
    <row r="917" ht="15.75" customHeight="1" s="57">
      <c r="AD917" s="54" t="n"/>
      <c r="AJ917" s="56" t="n"/>
    </row>
    <row r="918" ht="15.75" customHeight="1" s="57">
      <c r="AD918" s="54" t="n"/>
      <c r="AJ918" s="56" t="n"/>
    </row>
    <row r="919" ht="15.75" customHeight="1" s="57">
      <c r="AD919" s="54" t="n"/>
      <c r="AJ919" s="56" t="n"/>
    </row>
    <row r="920" ht="15.75" customHeight="1" s="57">
      <c r="AD920" s="54" t="n"/>
      <c r="AJ920" s="56" t="n"/>
    </row>
    <row r="921" ht="15.75" customHeight="1" s="57">
      <c r="AD921" s="54" t="n"/>
      <c r="AJ921" s="56" t="n"/>
    </row>
    <row r="922" ht="15.75" customHeight="1" s="57">
      <c r="AD922" s="54" t="n"/>
      <c r="AJ922" s="56" t="n"/>
    </row>
    <row r="923" ht="15.75" customHeight="1" s="57">
      <c r="AD923" s="54" t="n"/>
      <c r="AJ923" s="56" t="n"/>
    </row>
    <row r="924" ht="15.75" customHeight="1" s="57">
      <c r="AD924" s="54" t="n"/>
      <c r="AJ924" s="56" t="n"/>
    </row>
    <row r="925" ht="15.75" customHeight="1" s="57">
      <c r="AD925" s="54" t="n"/>
      <c r="AJ925" s="56" t="n"/>
    </row>
    <row r="926" ht="15.75" customHeight="1" s="57">
      <c r="AD926" s="54" t="n"/>
      <c r="AJ926" s="56" t="n"/>
    </row>
    <row r="927" ht="15.75" customHeight="1" s="57">
      <c r="AD927" s="54" t="n"/>
      <c r="AJ927" s="56" t="n"/>
    </row>
    <row r="928" ht="15.75" customHeight="1" s="57">
      <c r="AD928" s="54" t="n"/>
      <c r="AJ928" s="56" t="n"/>
    </row>
    <row r="929" ht="15.75" customHeight="1" s="57">
      <c r="AD929" s="54" t="n"/>
      <c r="AJ929" s="56" t="n"/>
    </row>
    <row r="930" ht="15.75" customHeight="1" s="57">
      <c r="AD930" s="54" t="n"/>
      <c r="AJ930" s="56" t="n"/>
    </row>
    <row r="931" ht="15.75" customHeight="1" s="57">
      <c r="AD931" s="54" t="n"/>
      <c r="AJ931" s="56" t="n"/>
    </row>
    <row r="932" ht="15.75" customHeight="1" s="57">
      <c r="AD932" s="54" t="n"/>
      <c r="AJ932" s="56" t="n"/>
    </row>
    <row r="933" ht="15.75" customHeight="1" s="57">
      <c r="AD933" s="54" t="n"/>
      <c r="AJ933" s="56" t="n"/>
    </row>
    <row r="934" ht="15.75" customHeight="1" s="57">
      <c r="AD934" s="54" t="n"/>
      <c r="AJ934" s="56" t="n"/>
    </row>
    <row r="935" ht="15.75" customHeight="1" s="57">
      <c r="AD935" s="54" t="n"/>
      <c r="AJ935" s="56" t="n"/>
    </row>
    <row r="936" ht="15.75" customHeight="1" s="57">
      <c r="AD936" s="54" t="n"/>
      <c r="AJ936" s="56" t="n"/>
    </row>
    <row r="937" ht="15.75" customHeight="1" s="57">
      <c r="AD937" s="54" t="n"/>
      <c r="AJ937" s="56" t="n"/>
    </row>
    <row r="938" ht="15.75" customHeight="1" s="57">
      <c r="AD938" s="54" t="n"/>
      <c r="AJ938" s="56" t="n"/>
    </row>
    <row r="939" ht="15.75" customHeight="1" s="57">
      <c r="AD939" s="54" t="n"/>
      <c r="AJ939" s="56" t="n"/>
    </row>
    <row r="940" ht="15.75" customHeight="1" s="57">
      <c r="AD940" s="54" t="n"/>
      <c r="AJ940" s="56" t="n"/>
    </row>
    <row r="941" ht="15.75" customHeight="1" s="57">
      <c r="AD941" s="54" t="n"/>
      <c r="AJ941" s="56" t="n"/>
    </row>
    <row r="942" ht="15.75" customHeight="1" s="57">
      <c r="AD942" s="54" t="n"/>
      <c r="AJ942" s="56" t="n"/>
    </row>
    <row r="943" ht="15.75" customHeight="1" s="57">
      <c r="AD943" s="54" t="n"/>
      <c r="AJ943" s="56" t="n"/>
    </row>
    <row r="944" ht="15.75" customHeight="1" s="57">
      <c r="AD944" s="54" t="n"/>
      <c r="AJ944" s="56" t="n"/>
    </row>
    <row r="945" ht="15.75" customHeight="1" s="57">
      <c r="AD945" s="54" t="n"/>
      <c r="AJ945" s="56" t="n"/>
    </row>
    <row r="946" ht="15.75" customHeight="1" s="57">
      <c r="AD946" s="54" t="n"/>
      <c r="AJ946" s="56" t="n"/>
    </row>
    <row r="947" ht="15.75" customHeight="1" s="57">
      <c r="AD947" s="54" t="n"/>
      <c r="AJ947" s="56" t="n"/>
    </row>
    <row r="948" ht="15.75" customHeight="1" s="57">
      <c r="AD948" s="54" t="n"/>
      <c r="AJ948" s="56" t="n"/>
    </row>
    <row r="949" ht="15.75" customHeight="1" s="57">
      <c r="AD949" s="54" t="n"/>
      <c r="AJ949" s="56" t="n"/>
    </row>
    <row r="950" ht="15.75" customHeight="1" s="57">
      <c r="AD950" s="54" t="n"/>
      <c r="AJ950" s="56" t="n"/>
    </row>
    <row r="951" ht="15.75" customHeight="1" s="57">
      <c r="AD951" s="54" t="n"/>
      <c r="AJ951" s="56" t="n"/>
    </row>
    <row r="952" ht="15.75" customHeight="1" s="57">
      <c r="AD952" s="54" t="n"/>
      <c r="AJ952" s="56" t="n"/>
    </row>
    <row r="953" ht="15.75" customHeight="1" s="57">
      <c r="AD953" s="54" t="n"/>
      <c r="AJ953" s="56" t="n"/>
    </row>
    <row r="954" ht="15.75" customHeight="1" s="57">
      <c r="AD954" s="54" t="n"/>
      <c r="AJ954" s="56" t="n"/>
    </row>
    <row r="955" ht="15.75" customHeight="1" s="57">
      <c r="AD955" s="54" t="n"/>
      <c r="AJ955" s="56" t="n"/>
    </row>
    <row r="956" ht="15.75" customHeight="1" s="57">
      <c r="AD956" s="54" t="n"/>
      <c r="AJ956" s="56" t="n"/>
    </row>
    <row r="957" ht="15.75" customHeight="1" s="57">
      <c r="AD957" s="54" t="n"/>
      <c r="AJ957" s="56" t="n"/>
    </row>
    <row r="958" ht="15.75" customHeight="1" s="57">
      <c r="AD958" s="54" t="n"/>
      <c r="AJ958" s="56" t="n"/>
    </row>
    <row r="959" ht="15.75" customHeight="1" s="57">
      <c r="AD959" s="54" t="n"/>
      <c r="AJ959" s="56" t="n"/>
    </row>
    <row r="960" ht="15.75" customHeight="1" s="57">
      <c r="AD960" s="54" t="n"/>
      <c r="AJ960" s="56" t="n"/>
    </row>
    <row r="961" ht="15.75" customHeight="1" s="57">
      <c r="AD961" s="54" t="n"/>
      <c r="AJ961" s="56" t="n"/>
    </row>
    <row r="962" ht="15.75" customHeight="1" s="57">
      <c r="AD962" s="54" t="n"/>
      <c r="AJ962" s="56" t="n"/>
    </row>
    <row r="963" ht="15.75" customHeight="1" s="57">
      <c r="AD963" s="54" t="n"/>
      <c r="AJ963" s="56" t="n"/>
    </row>
    <row r="964" ht="15.75" customHeight="1" s="57">
      <c r="AD964" s="54" t="n"/>
      <c r="AJ964" s="56" t="n"/>
    </row>
    <row r="965" ht="15.75" customHeight="1" s="57">
      <c r="AD965" s="54" t="n"/>
      <c r="AJ965" s="56" t="n"/>
    </row>
    <row r="966" ht="15.75" customHeight="1" s="57">
      <c r="AD966" s="54" t="n"/>
      <c r="AJ966" s="56" t="n"/>
    </row>
    <row r="967" ht="15.75" customHeight="1" s="57">
      <c r="AD967" s="54" t="n"/>
      <c r="AJ967" s="56" t="n"/>
    </row>
    <row r="968" ht="15.75" customHeight="1" s="57">
      <c r="AD968" s="54" t="n"/>
      <c r="AJ968" s="56" t="n"/>
    </row>
    <row r="969" ht="15.75" customHeight="1" s="57">
      <c r="AD969" s="54" t="n"/>
      <c r="AJ969" s="56" t="n"/>
    </row>
    <row r="970" ht="15.75" customHeight="1" s="57">
      <c r="AD970" s="54" t="n"/>
      <c r="AJ970" s="56" t="n"/>
    </row>
    <row r="971" ht="15.75" customHeight="1" s="57">
      <c r="AD971" s="54" t="n"/>
      <c r="AJ971" s="56" t="n"/>
    </row>
    <row r="972" ht="15.75" customHeight="1" s="57">
      <c r="AD972" s="54" t="n"/>
      <c r="AJ972" s="56" t="n"/>
    </row>
    <row r="973" ht="15.75" customHeight="1" s="57">
      <c r="AD973" s="54" t="n"/>
      <c r="AJ973" s="56" t="n"/>
    </row>
    <row r="974" ht="15.75" customHeight="1" s="57">
      <c r="AD974" s="54" t="n"/>
      <c r="AJ974" s="56" t="n"/>
    </row>
    <row r="975" ht="15.75" customHeight="1" s="57">
      <c r="AD975" s="54" t="n"/>
      <c r="AJ975" s="56" t="n"/>
    </row>
    <row r="976" ht="15.75" customHeight="1" s="57">
      <c r="AD976" s="54" t="n"/>
      <c r="AJ976" s="56" t="n"/>
    </row>
    <row r="977" ht="15.75" customHeight="1" s="57">
      <c r="AD977" s="54" t="n"/>
      <c r="AJ977" s="56" t="n"/>
    </row>
    <row r="978" ht="15.75" customHeight="1" s="57">
      <c r="AD978" s="54" t="n"/>
      <c r="AJ978" s="56" t="n"/>
    </row>
    <row r="979" ht="15.75" customHeight="1" s="57">
      <c r="AD979" s="54" t="n"/>
      <c r="AJ979" s="56" t="n"/>
    </row>
    <row r="980" ht="15.75" customHeight="1" s="57">
      <c r="AD980" s="54" t="n"/>
      <c r="AJ980" s="56" t="n"/>
    </row>
    <row r="981" ht="15.75" customHeight="1" s="57">
      <c r="AD981" s="54" t="n"/>
      <c r="AJ981" s="56" t="n"/>
    </row>
    <row r="982" ht="15.75" customHeight="1" s="57">
      <c r="AD982" s="54" t="n"/>
      <c r="AJ982" s="56" t="n"/>
    </row>
    <row r="983" ht="15.75" customHeight="1" s="57">
      <c r="AD983" s="54" t="n"/>
      <c r="AJ983" s="56" t="n"/>
    </row>
    <row r="984" ht="15.75" customHeight="1" s="57">
      <c r="AD984" s="54" t="n"/>
      <c r="AJ984" s="56" t="n"/>
    </row>
    <row r="985" ht="15.75" customHeight="1" s="57">
      <c r="AD985" s="54" t="n"/>
      <c r="AJ985" s="56" t="n"/>
    </row>
    <row r="986" ht="15.75" customHeight="1" s="57">
      <c r="AD986" s="54" t="n"/>
      <c r="AJ986" s="56" t="n"/>
    </row>
    <row r="987" ht="15.75" customHeight="1" s="57">
      <c r="AD987" s="54" t="n"/>
      <c r="AJ987" s="56" t="n"/>
    </row>
  </sheetData>
  <mergeCells count="9">
    <mergeCell ref="AU3:BA3"/>
    <mergeCell ref="G3:M3"/>
    <mergeCell ref="A2:BA2"/>
    <mergeCell ref="N3:U3"/>
    <mergeCell ref="AK3:AT3"/>
    <mergeCell ref="A1:BA1"/>
    <mergeCell ref="V3:AD3"/>
    <mergeCell ref="A3:F3"/>
    <mergeCell ref="AE3:AJ3"/>
  </mergeCells>
  <conditionalFormatting sqref="A5:AJ391">
    <cfRule type="expression" priority="1" dxfId="5">
      <formula>$AI5="🔴 Vencida"</formula>
    </cfRule>
    <cfRule type="expression" priority="2" dxfId="6">
      <formula>$AI5="🟡 Próxima a vencer"</formula>
    </cfRule>
    <cfRule type="expression" priority="3" dxfId="7">
      <formula>$AI5="🟢 En término"</formula>
    </cfRule>
    <cfRule type="expression" priority="4" dxfId="8">
      <formula>$AI5="✅ Cerrada"</formula>
    </cfRule>
    <cfRule type="expression" priority="5" dxfId="9">
      <formula>$AI5="⭐ Felicitación"</formula>
    </cfRule>
    <cfRule type="expression" priority="6" dxfId="10">
      <formula>LEFT($AI5,1)="⚠"</formula>
    </cfRule>
  </conditionalFormatting>
  <dataValidations count="1">
    <dataValidation sqref="C5:E391 AQ5:AQ391 AS5:AS391" showDropDown="0" showInputMessage="1" showErrorMessage="1" allowBlank="1" prompt="Fecha no válida - Usa el formato DD/MM/AAAA." type="date">
      <formula1>DATE(2015,1,1)</formula1>
      <formula2>DATE(2040,12,31)</formula2>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90"/>
  <sheetViews>
    <sheetView showGridLines="0" workbookViewId="0">
      <pane ySplit="4" topLeftCell="A5" activePane="bottomLeft" state="frozen"/>
      <selection pane="bottomLeft" activeCell="B6" sqref="B6"/>
    </sheetView>
  </sheetViews>
  <sheetFormatPr baseColWidth="8" defaultColWidth="14.43" defaultRowHeight="15" customHeight="1"/>
  <cols>
    <col width="20" customWidth="1" style="57" min="1" max="2"/>
    <col width="30" customWidth="1" style="57" min="3" max="3"/>
    <col width="80" customWidth="1" style="57" min="4" max="4"/>
    <col width="30" customWidth="1" style="57" min="5" max="5"/>
    <col width="8.710000000000001" customWidth="1" style="57" min="6" max="26"/>
  </cols>
  <sheetData>
    <row r="1" ht="30" customHeight="1" s="57">
      <c r="A1" s="58" t="inlineStr">
        <is>
          <t>🧭 TRAZABILIDAD</t>
        </is>
      </c>
    </row>
    <row r="2">
      <c r="A2" s="3" t="inlineStr">
        <is>
          <t>Cada acción de la plataforma queda registrada aquí. No editar.</t>
        </is>
      </c>
    </row>
    <row r="3"/>
    <row r="4">
      <c r="A4" s="31" t="inlineStr">
        <is>
          <t>FECHA Y HORA</t>
        </is>
      </c>
      <c r="B4" s="31" t="inlineStr">
        <is>
          <t>RADICADO</t>
        </is>
      </c>
      <c r="C4" s="31" t="inlineStr">
        <is>
          <t>ACCIÓN</t>
        </is>
      </c>
      <c r="D4" s="31" t="inlineStr">
        <is>
          <t>DETALLE</t>
        </is>
      </c>
      <c r="E4" s="31" t="inlineStr">
        <is>
          <t>USUARIO</t>
        </is>
      </c>
    </row>
    <row r="5">
      <c r="A5" s="33" t="n"/>
      <c r="B5" s="7" t="n"/>
      <c r="C5" s="7" t="n"/>
      <c r="D5" s="7" t="n"/>
      <c r="E5" s="7" t="n"/>
    </row>
    <row r="6">
      <c r="A6" s="33" t="n"/>
      <c r="B6" s="7" t="n"/>
      <c r="C6" s="7" t="n"/>
      <c r="D6" s="7" t="n"/>
      <c r="E6" s="7" t="n"/>
    </row>
    <row r="7">
      <c r="A7" s="33" t="n"/>
      <c r="B7" s="7" t="n"/>
      <c r="C7" s="7" t="n"/>
      <c r="D7" s="7" t="n"/>
      <c r="E7" s="7" t="n"/>
    </row>
    <row r="8">
      <c r="A8" s="33" t="n"/>
      <c r="B8" s="7" t="n"/>
      <c r="C8" s="7" t="n"/>
      <c r="D8" s="7" t="n"/>
      <c r="E8" s="7" t="n"/>
    </row>
    <row r="9">
      <c r="A9" s="33" t="n"/>
      <c r="B9" s="7" t="n"/>
      <c r="C9" s="7" t="n"/>
      <c r="D9" s="7" t="n"/>
      <c r="E9" s="7" t="n"/>
    </row>
    <row r="10">
      <c r="A10" s="33" t="n"/>
      <c r="B10" s="7" t="n"/>
      <c r="C10" s="7" t="n"/>
      <c r="D10" s="7" t="n"/>
      <c r="E10" s="7" t="n"/>
    </row>
    <row r="11">
      <c r="A11" s="33" t="n"/>
      <c r="B11" s="7" t="n"/>
      <c r="C11" s="7" t="n"/>
      <c r="D11" s="7" t="n"/>
      <c r="E11" s="7" t="n"/>
    </row>
    <row r="12">
      <c r="A12" s="33" t="n"/>
      <c r="B12" s="7" t="n"/>
      <c r="C12" s="7" t="n"/>
      <c r="D12" s="7" t="n"/>
      <c r="E12" s="7" t="n"/>
    </row>
    <row r="13">
      <c r="A13" s="33" t="n"/>
      <c r="B13" s="7" t="n"/>
      <c r="C13" s="7" t="n"/>
      <c r="D13" s="7" t="n"/>
      <c r="E13" s="7" t="n"/>
    </row>
    <row r="14">
      <c r="A14" s="33" t="n"/>
      <c r="B14" s="7" t="n"/>
      <c r="C14" s="7" t="n"/>
      <c r="D14" s="7" t="n"/>
      <c r="E14" s="7" t="n"/>
    </row>
    <row r="15">
      <c r="A15" s="33" t="n"/>
      <c r="B15" s="7" t="n"/>
      <c r="C15" s="7" t="n"/>
      <c r="D15" s="7" t="n"/>
      <c r="E15" s="7" t="n"/>
    </row>
    <row r="16">
      <c r="A16" s="33" t="n"/>
      <c r="B16" s="7" t="n"/>
      <c r="C16" s="7" t="n"/>
      <c r="D16" s="7" t="n"/>
      <c r="E16" s="7" t="n"/>
    </row>
    <row r="17">
      <c r="A17" s="33" t="n"/>
      <c r="B17" s="7" t="n"/>
      <c r="C17" s="7" t="n"/>
      <c r="D17" s="7" t="n"/>
      <c r="E17" s="7" t="n"/>
    </row>
    <row r="18">
      <c r="A18" s="33" t="n"/>
      <c r="B18" s="7" t="n"/>
      <c r="C18" s="7" t="n"/>
      <c r="D18" s="7" t="n"/>
      <c r="E18" s="7" t="n"/>
    </row>
    <row r="19">
      <c r="A19" s="33" t="n"/>
      <c r="B19" s="7" t="n"/>
      <c r="C19" s="7" t="n"/>
      <c r="D19" s="7" t="n"/>
      <c r="E19" s="7" t="n"/>
    </row>
    <row r="20">
      <c r="A20" s="33" t="n"/>
      <c r="B20" s="7" t="n"/>
      <c r="C20" s="7" t="n"/>
      <c r="D20" s="7" t="n"/>
      <c r="E20" s="7" t="n"/>
    </row>
    <row r="21" ht="15.75" customHeight="1" s="57">
      <c r="A21" s="33" t="n"/>
      <c r="B21" s="7" t="n"/>
      <c r="C21" s="7" t="n"/>
      <c r="D21" s="7" t="n"/>
      <c r="E21" s="7" t="n"/>
    </row>
    <row r="22" ht="15.75" customHeight="1" s="57">
      <c r="A22" s="33" t="n"/>
      <c r="B22" s="7" t="n"/>
      <c r="C22" s="7" t="n"/>
      <c r="D22" s="7" t="n"/>
      <c r="E22" s="7" t="n"/>
    </row>
    <row r="23" ht="15.75" customHeight="1" s="57">
      <c r="A23" s="33" t="n"/>
      <c r="B23" s="7" t="n"/>
      <c r="C23" s="7" t="n"/>
      <c r="D23" s="7" t="n"/>
      <c r="E23" s="7" t="n"/>
    </row>
    <row r="24" ht="15.75" customHeight="1" s="57">
      <c r="A24" s="33" t="n"/>
      <c r="B24" s="7" t="n"/>
      <c r="C24" s="7" t="n"/>
      <c r="D24" s="7" t="n"/>
      <c r="E24" s="7" t="n"/>
    </row>
    <row r="25" ht="15.75" customHeight="1" s="57">
      <c r="A25" s="33" t="n"/>
      <c r="B25" s="7" t="n"/>
      <c r="C25" s="7" t="n"/>
      <c r="D25" s="7" t="n"/>
      <c r="E25" s="7" t="n"/>
    </row>
    <row r="26" ht="15.75" customHeight="1" s="57">
      <c r="A26" s="33" t="n"/>
      <c r="B26" s="7" t="n"/>
      <c r="C26" s="7" t="n"/>
      <c r="D26" s="7" t="n"/>
      <c r="E26" s="7" t="n"/>
    </row>
    <row r="27" ht="15.75" customHeight="1" s="57">
      <c r="A27" s="33" t="n"/>
      <c r="B27" s="7" t="n"/>
      <c r="C27" s="7" t="n"/>
      <c r="D27" s="7" t="n"/>
      <c r="E27" s="7" t="n"/>
    </row>
    <row r="28" ht="15.75" customHeight="1" s="57">
      <c r="A28" s="33" t="n"/>
      <c r="B28" s="7" t="n"/>
      <c r="C28" s="7" t="n"/>
      <c r="D28" s="7" t="n"/>
      <c r="E28" s="7" t="n"/>
    </row>
    <row r="29" ht="15.75" customHeight="1" s="57">
      <c r="A29" s="33" t="n"/>
      <c r="B29" s="7" t="n"/>
      <c r="C29" s="7" t="n"/>
      <c r="D29" s="7" t="n"/>
      <c r="E29" s="7" t="n"/>
    </row>
    <row r="30" ht="15.75" customHeight="1" s="57">
      <c r="A30" s="33" t="n"/>
      <c r="B30" s="7" t="n"/>
      <c r="C30" s="7" t="n"/>
      <c r="D30" s="7" t="n"/>
      <c r="E30" s="7" t="n"/>
    </row>
    <row r="31" ht="15.75" customHeight="1" s="57">
      <c r="A31" s="33" t="n"/>
      <c r="B31" s="7" t="n"/>
      <c r="C31" s="7" t="n"/>
      <c r="D31" s="7" t="n"/>
      <c r="E31" s="7" t="n"/>
    </row>
    <row r="32" ht="15.75" customHeight="1" s="57">
      <c r="A32" s="33" t="n"/>
      <c r="B32" s="7" t="n"/>
      <c r="C32" s="7" t="n"/>
      <c r="D32" s="7" t="n"/>
      <c r="E32" s="7" t="n"/>
    </row>
    <row r="33" ht="15.75" customHeight="1" s="57">
      <c r="A33" s="33" t="n"/>
      <c r="B33" s="7" t="n"/>
      <c r="C33" s="7" t="n"/>
      <c r="D33" s="7" t="n"/>
      <c r="E33" s="7" t="n"/>
    </row>
    <row r="34" ht="15.75" customHeight="1" s="57">
      <c r="A34" s="33" t="n"/>
      <c r="B34" s="7" t="n"/>
      <c r="C34" s="7" t="n"/>
      <c r="D34" s="7" t="n"/>
      <c r="E34" s="7" t="n"/>
    </row>
    <row r="35" ht="15.75" customHeight="1" s="57">
      <c r="A35" s="33" t="n"/>
      <c r="B35" s="7" t="n"/>
      <c r="C35" s="7" t="n"/>
      <c r="D35" s="7" t="n"/>
      <c r="E35" s="7" t="n"/>
    </row>
    <row r="36" ht="15.75" customHeight="1" s="57">
      <c r="A36" s="33" t="n"/>
      <c r="B36" s="7" t="n"/>
      <c r="C36" s="7" t="n"/>
      <c r="D36" s="7" t="n"/>
      <c r="E36" s="7" t="n"/>
    </row>
    <row r="37" ht="15.75" customHeight="1" s="57">
      <c r="A37" s="33" t="n"/>
      <c r="B37" s="7" t="n"/>
      <c r="C37" s="7" t="n"/>
      <c r="D37" s="7" t="n"/>
      <c r="E37" s="7" t="n"/>
    </row>
    <row r="38" ht="15.75" customHeight="1" s="57">
      <c r="A38" s="33" t="n"/>
      <c r="B38" s="7" t="n"/>
      <c r="C38" s="7" t="n"/>
      <c r="D38" s="7" t="n"/>
      <c r="E38" s="7" t="n"/>
    </row>
    <row r="39" ht="15.75" customHeight="1" s="57">
      <c r="A39" s="33" t="n"/>
      <c r="B39" s="7" t="n"/>
      <c r="C39" s="7" t="n"/>
      <c r="D39" s="7" t="n"/>
      <c r="E39" s="7" t="n"/>
    </row>
    <row r="40" ht="15.75" customHeight="1" s="57">
      <c r="A40" s="33" t="n"/>
      <c r="B40" s="7" t="n"/>
      <c r="C40" s="7" t="n"/>
      <c r="D40" s="7" t="n"/>
      <c r="E40" s="7" t="n"/>
    </row>
    <row r="41" ht="15.75" customHeight="1" s="57">
      <c r="A41" s="33" t="n"/>
      <c r="B41" s="7" t="n"/>
      <c r="C41" s="7" t="n"/>
      <c r="D41" s="7" t="n"/>
      <c r="E41" s="7" t="n"/>
    </row>
    <row r="42" ht="15.75" customHeight="1" s="57">
      <c r="A42" s="33" t="n"/>
      <c r="B42" s="7" t="n"/>
      <c r="C42" s="7" t="n"/>
      <c r="D42" s="7" t="n"/>
      <c r="E42" s="7" t="n"/>
    </row>
    <row r="43" ht="15.75" customHeight="1" s="57">
      <c r="A43" s="33" t="n"/>
      <c r="B43" s="7" t="n"/>
      <c r="C43" s="7" t="n"/>
      <c r="D43" s="7" t="n"/>
      <c r="E43" s="7" t="n"/>
    </row>
    <row r="44" ht="15.75" customHeight="1" s="57">
      <c r="A44" s="33" t="n"/>
      <c r="B44" s="7" t="n"/>
      <c r="C44" s="7" t="n"/>
      <c r="D44" s="7" t="n"/>
      <c r="E44" s="7" t="n"/>
    </row>
    <row r="45" ht="15.75" customHeight="1" s="57">
      <c r="A45" s="33" t="n"/>
      <c r="B45" s="7" t="n"/>
      <c r="C45" s="7" t="n"/>
      <c r="D45" s="7" t="n"/>
      <c r="E45" s="7" t="n"/>
    </row>
    <row r="46" ht="15.75" customHeight="1" s="57">
      <c r="A46" s="33" t="n"/>
      <c r="B46" s="7" t="n"/>
      <c r="C46" s="7" t="n"/>
      <c r="D46" s="7" t="n"/>
      <c r="E46" s="7" t="n"/>
    </row>
    <row r="47" ht="15.75" customHeight="1" s="57">
      <c r="A47" s="33" t="n"/>
      <c r="B47" s="7" t="n"/>
      <c r="C47" s="7" t="n"/>
      <c r="D47" s="7" t="n"/>
      <c r="E47" s="7" t="n"/>
    </row>
    <row r="48" ht="15.75" customHeight="1" s="57">
      <c r="A48" s="33" t="n"/>
      <c r="B48" s="7" t="n"/>
      <c r="C48" s="7" t="n"/>
      <c r="D48" s="7" t="n"/>
      <c r="E48" s="7" t="n"/>
    </row>
    <row r="49" ht="15.75" customHeight="1" s="57">
      <c r="A49" s="33" t="n"/>
      <c r="B49" s="7" t="n"/>
      <c r="C49" s="7" t="n"/>
      <c r="D49" s="7" t="n"/>
      <c r="E49" s="7" t="n"/>
    </row>
    <row r="50" ht="15.75" customHeight="1" s="57">
      <c r="A50" s="33" t="n"/>
      <c r="B50" s="7" t="n"/>
      <c r="C50" s="7" t="n"/>
      <c r="D50" s="7" t="n"/>
      <c r="E50" s="7" t="n"/>
    </row>
    <row r="51" ht="15.75" customHeight="1" s="57">
      <c r="A51" s="33" t="n"/>
      <c r="B51" s="7" t="n"/>
      <c r="C51" s="7" t="n"/>
      <c r="D51" s="7" t="n"/>
      <c r="E51" s="7" t="n"/>
    </row>
    <row r="52" ht="15.75" customHeight="1" s="57">
      <c r="A52" s="33" t="n"/>
      <c r="B52" s="7" t="n"/>
      <c r="C52" s="7" t="n"/>
      <c r="D52" s="7" t="n"/>
      <c r="E52" s="7" t="n"/>
    </row>
    <row r="53" ht="15.75" customHeight="1" s="57">
      <c r="A53" s="33" t="n"/>
      <c r="B53" s="7" t="n"/>
      <c r="C53" s="7" t="n"/>
      <c r="D53" s="7" t="n"/>
      <c r="E53" s="7" t="n"/>
    </row>
    <row r="54" ht="15.75" customHeight="1" s="57">
      <c r="A54" s="33" t="n"/>
      <c r="B54" s="7" t="n"/>
      <c r="C54" s="7" t="n"/>
      <c r="D54" s="7" t="n"/>
      <c r="E54" s="7" t="n"/>
    </row>
    <row r="55" ht="15.75" customHeight="1" s="57">
      <c r="A55" s="33" t="n"/>
      <c r="B55" s="7" t="n"/>
      <c r="C55" s="7" t="n"/>
      <c r="D55" s="7" t="n"/>
      <c r="E55" s="7" t="n"/>
    </row>
    <row r="56" ht="15.75" customHeight="1" s="57">
      <c r="A56" s="33" t="n"/>
      <c r="B56" s="7" t="n"/>
      <c r="C56" s="7" t="n"/>
      <c r="D56" s="7" t="n"/>
      <c r="E56" s="7" t="n"/>
    </row>
    <row r="57" ht="15.75" customHeight="1" s="57">
      <c r="A57" s="33" t="n"/>
      <c r="B57" s="7" t="n"/>
      <c r="C57" s="7" t="n"/>
      <c r="D57" s="7" t="n"/>
      <c r="E57" s="7" t="n"/>
    </row>
    <row r="58" ht="15.75" customHeight="1" s="57">
      <c r="A58" s="33" t="n"/>
      <c r="B58" s="7" t="n"/>
      <c r="C58" s="7" t="n"/>
      <c r="D58" s="7" t="n"/>
      <c r="E58" s="7" t="n"/>
    </row>
    <row r="59" ht="15.75" customHeight="1" s="57">
      <c r="A59" s="33" t="n"/>
      <c r="B59" s="7" t="n"/>
      <c r="C59" s="7" t="n"/>
      <c r="D59" s="7" t="n"/>
      <c r="E59" s="7" t="n"/>
    </row>
    <row r="60" ht="15.75" customHeight="1" s="57">
      <c r="A60" s="33" t="n"/>
      <c r="B60" s="7" t="n"/>
      <c r="C60" s="7" t="n"/>
      <c r="D60" s="7" t="n"/>
      <c r="E60" s="7" t="n"/>
    </row>
    <row r="61" ht="15.75" customHeight="1" s="57">
      <c r="A61" s="33" t="n"/>
      <c r="B61" s="7" t="n"/>
      <c r="C61" s="7" t="n"/>
      <c r="D61" s="7" t="n"/>
      <c r="E61" s="7" t="n"/>
    </row>
    <row r="62" ht="15.75" customHeight="1" s="57">
      <c r="A62" s="33" t="n"/>
      <c r="B62" s="7" t="n"/>
      <c r="C62" s="7" t="n"/>
      <c r="D62" s="7" t="n"/>
      <c r="E62" s="7" t="n"/>
    </row>
    <row r="63" ht="15.75" customHeight="1" s="57">
      <c r="A63" s="33" t="n"/>
      <c r="B63" s="7" t="n"/>
      <c r="C63" s="7" t="n"/>
      <c r="D63" s="7" t="n"/>
      <c r="E63" s="7" t="n"/>
    </row>
    <row r="64" ht="15.75" customHeight="1" s="57">
      <c r="A64" s="33" t="n"/>
      <c r="B64" s="7" t="n"/>
      <c r="C64" s="7" t="n"/>
      <c r="D64" s="7" t="n"/>
      <c r="E64" s="7" t="n"/>
    </row>
    <row r="65" ht="15.75" customHeight="1" s="57">
      <c r="A65" s="33" t="n"/>
      <c r="B65" s="7" t="n"/>
      <c r="C65" s="7" t="n"/>
      <c r="D65" s="7" t="n"/>
      <c r="E65" s="7" t="n"/>
    </row>
    <row r="66" ht="15.75" customHeight="1" s="57">
      <c r="A66" s="33" t="n"/>
      <c r="B66" s="7" t="n"/>
      <c r="C66" s="7" t="n"/>
      <c r="D66" s="7" t="n"/>
      <c r="E66" s="7" t="n"/>
    </row>
    <row r="67" ht="15.75" customHeight="1" s="57">
      <c r="A67" s="33" t="n"/>
      <c r="B67" s="7" t="n"/>
      <c r="C67" s="7" t="n"/>
      <c r="D67" s="7" t="n"/>
      <c r="E67" s="7" t="n"/>
    </row>
    <row r="68" ht="15.75" customHeight="1" s="57">
      <c r="A68" s="33" t="n"/>
      <c r="B68" s="7" t="n"/>
      <c r="C68" s="7" t="n"/>
      <c r="D68" s="7" t="n"/>
      <c r="E68" s="7" t="n"/>
    </row>
    <row r="69" ht="15.75" customHeight="1" s="57">
      <c r="A69" s="33" t="n"/>
      <c r="B69" s="7" t="n"/>
      <c r="C69" s="7" t="n"/>
      <c r="D69" s="7" t="n"/>
      <c r="E69" s="7" t="n"/>
    </row>
    <row r="70" ht="15.75" customHeight="1" s="57">
      <c r="A70" s="33" t="n"/>
      <c r="B70" s="7" t="n"/>
      <c r="C70" s="7" t="n"/>
      <c r="D70" s="7" t="n"/>
      <c r="E70" s="7" t="n"/>
    </row>
    <row r="71" ht="15.75" customHeight="1" s="57">
      <c r="A71" s="33" t="n"/>
      <c r="B71" s="7" t="n"/>
      <c r="C71" s="7" t="n"/>
      <c r="D71" s="7" t="n"/>
      <c r="E71" s="7" t="n"/>
    </row>
    <row r="72" ht="15.75" customHeight="1" s="57">
      <c r="A72" s="33" t="n"/>
      <c r="B72" s="7" t="n"/>
      <c r="C72" s="7" t="n"/>
      <c r="D72" s="7" t="n"/>
      <c r="E72" s="7" t="n"/>
    </row>
    <row r="73" ht="15.75" customHeight="1" s="57">
      <c r="A73" s="33" t="n"/>
      <c r="B73" s="7" t="n"/>
      <c r="C73" s="7" t="n"/>
      <c r="D73" s="7" t="n"/>
      <c r="E73" s="7" t="n"/>
    </row>
    <row r="74" ht="15.75" customHeight="1" s="57">
      <c r="A74" s="33" t="n"/>
      <c r="B74" s="7" t="n"/>
      <c r="C74" s="7" t="n"/>
      <c r="D74" s="7" t="n"/>
      <c r="E74" s="7" t="n"/>
    </row>
    <row r="75" ht="15.75" customHeight="1" s="57">
      <c r="A75" s="33" t="n"/>
      <c r="B75" s="7" t="n"/>
      <c r="C75" s="7" t="n"/>
      <c r="D75" s="7" t="n"/>
      <c r="E75" s="7" t="n"/>
    </row>
    <row r="76" ht="15.75" customHeight="1" s="57">
      <c r="A76" s="33" t="n"/>
      <c r="B76" s="7" t="n"/>
      <c r="C76" s="7" t="n"/>
      <c r="D76" s="7" t="n"/>
      <c r="E76" s="7" t="n"/>
    </row>
    <row r="77" ht="15.75" customHeight="1" s="57">
      <c r="A77" s="33" t="n"/>
      <c r="B77" s="7" t="n"/>
      <c r="C77" s="7" t="n"/>
      <c r="D77" s="7" t="n"/>
      <c r="E77" s="7" t="n"/>
    </row>
    <row r="78" ht="15.75" customHeight="1" s="57">
      <c r="A78" s="33" t="n"/>
      <c r="B78" s="7" t="n"/>
      <c r="C78" s="7" t="n"/>
      <c r="D78" s="7" t="n"/>
      <c r="E78" s="7" t="n"/>
    </row>
    <row r="79" ht="15.75" customHeight="1" s="57">
      <c r="A79" s="33" t="n"/>
      <c r="B79" s="7" t="n"/>
      <c r="C79" s="7" t="n"/>
      <c r="D79" s="7" t="n"/>
      <c r="E79" s="7" t="n"/>
    </row>
    <row r="80" ht="15.75" customHeight="1" s="57">
      <c r="A80" s="33" t="n"/>
      <c r="B80" s="7" t="n"/>
      <c r="C80" s="7" t="n"/>
      <c r="D80" s="7" t="n"/>
      <c r="E80" s="7" t="n"/>
    </row>
    <row r="81" ht="15.75" customHeight="1" s="57">
      <c r="A81" s="33" t="n"/>
      <c r="B81" s="7" t="n"/>
      <c r="C81" s="7" t="n"/>
      <c r="D81" s="7" t="n"/>
      <c r="E81" s="7" t="n"/>
    </row>
    <row r="82" ht="15.75" customHeight="1" s="57">
      <c r="A82" s="33" t="n"/>
      <c r="B82" s="7" t="n"/>
      <c r="C82" s="7" t="n"/>
      <c r="D82" s="7" t="n"/>
      <c r="E82" s="7" t="n"/>
    </row>
    <row r="83" ht="15.75" customHeight="1" s="57">
      <c r="A83" s="33" t="n"/>
      <c r="B83" s="7" t="n"/>
      <c r="C83" s="7" t="n"/>
      <c r="D83" s="7" t="n"/>
      <c r="E83" s="7" t="n"/>
    </row>
    <row r="84" ht="15.75" customHeight="1" s="57">
      <c r="A84" s="33" t="n"/>
      <c r="B84" s="7" t="n"/>
      <c r="C84" s="7" t="n"/>
      <c r="D84" s="7" t="n"/>
      <c r="E84" s="7" t="n"/>
    </row>
    <row r="85" ht="15.75" customHeight="1" s="57">
      <c r="A85" s="33" t="n"/>
      <c r="B85" s="7" t="n"/>
      <c r="C85" s="7" t="n"/>
      <c r="D85" s="7" t="n"/>
      <c r="E85" s="7" t="n"/>
    </row>
    <row r="86" ht="15.75" customHeight="1" s="57">
      <c r="A86" s="33" t="n"/>
      <c r="B86" s="7" t="n"/>
      <c r="C86" s="7" t="n"/>
      <c r="D86" s="7" t="n"/>
      <c r="E86" s="7" t="n"/>
    </row>
    <row r="87" ht="15.75" customHeight="1" s="57">
      <c r="A87" s="33" t="n"/>
      <c r="B87" s="7" t="n"/>
      <c r="C87" s="7" t="n"/>
      <c r="D87" s="7" t="n"/>
      <c r="E87" s="7" t="n"/>
    </row>
    <row r="88" ht="15.75" customHeight="1" s="57">
      <c r="A88" s="33" t="n"/>
      <c r="B88" s="7" t="n"/>
      <c r="C88" s="7" t="n"/>
      <c r="D88" s="7" t="n"/>
      <c r="E88" s="7" t="n"/>
    </row>
    <row r="89" ht="15.75" customHeight="1" s="57">
      <c r="A89" s="33" t="n"/>
      <c r="B89" s="7" t="n"/>
      <c r="C89" s="7" t="n"/>
      <c r="D89" s="7" t="n"/>
      <c r="E89" s="7" t="n"/>
    </row>
    <row r="90" ht="15.75" customHeight="1" s="57">
      <c r="A90" s="33" t="n"/>
      <c r="B90" s="7" t="n"/>
      <c r="C90" s="7" t="n"/>
      <c r="D90" s="7" t="n"/>
      <c r="E90" s="7" t="n"/>
    </row>
    <row r="91" ht="15.75" customHeight="1" s="57"/>
    <row r="92" ht="15.75" customHeight="1" s="57"/>
    <row r="93" ht="15.75" customHeight="1" s="57"/>
    <row r="94" ht="15.75" customHeight="1" s="57"/>
    <row r="95" ht="15.75" customHeight="1" s="57"/>
    <row r="96" ht="15.75" customHeight="1" s="57"/>
    <row r="97" ht="15.75" customHeight="1" s="57"/>
    <row r="98" ht="15.75" customHeight="1" s="57"/>
    <row r="99" ht="15.75" customHeight="1" s="57"/>
    <row r="100" ht="15.75" customHeight="1" s="57"/>
    <row r="101" ht="15.75" customHeight="1" s="57"/>
    <row r="102" ht="15.75" customHeight="1" s="57"/>
    <row r="103" ht="15.75" customHeight="1" s="57"/>
    <row r="104" ht="15.75" customHeight="1" s="57"/>
    <row r="105" ht="15.75" customHeight="1" s="57"/>
    <row r="106" ht="15.75" customHeight="1" s="57"/>
    <row r="107" ht="15.75" customHeight="1" s="57"/>
    <row r="108" ht="15.75" customHeight="1" s="57"/>
    <row r="109" ht="15.75" customHeight="1" s="57"/>
    <row r="110" ht="15.75" customHeight="1" s="57"/>
    <row r="111" ht="15.75" customHeight="1" s="57"/>
    <row r="112" ht="15.75" customHeight="1" s="57"/>
    <row r="113" ht="15.75" customHeight="1" s="57"/>
    <row r="114" ht="15.75" customHeight="1" s="57"/>
    <row r="115" ht="15.75" customHeight="1" s="57"/>
    <row r="116" ht="15.75" customHeight="1" s="57"/>
    <row r="117" ht="15.75" customHeight="1" s="57"/>
    <row r="118" ht="15.75" customHeight="1" s="57"/>
    <row r="119" ht="15.75" customHeight="1" s="57"/>
    <row r="120" ht="15.75" customHeight="1" s="57"/>
    <row r="121" ht="15.75" customHeight="1" s="57"/>
    <row r="122" ht="15.75" customHeight="1" s="57"/>
    <row r="123" ht="15.75" customHeight="1" s="57"/>
    <row r="124" ht="15.75" customHeight="1" s="57"/>
    <row r="125" ht="15.75" customHeight="1" s="57"/>
    <row r="126" ht="15.75" customHeight="1" s="57"/>
    <row r="127" ht="15.75" customHeight="1" s="57"/>
    <row r="128" ht="15.75" customHeight="1" s="57"/>
    <row r="129" ht="15.75" customHeight="1" s="57"/>
    <row r="130" ht="15.75" customHeight="1" s="57"/>
    <row r="131" ht="15.75" customHeight="1" s="57"/>
    <row r="132" ht="15.75" customHeight="1" s="57"/>
    <row r="133" ht="15.75" customHeight="1" s="57"/>
    <row r="134" ht="15.75" customHeight="1" s="57"/>
    <row r="135" ht="15.75" customHeight="1" s="57"/>
    <row r="136" ht="15.75" customHeight="1" s="57"/>
    <row r="137" ht="15.75" customHeight="1" s="57"/>
    <row r="138" ht="15.75" customHeight="1" s="57"/>
    <row r="139" ht="15.75" customHeight="1" s="57"/>
    <row r="140" ht="15.75" customHeight="1" s="57"/>
    <row r="141" ht="15.75" customHeight="1" s="57"/>
    <row r="142" ht="15.75" customHeight="1" s="57"/>
    <row r="143" ht="15.75" customHeight="1" s="57"/>
    <row r="144" ht="15.75" customHeight="1" s="57"/>
    <row r="145" ht="15.75" customHeight="1" s="57"/>
    <row r="146" ht="15.75" customHeight="1" s="57"/>
    <row r="147" ht="15.75" customHeight="1" s="57"/>
    <row r="148" ht="15.75" customHeight="1" s="57"/>
    <row r="149" ht="15.75" customHeight="1" s="57"/>
    <row r="150" ht="15.75" customHeight="1" s="57"/>
    <row r="151" ht="15.75" customHeight="1" s="57"/>
    <row r="152" ht="15.75" customHeight="1" s="57"/>
    <row r="153" ht="15.75" customHeight="1" s="57"/>
    <row r="154" ht="15.75" customHeight="1" s="57"/>
    <row r="155" ht="15.75" customHeight="1" s="57"/>
    <row r="156" ht="15.75" customHeight="1" s="57"/>
    <row r="157" ht="15.75" customHeight="1" s="57"/>
    <row r="158" ht="15.75" customHeight="1" s="57"/>
    <row r="159" ht="15.75" customHeight="1" s="57"/>
    <row r="160" ht="15.75" customHeight="1" s="57"/>
    <row r="161" ht="15.75" customHeight="1" s="57"/>
    <row r="162" ht="15.75" customHeight="1" s="57"/>
    <row r="163" ht="15.75" customHeight="1" s="57"/>
    <row r="164" ht="15.75" customHeight="1" s="57"/>
    <row r="165" ht="15.75" customHeight="1" s="57"/>
    <row r="166" ht="15.75" customHeight="1" s="57"/>
    <row r="167" ht="15.75" customHeight="1" s="57"/>
    <row r="168" ht="15.75" customHeight="1" s="57"/>
    <row r="169" ht="15.75" customHeight="1" s="57"/>
    <row r="170" ht="15.75" customHeight="1" s="57"/>
    <row r="171" ht="15.75" customHeight="1" s="57"/>
    <row r="172" ht="15.75" customHeight="1" s="57"/>
    <row r="173" ht="15.75" customHeight="1" s="57"/>
    <row r="174" ht="15.75" customHeight="1" s="57"/>
    <row r="175" ht="15.75" customHeight="1" s="57"/>
    <row r="176" ht="15.75" customHeight="1" s="57"/>
    <row r="177" ht="15.75" customHeight="1" s="57"/>
    <row r="178" ht="15.75" customHeight="1" s="57"/>
    <row r="179" ht="15.75" customHeight="1" s="57"/>
    <row r="180" ht="15.75" customHeight="1" s="57"/>
    <row r="181" ht="15.75" customHeight="1" s="57"/>
    <row r="182" ht="15.75" customHeight="1" s="57"/>
    <row r="183" ht="15.75" customHeight="1" s="57"/>
    <row r="184" ht="15.75" customHeight="1" s="57"/>
    <row r="185" ht="15.75" customHeight="1" s="57"/>
    <row r="186" ht="15.75" customHeight="1" s="57"/>
    <row r="187" ht="15.75" customHeight="1" s="57"/>
    <row r="188" ht="15.75" customHeight="1" s="57"/>
    <row r="189" ht="15.75" customHeight="1" s="57"/>
    <row r="190" ht="15.75" customHeight="1" s="57"/>
    <row r="191" ht="15.75" customHeight="1" s="57"/>
    <row r="192" ht="15.75" customHeight="1" s="57"/>
    <row r="193" ht="15.75" customHeight="1" s="57"/>
    <row r="194" ht="15.75" customHeight="1" s="57"/>
    <row r="195" ht="15.75" customHeight="1" s="57"/>
    <row r="196" ht="15.75" customHeight="1" s="57"/>
    <row r="197" ht="15.75" customHeight="1" s="57"/>
    <row r="198" ht="15.75" customHeight="1" s="57"/>
    <row r="199" ht="15.75" customHeight="1" s="57"/>
    <row r="200" ht="15.75" customHeight="1" s="57"/>
    <row r="201" ht="15.75" customHeight="1" s="57"/>
    <row r="202" ht="15.75" customHeight="1" s="57"/>
    <row r="203" ht="15.75" customHeight="1" s="57"/>
    <row r="204" ht="15.75" customHeight="1" s="57"/>
    <row r="205" ht="15.75" customHeight="1" s="57"/>
    <row r="206" ht="15.75" customHeight="1" s="57"/>
    <row r="207" ht="15.75" customHeight="1" s="57"/>
    <row r="208" ht="15.75" customHeight="1" s="57"/>
    <row r="209" ht="15.75" customHeight="1" s="57"/>
    <row r="210" ht="15.75" customHeight="1" s="57"/>
    <row r="211" ht="15.75" customHeight="1" s="57"/>
    <row r="212" ht="15.75" customHeight="1" s="57"/>
    <row r="213" ht="15.75" customHeight="1" s="57"/>
    <row r="214" ht="15.75" customHeight="1" s="57"/>
    <row r="215" ht="15.75" customHeight="1" s="57"/>
    <row r="216" ht="15.75" customHeight="1" s="57"/>
    <row r="217" ht="15.75" customHeight="1" s="57"/>
    <row r="218" ht="15.75" customHeight="1" s="57"/>
    <row r="219" ht="15.75" customHeight="1" s="57"/>
    <row r="220" ht="15.75" customHeight="1" s="57"/>
    <row r="221" ht="15.75" customHeight="1" s="57"/>
    <row r="222" ht="15.75" customHeight="1" s="57"/>
    <row r="223" ht="15.75" customHeight="1" s="57"/>
    <row r="224" ht="15.75" customHeight="1" s="57"/>
    <row r="225" ht="15.75" customHeight="1" s="57"/>
    <row r="226" ht="15.75" customHeight="1" s="57"/>
    <row r="227" ht="15.75" customHeight="1" s="57"/>
    <row r="228" ht="15.75" customHeight="1" s="57"/>
    <row r="229" ht="15.75" customHeight="1" s="57"/>
    <row r="230" ht="15.75" customHeight="1" s="57"/>
    <row r="231" ht="15.75" customHeight="1" s="57"/>
    <row r="232" ht="15.75" customHeight="1" s="57"/>
    <row r="233" ht="15.75" customHeight="1" s="57"/>
    <row r="234" ht="15.75" customHeight="1" s="57"/>
    <row r="235" ht="15.75" customHeight="1" s="57"/>
    <row r="236" ht="15.75" customHeight="1" s="57"/>
    <row r="237" ht="15.75" customHeight="1" s="57"/>
    <row r="238" ht="15.75" customHeight="1" s="57"/>
    <row r="239" ht="15.75" customHeight="1" s="57"/>
    <row r="240" ht="15.75" customHeight="1" s="57"/>
    <row r="241" ht="15.75" customHeight="1" s="57"/>
    <row r="242" ht="15.75" customHeight="1" s="57"/>
    <row r="243" ht="15.75" customHeight="1" s="57"/>
    <row r="244" ht="15.75" customHeight="1" s="57"/>
    <row r="245" ht="15.75" customHeight="1" s="57"/>
    <row r="246" ht="15.75" customHeight="1" s="57"/>
    <row r="247" ht="15.75" customHeight="1" s="57"/>
    <row r="248" ht="15.75" customHeight="1" s="57"/>
    <row r="249" ht="15.75" customHeight="1" s="57"/>
    <row r="250" ht="15.75" customHeight="1" s="57"/>
    <row r="251" ht="15.75" customHeight="1" s="57"/>
    <row r="252" ht="15.75" customHeight="1" s="57"/>
    <row r="253" ht="15.75" customHeight="1" s="57"/>
    <row r="254" ht="15.75" customHeight="1" s="57"/>
    <row r="255" ht="15.75" customHeight="1" s="57"/>
    <row r="256" ht="15.75" customHeight="1" s="57"/>
    <row r="257" ht="15.75" customHeight="1" s="57"/>
    <row r="258" ht="15.75" customHeight="1" s="57"/>
    <row r="259" ht="15.75" customHeight="1" s="57"/>
    <row r="260" ht="15.75" customHeight="1" s="57"/>
    <row r="261" ht="15.75" customHeight="1" s="57"/>
    <row r="262" ht="15.75" customHeight="1" s="57"/>
    <row r="263" ht="15.75" customHeight="1" s="57"/>
    <row r="264" ht="15.75" customHeight="1" s="57"/>
    <row r="265" ht="15.75" customHeight="1" s="57"/>
    <row r="266" ht="15.75" customHeight="1" s="57"/>
    <row r="267" ht="15.75" customHeight="1" s="57"/>
    <row r="268" ht="15.75" customHeight="1" s="57"/>
    <row r="269" ht="15.75" customHeight="1" s="57"/>
    <row r="270" ht="15.75" customHeight="1" s="57"/>
    <row r="271" ht="15.75" customHeight="1" s="57"/>
    <row r="272" ht="15.75" customHeight="1" s="57"/>
    <row r="273" ht="15.75" customHeight="1" s="57"/>
    <row r="274" ht="15.75" customHeight="1" s="57"/>
    <row r="275" ht="15.75" customHeight="1" s="57"/>
    <row r="276" ht="15.75" customHeight="1" s="57"/>
    <row r="277" ht="15.75" customHeight="1" s="57"/>
    <row r="278" ht="15.75" customHeight="1" s="57"/>
    <row r="279" ht="15.75" customHeight="1" s="57"/>
    <row r="280" ht="15.75" customHeight="1" s="57"/>
    <row r="281" ht="15.75" customHeight="1" s="57"/>
    <row r="282" ht="15.75" customHeight="1" s="57"/>
    <row r="283" ht="15.75" customHeight="1" s="57"/>
    <row r="284" ht="15.75" customHeight="1" s="57"/>
    <row r="285" ht="15.75" customHeight="1" s="57"/>
    <row r="286" ht="15.75" customHeight="1" s="57"/>
    <row r="287" ht="15.75" customHeight="1" s="57"/>
    <row r="288" ht="15.75" customHeight="1" s="57"/>
    <row r="289" ht="15.75" customHeight="1" s="57"/>
    <row r="290" ht="15.75" customHeight="1" s="57"/>
    <row r="291" ht="15.75" customHeight="1" s="57"/>
    <row r="292" ht="15.75" customHeight="1" s="57"/>
    <row r="293" ht="15.75" customHeight="1" s="57"/>
    <row r="294" ht="15.75" customHeight="1" s="57"/>
    <row r="295" ht="15.75" customHeight="1" s="57"/>
    <row r="296" ht="15.75" customHeight="1" s="57"/>
    <row r="297" ht="15.75" customHeight="1" s="57"/>
    <row r="298" ht="15.75" customHeight="1" s="57"/>
    <row r="299" ht="15.75" customHeight="1" s="57"/>
    <row r="300" ht="15.75" customHeight="1" s="57"/>
    <row r="301" ht="15.75" customHeight="1" s="57"/>
    <row r="302" ht="15.75" customHeight="1" s="57"/>
    <row r="303" ht="15.75" customHeight="1" s="57"/>
    <row r="304" ht="15.75" customHeight="1" s="57"/>
    <row r="305" ht="15.75" customHeight="1" s="57"/>
    <row r="306" ht="15.75" customHeight="1" s="57"/>
    <row r="307" ht="15.75" customHeight="1" s="57"/>
    <row r="308" ht="15.75" customHeight="1" s="57"/>
    <row r="309" ht="15.75" customHeight="1" s="57"/>
    <row r="310" ht="15.75" customHeight="1" s="57"/>
    <row r="311" ht="15.75" customHeight="1" s="57"/>
    <row r="312" ht="15.75" customHeight="1" s="57"/>
    <row r="313" ht="15.75" customHeight="1" s="57"/>
    <row r="314" ht="15.75" customHeight="1" s="57"/>
    <row r="315" ht="15.75" customHeight="1" s="57"/>
    <row r="316" ht="15.75" customHeight="1" s="57"/>
    <row r="317" ht="15.75" customHeight="1" s="57"/>
    <row r="318" ht="15.75" customHeight="1" s="57"/>
    <row r="319" ht="15.75" customHeight="1" s="57"/>
    <row r="320" ht="15.75" customHeight="1" s="57"/>
    <row r="321" ht="15.75" customHeight="1" s="57"/>
    <row r="322" ht="15.75" customHeight="1" s="57"/>
    <row r="323" ht="15.75" customHeight="1" s="57"/>
    <row r="324" ht="15.75" customHeight="1" s="57"/>
    <row r="325" ht="15.75" customHeight="1" s="57"/>
    <row r="326" ht="15.75" customHeight="1" s="57"/>
    <row r="327" ht="15.75" customHeight="1" s="57"/>
    <row r="328" ht="15.75" customHeight="1" s="57"/>
    <row r="329" ht="15.75" customHeight="1" s="57"/>
    <row r="330" ht="15.75" customHeight="1" s="57"/>
    <row r="331" ht="15.75" customHeight="1" s="57"/>
    <row r="332" ht="15.75" customHeight="1" s="57"/>
    <row r="333" ht="15.75" customHeight="1" s="57"/>
    <row r="334" ht="15.75" customHeight="1" s="57"/>
    <row r="335" ht="15.75" customHeight="1" s="57"/>
    <row r="336" ht="15.75" customHeight="1" s="57"/>
    <row r="337" ht="15.75" customHeight="1" s="57"/>
    <row r="338" ht="15.75" customHeight="1" s="57"/>
    <row r="339" ht="15.75" customHeight="1" s="57"/>
    <row r="340" ht="15.75" customHeight="1" s="57"/>
    <row r="341" ht="15.75" customHeight="1" s="57"/>
    <row r="342" ht="15.75" customHeight="1" s="57"/>
    <row r="343" ht="15.75" customHeight="1" s="57"/>
    <row r="344" ht="15.75" customHeight="1" s="57"/>
    <row r="345" ht="15.75" customHeight="1" s="57"/>
    <row r="346" ht="15.75" customHeight="1" s="57"/>
    <row r="347" ht="15.75" customHeight="1" s="57"/>
    <row r="348" ht="15.75" customHeight="1" s="57"/>
    <row r="349" ht="15.75" customHeight="1" s="57"/>
    <row r="350" ht="15.75" customHeight="1" s="57"/>
    <row r="351" ht="15.75" customHeight="1" s="57"/>
    <row r="352" ht="15.75" customHeight="1" s="57"/>
    <row r="353" ht="15.75" customHeight="1" s="57"/>
    <row r="354" ht="15.75" customHeight="1" s="57"/>
    <row r="355" ht="15.75" customHeight="1" s="57"/>
    <row r="356" ht="15.75" customHeight="1" s="57"/>
    <row r="357" ht="15.75" customHeight="1" s="57"/>
    <row r="358" ht="15.75" customHeight="1" s="57"/>
    <row r="359" ht="15.75" customHeight="1" s="57"/>
    <row r="360" ht="15.75" customHeight="1" s="57"/>
    <row r="361" ht="15.75" customHeight="1" s="57"/>
    <row r="362" ht="15.75" customHeight="1" s="57"/>
    <row r="363" ht="15.75" customHeight="1" s="57"/>
    <row r="364" ht="15.75" customHeight="1" s="57"/>
    <row r="365" ht="15.75" customHeight="1" s="57"/>
    <row r="366" ht="15.75" customHeight="1" s="57"/>
    <row r="367" ht="15.75" customHeight="1" s="57"/>
    <row r="368" ht="15.75" customHeight="1" s="57"/>
    <row r="369" ht="15.75" customHeight="1" s="57"/>
    <row r="370" ht="15.75" customHeight="1" s="57"/>
    <row r="371" ht="15.75" customHeight="1" s="57"/>
    <row r="372" ht="15.75" customHeight="1" s="57"/>
    <row r="373" ht="15.75" customHeight="1" s="57"/>
    <row r="374" ht="15.75" customHeight="1" s="57"/>
    <row r="375" ht="15.75" customHeight="1" s="57"/>
    <row r="376" ht="15.75" customHeight="1" s="57"/>
    <row r="377" ht="15.75" customHeight="1" s="57"/>
    <row r="378" ht="15.75" customHeight="1" s="57"/>
    <row r="379" ht="15.75" customHeight="1" s="57"/>
    <row r="380" ht="15.75" customHeight="1" s="57"/>
    <row r="381" ht="15.75" customHeight="1" s="57"/>
    <row r="382" ht="15.75" customHeight="1" s="57"/>
    <row r="383" ht="15.75" customHeight="1" s="57"/>
    <row r="384" ht="15.75" customHeight="1" s="57"/>
    <row r="385" ht="15.75" customHeight="1" s="57"/>
    <row r="386" ht="15.75" customHeight="1" s="57"/>
    <row r="387" ht="15.75" customHeight="1" s="57"/>
    <row r="388" ht="15.75" customHeight="1" s="57"/>
    <row r="389" ht="15.75" customHeight="1" s="57"/>
    <row r="390" ht="15.75" customHeight="1" s="57"/>
    <row r="391" ht="15.75" customHeight="1" s="57"/>
    <row r="392" ht="15.75" customHeight="1" s="57"/>
    <row r="393" ht="15.75" customHeight="1" s="57"/>
    <row r="394" ht="15.75" customHeight="1" s="57"/>
    <row r="395" ht="15.75" customHeight="1" s="57"/>
    <row r="396" ht="15.75" customHeight="1" s="57"/>
    <row r="397" ht="15.75" customHeight="1" s="57"/>
    <row r="398" ht="15.75" customHeight="1" s="57"/>
    <row r="399" ht="15.75" customHeight="1" s="57"/>
    <row r="400" ht="15.75" customHeight="1" s="57"/>
    <row r="401" ht="15.75" customHeight="1" s="57"/>
    <row r="402" ht="15.75" customHeight="1" s="57"/>
    <row r="403" ht="15.75" customHeight="1" s="57"/>
    <row r="404" ht="15.75" customHeight="1" s="57"/>
    <row r="405" ht="15.75" customHeight="1" s="57"/>
    <row r="406" ht="15.75" customHeight="1" s="57"/>
    <row r="407" ht="15.75" customHeight="1" s="57"/>
    <row r="408" ht="15.75" customHeight="1" s="57"/>
    <row r="409" ht="15.75" customHeight="1" s="57"/>
    <row r="410" ht="15.75" customHeight="1" s="57"/>
    <row r="411" ht="15.75" customHeight="1" s="57"/>
    <row r="412" ht="15.75" customHeight="1" s="57"/>
    <row r="413" ht="15.75" customHeight="1" s="57"/>
    <row r="414" ht="15.75" customHeight="1" s="57"/>
    <row r="415" ht="15.75" customHeight="1" s="57"/>
    <row r="416" ht="15.75" customHeight="1" s="57"/>
    <row r="417" ht="15.75" customHeight="1" s="57"/>
    <row r="418" ht="15.75" customHeight="1" s="57"/>
    <row r="419" ht="15.75" customHeight="1" s="57"/>
    <row r="420" ht="15.75" customHeight="1" s="57"/>
    <row r="421" ht="15.75" customHeight="1" s="57"/>
    <row r="422" ht="15.75" customHeight="1" s="57"/>
    <row r="423" ht="15.75" customHeight="1" s="57"/>
    <row r="424" ht="15.75" customHeight="1" s="57"/>
    <row r="425" ht="15.75" customHeight="1" s="57"/>
    <row r="426" ht="15.75" customHeight="1" s="57"/>
    <row r="427" ht="15.75" customHeight="1" s="57"/>
    <row r="428" ht="15.75" customHeight="1" s="57"/>
    <row r="429" ht="15.75" customHeight="1" s="57"/>
    <row r="430" ht="15.75" customHeight="1" s="57"/>
    <row r="431" ht="15.75" customHeight="1" s="57"/>
    <row r="432" ht="15.75" customHeight="1" s="57"/>
    <row r="433" ht="15.75" customHeight="1" s="57"/>
    <row r="434" ht="15.75" customHeight="1" s="57"/>
    <row r="435" ht="15.75" customHeight="1" s="57"/>
    <row r="436" ht="15.75" customHeight="1" s="57"/>
    <row r="437" ht="15.75" customHeight="1" s="57"/>
    <row r="438" ht="15.75" customHeight="1" s="57"/>
    <row r="439" ht="15.75" customHeight="1" s="57"/>
    <row r="440" ht="15.75" customHeight="1" s="57"/>
    <row r="441" ht="15.75" customHeight="1" s="57"/>
    <row r="442" ht="15.75" customHeight="1" s="57"/>
    <row r="443" ht="15.75" customHeight="1" s="57"/>
    <row r="444" ht="15.75" customHeight="1" s="57"/>
    <row r="445" ht="15.75" customHeight="1" s="57"/>
    <row r="446" ht="15.75" customHeight="1" s="57"/>
    <row r="447" ht="15.75" customHeight="1" s="57"/>
    <row r="448" ht="15.75" customHeight="1" s="57"/>
    <row r="449" ht="15.75" customHeight="1" s="57"/>
    <row r="450" ht="15.75" customHeight="1" s="57"/>
    <row r="451" ht="15.75" customHeight="1" s="57"/>
    <row r="452" ht="15.75" customHeight="1" s="57"/>
    <row r="453" ht="15.75" customHeight="1" s="57"/>
    <row r="454" ht="15.75" customHeight="1" s="57"/>
    <row r="455" ht="15.75" customHeight="1" s="57"/>
    <row r="456" ht="15.75" customHeight="1" s="57"/>
    <row r="457" ht="15.75" customHeight="1" s="57"/>
    <row r="458" ht="15.75" customHeight="1" s="57"/>
    <row r="459" ht="15.75" customHeight="1" s="57"/>
    <row r="460" ht="15.75" customHeight="1" s="57"/>
    <row r="461" ht="15.75" customHeight="1" s="57"/>
    <row r="462" ht="15.75" customHeight="1" s="57"/>
    <row r="463" ht="15.75" customHeight="1" s="57"/>
    <row r="464" ht="15.75" customHeight="1" s="57"/>
    <row r="465" ht="15.75" customHeight="1" s="57"/>
    <row r="466" ht="15.75" customHeight="1" s="57"/>
    <row r="467" ht="15.75" customHeight="1" s="57"/>
    <row r="468" ht="15.75" customHeight="1" s="57"/>
    <row r="469" ht="15.75" customHeight="1" s="57"/>
    <row r="470" ht="15.75" customHeight="1" s="57"/>
    <row r="471" ht="15.75" customHeight="1" s="57"/>
    <row r="472" ht="15.75" customHeight="1" s="57"/>
    <row r="473" ht="15.75" customHeight="1" s="57"/>
    <row r="474" ht="15.75" customHeight="1" s="57"/>
    <row r="475" ht="15.75" customHeight="1" s="57"/>
    <row r="476" ht="15.75" customHeight="1" s="57"/>
    <row r="477" ht="15.75" customHeight="1" s="57"/>
    <row r="478" ht="15.75" customHeight="1" s="57"/>
    <row r="479" ht="15.75" customHeight="1" s="57"/>
    <row r="480" ht="15.75" customHeight="1" s="57"/>
    <row r="481" ht="15.75" customHeight="1" s="57"/>
    <row r="482" ht="15.75" customHeight="1" s="57"/>
    <row r="483" ht="15.75" customHeight="1" s="57"/>
    <row r="484" ht="15.75" customHeight="1" s="57"/>
    <row r="485" ht="15.75" customHeight="1" s="57"/>
    <row r="486" ht="15.75" customHeight="1" s="57"/>
    <row r="487" ht="15.75" customHeight="1" s="57"/>
    <row r="488" ht="15.75" customHeight="1" s="57"/>
    <row r="489" ht="15.75" customHeight="1" s="57"/>
    <row r="490" ht="15.75" customHeight="1" s="57"/>
    <row r="491" ht="15.75" customHeight="1" s="57"/>
    <row r="492" ht="15.75" customHeight="1" s="57"/>
    <row r="493" ht="15.75" customHeight="1" s="57"/>
    <row r="494" ht="15.75" customHeight="1" s="57"/>
    <row r="495" ht="15.75" customHeight="1" s="57"/>
    <row r="496" ht="15.75" customHeight="1" s="57"/>
    <row r="497" ht="15.75" customHeight="1" s="57"/>
    <row r="498" ht="15.75" customHeight="1" s="57"/>
    <row r="499" ht="15.75" customHeight="1" s="57"/>
    <row r="500" ht="15.75" customHeight="1" s="57"/>
    <row r="501" ht="15.75" customHeight="1" s="57"/>
    <row r="502" ht="15.75" customHeight="1" s="57"/>
    <row r="503" ht="15.75" customHeight="1" s="57"/>
    <row r="504" ht="15.75" customHeight="1" s="57"/>
    <row r="505" ht="15.75" customHeight="1" s="57"/>
    <row r="506" ht="15.75" customHeight="1" s="57"/>
    <row r="507" ht="15.75" customHeight="1" s="57"/>
    <row r="508" ht="15.75" customHeight="1" s="57"/>
    <row r="509" ht="15.75" customHeight="1" s="57"/>
    <row r="510" ht="15.75" customHeight="1" s="57"/>
    <row r="511" ht="15.75" customHeight="1" s="57"/>
    <row r="512" ht="15.75" customHeight="1" s="57"/>
    <row r="513" ht="15.75" customHeight="1" s="57"/>
    <row r="514" ht="15.75" customHeight="1" s="57"/>
    <row r="515" ht="15.75" customHeight="1" s="57"/>
    <row r="516" ht="15.75" customHeight="1" s="57"/>
    <row r="517" ht="15.75" customHeight="1" s="57"/>
    <row r="518" ht="15.75" customHeight="1" s="57"/>
    <row r="519" ht="15.75" customHeight="1" s="57"/>
    <row r="520" ht="15.75" customHeight="1" s="57"/>
    <row r="521" ht="15.75" customHeight="1" s="57"/>
    <row r="522" ht="15.75" customHeight="1" s="57"/>
    <row r="523" ht="15.75" customHeight="1" s="57"/>
    <row r="524" ht="15.75" customHeight="1" s="57"/>
    <row r="525" ht="15.75" customHeight="1" s="57"/>
    <row r="526" ht="15.75" customHeight="1" s="57"/>
    <row r="527" ht="15.75" customHeight="1" s="57"/>
    <row r="528" ht="15.75" customHeight="1" s="57"/>
    <row r="529" ht="15.75" customHeight="1" s="57"/>
    <row r="530" ht="15.75" customHeight="1" s="57"/>
    <row r="531" ht="15.75" customHeight="1" s="57"/>
    <row r="532" ht="15.75" customHeight="1" s="57"/>
    <row r="533" ht="15.75" customHeight="1" s="57"/>
    <row r="534" ht="15.75" customHeight="1" s="57"/>
    <row r="535" ht="15.75" customHeight="1" s="57"/>
    <row r="536" ht="15.75" customHeight="1" s="57"/>
    <row r="537" ht="15.75" customHeight="1" s="57"/>
    <row r="538" ht="15.75" customHeight="1" s="57"/>
    <row r="539" ht="15.75" customHeight="1" s="57"/>
    <row r="540" ht="15.75" customHeight="1" s="57"/>
    <row r="541" ht="15.75" customHeight="1" s="57"/>
    <row r="542" ht="15.75" customHeight="1" s="57"/>
    <row r="543" ht="15.75" customHeight="1" s="57"/>
    <row r="544" ht="15.75" customHeight="1" s="57"/>
    <row r="545" ht="15.75" customHeight="1" s="57"/>
    <row r="546" ht="15.75" customHeight="1" s="57"/>
    <row r="547" ht="15.75" customHeight="1" s="57"/>
    <row r="548" ht="15.75" customHeight="1" s="57"/>
    <row r="549" ht="15.75" customHeight="1" s="57"/>
    <row r="550" ht="15.75" customHeight="1" s="57"/>
    <row r="551" ht="15.75" customHeight="1" s="57"/>
    <row r="552" ht="15.75" customHeight="1" s="57"/>
    <row r="553" ht="15.75" customHeight="1" s="57"/>
    <row r="554" ht="15.75" customHeight="1" s="57"/>
    <row r="555" ht="15.75" customHeight="1" s="57"/>
    <row r="556" ht="15.75" customHeight="1" s="57"/>
    <row r="557" ht="15.75" customHeight="1" s="57"/>
    <row r="558" ht="15.75" customHeight="1" s="57"/>
    <row r="559" ht="15.75" customHeight="1" s="57"/>
    <row r="560" ht="15.75" customHeight="1" s="57"/>
    <row r="561" ht="15.75" customHeight="1" s="57"/>
    <row r="562" ht="15.75" customHeight="1" s="57"/>
    <row r="563" ht="15.75" customHeight="1" s="57"/>
    <row r="564" ht="15.75" customHeight="1" s="57"/>
    <row r="565" ht="15.75" customHeight="1" s="57"/>
    <row r="566" ht="15.75" customHeight="1" s="57"/>
    <row r="567" ht="15.75" customHeight="1" s="57"/>
    <row r="568" ht="15.75" customHeight="1" s="57"/>
    <row r="569" ht="15.75" customHeight="1" s="57"/>
    <row r="570" ht="15.75" customHeight="1" s="57"/>
    <row r="571" ht="15.75" customHeight="1" s="57"/>
    <row r="572" ht="15.75" customHeight="1" s="57"/>
    <row r="573" ht="15.75" customHeight="1" s="57"/>
    <row r="574" ht="15.75" customHeight="1" s="57"/>
    <row r="575" ht="15.75" customHeight="1" s="57"/>
    <row r="576" ht="15.75" customHeight="1" s="57"/>
    <row r="577" ht="15.75" customHeight="1" s="57"/>
    <row r="578" ht="15.75" customHeight="1" s="57"/>
    <row r="579" ht="15.75" customHeight="1" s="57"/>
    <row r="580" ht="15.75" customHeight="1" s="57"/>
    <row r="581" ht="15.75" customHeight="1" s="57"/>
    <row r="582" ht="15.75" customHeight="1" s="57"/>
    <row r="583" ht="15.75" customHeight="1" s="57"/>
    <row r="584" ht="15.75" customHeight="1" s="57"/>
    <row r="585" ht="15.75" customHeight="1" s="57"/>
    <row r="586" ht="15.75" customHeight="1" s="57"/>
    <row r="587" ht="15.75" customHeight="1" s="57"/>
    <row r="588" ht="15.75" customHeight="1" s="57"/>
    <row r="589" ht="15.75" customHeight="1" s="57"/>
    <row r="590" ht="15.75" customHeight="1" s="57"/>
    <row r="591" ht="15.75" customHeight="1" s="57"/>
    <row r="592" ht="15.75" customHeight="1" s="57"/>
    <row r="593" ht="15.75" customHeight="1" s="57"/>
    <row r="594" ht="15.75" customHeight="1" s="57"/>
    <row r="595" ht="15.75" customHeight="1" s="57"/>
    <row r="596" ht="15.75" customHeight="1" s="57"/>
    <row r="597" ht="15.75" customHeight="1" s="57"/>
    <row r="598" ht="15.75" customHeight="1" s="57"/>
    <row r="599" ht="15.75" customHeight="1" s="57"/>
    <row r="600" ht="15.75" customHeight="1" s="57"/>
    <row r="601" ht="15.75" customHeight="1" s="57"/>
    <row r="602" ht="15.75" customHeight="1" s="57"/>
    <row r="603" ht="15.75" customHeight="1" s="57"/>
    <row r="604" ht="15.75" customHeight="1" s="57"/>
    <row r="605" ht="15.75" customHeight="1" s="57"/>
    <row r="606" ht="15.75" customHeight="1" s="57"/>
    <row r="607" ht="15.75" customHeight="1" s="57"/>
    <row r="608" ht="15.75" customHeight="1" s="57"/>
    <row r="609" ht="15.75" customHeight="1" s="57"/>
    <row r="610" ht="15.75" customHeight="1" s="57"/>
    <row r="611" ht="15.75" customHeight="1" s="57"/>
    <row r="612" ht="15.75" customHeight="1" s="57"/>
    <row r="613" ht="15.75" customHeight="1" s="57"/>
    <row r="614" ht="15.75" customHeight="1" s="57"/>
    <row r="615" ht="15.75" customHeight="1" s="57"/>
    <row r="616" ht="15.75" customHeight="1" s="57"/>
    <row r="617" ht="15.75" customHeight="1" s="57"/>
    <row r="618" ht="15.75" customHeight="1" s="57"/>
    <row r="619" ht="15.75" customHeight="1" s="57"/>
    <row r="620" ht="15.75" customHeight="1" s="57"/>
    <row r="621" ht="15.75" customHeight="1" s="57"/>
    <row r="622" ht="15.75" customHeight="1" s="57"/>
    <row r="623" ht="15.75" customHeight="1" s="57"/>
    <row r="624" ht="15.75" customHeight="1" s="57"/>
    <row r="625" ht="15.75" customHeight="1" s="57"/>
    <row r="626" ht="15.75" customHeight="1" s="57"/>
    <row r="627" ht="15.75" customHeight="1" s="57"/>
    <row r="628" ht="15.75" customHeight="1" s="57"/>
    <row r="629" ht="15.75" customHeight="1" s="57"/>
    <row r="630" ht="15.75" customHeight="1" s="57"/>
    <row r="631" ht="15.75" customHeight="1" s="57"/>
    <row r="632" ht="15.75" customHeight="1" s="57"/>
    <row r="633" ht="15.75" customHeight="1" s="57"/>
    <row r="634" ht="15.75" customHeight="1" s="57"/>
    <row r="635" ht="15.75" customHeight="1" s="57"/>
    <row r="636" ht="15.75" customHeight="1" s="57"/>
    <row r="637" ht="15.75" customHeight="1" s="57"/>
    <row r="638" ht="15.75" customHeight="1" s="57"/>
    <row r="639" ht="15.75" customHeight="1" s="57"/>
    <row r="640" ht="15.75" customHeight="1" s="57"/>
    <row r="641" ht="15.75" customHeight="1" s="57"/>
    <row r="642" ht="15.75" customHeight="1" s="57"/>
    <row r="643" ht="15.75" customHeight="1" s="57"/>
    <row r="644" ht="15.75" customHeight="1" s="57"/>
    <row r="645" ht="15.75" customHeight="1" s="57"/>
    <row r="646" ht="15.75" customHeight="1" s="57"/>
    <row r="647" ht="15.75" customHeight="1" s="57"/>
    <row r="648" ht="15.75" customHeight="1" s="57"/>
    <row r="649" ht="15.75" customHeight="1" s="57"/>
    <row r="650" ht="15.75" customHeight="1" s="57"/>
    <row r="651" ht="15.75" customHeight="1" s="57"/>
    <row r="652" ht="15.75" customHeight="1" s="57"/>
    <row r="653" ht="15.75" customHeight="1" s="57"/>
    <row r="654" ht="15.75" customHeight="1" s="57"/>
    <row r="655" ht="15.75" customHeight="1" s="57"/>
    <row r="656" ht="15.75" customHeight="1" s="57"/>
    <row r="657" ht="15.75" customHeight="1" s="57"/>
    <row r="658" ht="15.75" customHeight="1" s="57"/>
    <row r="659" ht="15.75" customHeight="1" s="57"/>
    <row r="660" ht="15.75" customHeight="1" s="57"/>
    <row r="661" ht="15.75" customHeight="1" s="57"/>
    <row r="662" ht="15.75" customHeight="1" s="57"/>
    <row r="663" ht="15.75" customHeight="1" s="57"/>
    <row r="664" ht="15.75" customHeight="1" s="57"/>
    <row r="665" ht="15.75" customHeight="1" s="57"/>
    <row r="666" ht="15.75" customHeight="1" s="57"/>
    <row r="667" ht="15.75" customHeight="1" s="57"/>
    <row r="668" ht="15.75" customHeight="1" s="57"/>
    <row r="669" ht="15.75" customHeight="1" s="57"/>
    <row r="670" ht="15.75" customHeight="1" s="57"/>
    <row r="671" ht="15.75" customHeight="1" s="57"/>
    <row r="672" ht="15.75" customHeight="1" s="57"/>
    <row r="673" ht="15.75" customHeight="1" s="57"/>
    <row r="674" ht="15.75" customHeight="1" s="57"/>
    <row r="675" ht="15.75" customHeight="1" s="57"/>
    <row r="676" ht="15.75" customHeight="1" s="57"/>
    <row r="677" ht="15.75" customHeight="1" s="57"/>
    <row r="678" ht="15.75" customHeight="1" s="57"/>
    <row r="679" ht="15.75" customHeight="1" s="57"/>
    <row r="680" ht="15.75" customHeight="1" s="57"/>
    <row r="681" ht="15.75" customHeight="1" s="57"/>
    <row r="682" ht="15.75" customHeight="1" s="57"/>
    <row r="683" ht="15.75" customHeight="1" s="57"/>
    <row r="684" ht="15.75" customHeight="1" s="57"/>
    <row r="685" ht="15.75" customHeight="1" s="57"/>
    <row r="686" ht="15.75" customHeight="1" s="57"/>
    <row r="687" ht="15.75" customHeight="1" s="57"/>
    <row r="688" ht="15.75" customHeight="1" s="57"/>
    <row r="689" ht="15.75" customHeight="1" s="57"/>
    <row r="690" ht="15.75" customHeight="1" s="57"/>
    <row r="691" ht="15.75" customHeight="1" s="57"/>
    <row r="692" ht="15.75" customHeight="1" s="57"/>
    <row r="693" ht="15.75" customHeight="1" s="57"/>
    <row r="694" ht="15.75" customHeight="1" s="57"/>
    <row r="695" ht="15.75" customHeight="1" s="57"/>
    <row r="696" ht="15.75" customHeight="1" s="57"/>
    <row r="697" ht="15.75" customHeight="1" s="57"/>
    <row r="698" ht="15.75" customHeight="1" s="57"/>
    <row r="699" ht="15.75" customHeight="1" s="57"/>
    <row r="700" ht="15.75" customHeight="1" s="57"/>
    <row r="701" ht="15.75" customHeight="1" s="57"/>
    <row r="702" ht="15.75" customHeight="1" s="57"/>
    <row r="703" ht="15.75" customHeight="1" s="57"/>
    <row r="704" ht="15.75" customHeight="1" s="57"/>
    <row r="705" ht="15.75" customHeight="1" s="57"/>
    <row r="706" ht="15.75" customHeight="1" s="57"/>
    <row r="707" ht="15.75" customHeight="1" s="57"/>
    <row r="708" ht="15.75" customHeight="1" s="57"/>
    <row r="709" ht="15.75" customHeight="1" s="57"/>
    <row r="710" ht="15.75" customHeight="1" s="57"/>
    <row r="711" ht="15.75" customHeight="1" s="57"/>
    <row r="712" ht="15.75" customHeight="1" s="57"/>
    <row r="713" ht="15.75" customHeight="1" s="57"/>
    <row r="714" ht="15.75" customHeight="1" s="57"/>
    <row r="715" ht="15.75" customHeight="1" s="57"/>
    <row r="716" ht="15.75" customHeight="1" s="57"/>
    <row r="717" ht="15.75" customHeight="1" s="57"/>
    <row r="718" ht="15.75" customHeight="1" s="57"/>
    <row r="719" ht="15.75" customHeight="1" s="57"/>
    <row r="720" ht="15.75" customHeight="1" s="57"/>
    <row r="721" ht="15.75" customHeight="1" s="57"/>
    <row r="722" ht="15.75" customHeight="1" s="57"/>
    <row r="723" ht="15.75" customHeight="1" s="57"/>
    <row r="724" ht="15.75" customHeight="1" s="57"/>
    <row r="725" ht="15.75" customHeight="1" s="57"/>
    <row r="726" ht="15.75" customHeight="1" s="57"/>
    <row r="727" ht="15.75" customHeight="1" s="57"/>
    <row r="728" ht="15.75" customHeight="1" s="57"/>
    <row r="729" ht="15.75" customHeight="1" s="57"/>
    <row r="730" ht="15.75" customHeight="1" s="57"/>
    <row r="731" ht="15.75" customHeight="1" s="57"/>
    <row r="732" ht="15.75" customHeight="1" s="57"/>
    <row r="733" ht="15.75" customHeight="1" s="57"/>
    <row r="734" ht="15.75" customHeight="1" s="57"/>
    <row r="735" ht="15.75" customHeight="1" s="57"/>
    <row r="736" ht="15.75" customHeight="1" s="57"/>
    <row r="737" ht="15.75" customHeight="1" s="57"/>
    <row r="738" ht="15.75" customHeight="1" s="57"/>
    <row r="739" ht="15.75" customHeight="1" s="57"/>
    <row r="740" ht="15.75" customHeight="1" s="57"/>
    <row r="741" ht="15.75" customHeight="1" s="57"/>
    <row r="742" ht="15.75" customHeight="1" s="57"/>
    <row r="743" ht="15.75" customHeight="1" s="57"/>
    <row r="744" ht="15.75" customHeight="1" s="57"/>
    <row r="745" ht="15.75" customHeight="1" s="57"/>
    <row r="746" ht="15.75" customHeight="1" s="57"/>
    <row r="747" ht="15.75" customHeight="1" s="57"/>
    <row r="748" ht="15.75" customHeight="1" s="57"/>
    <row r="749" ht="15.75" customHeight="1" s="57"/>
    <row r="750" ht="15.75" customHeight="1" s="57"/>
    <row r="751" ht="15.75" customHeight="1" s="57"/>
    <row r="752" ht="15.75" customHeight="1" s="57"/>
    <row r="753" ht="15.75" customHeight="1" s="57"/>
    <row r="754" ht="15.75" customHeight="1" s="57"/>
    <row r="755" ht="15.75" customHeight="1" s="57"/>
    <row r="756" ht="15.75" customHeight="1" s="57"/>
    <row r="757" ht="15.75" customHeight="1" s="57"/>
    <row r="758" ht="15.75" customHeight="1" s="57"/>
    <row r="759" ht="15.75" customHeight="1" s="57"/>
    <row r="760" ht="15.75" customHeight="1" s="57"/>
    <row r="761" ht="15.75" customHeight="1" s="57"/>
    <row r="762" ht="15.75" customHeight="1" s="57"/>
    <row r="763" ht="15.75" customHeight="1" s="57"/>
    <row r="764" ht="15.75" customHeight="1" s="57"/>
    <row r="765" ht="15.75" customHeight="1" s="57"/>
    <row r="766" ht="15.75" customHeight="1" s="57"/>
    <row r="767" ht="15.75" customHeight="1" s="57"/>
    <row r="768" ht="15.75" customHeight="1" s="57"/>
    <row r="769" ht="15.75" customHeight="1" s="57"/>
    <row r="770" ht="15.75" customHeight="1" s="57"/>
    <row r="771" ht="15.75" customHeight="1" s="57"/>
    <row r="772" ht="15.75" customHeight="1" s="57"/>
    <row r="773" ht="15.75" customHeight="1" s="57"/>
    <row r="774" ht="15.75" customHeight="1" s="57"/>
    <row r="775" ht="15.75" customHeight="1" s="57"/>
    <row r="776" ht="15.75" customHeight="1" s="57"/>
    <row r="777" ht="15.75" customHeight="1" s="57"/>
    <row r="778" ht="15.75" customHeight="1" s="57"/>
    <row r="779" ht="15.75" customHeight="1" s="57"/>
    <row r="780" ht="15.75" customHeight="1" s="57"/>
    <row r="781" ht="15.75" customHeight="1" s="57"/>
    <row r="782" ht="15.75" customHeight="1" s="57"/>
    <row r="783" ht="15.75" customHeight="1" s="57"/>
    <row r="784" ht="15.75" customHeight="1" s="57"/>
    <row r="785" ht="15.75" customHeight="1" s="57"/>
    <row r="786" ht="15.75" customHeight="1" s="57"/>
    <row r="787" ht="15.75" customHeight="1" s="57"/>
    <row r="788" ht="15.75" customHeight="1" s="57"/>
    <row r="789" ht="15.75" customHeight="1" s="57"/>
    <row r="790" ht="15.75" customHeight="1" s="57"/>
    <row r="791" ht="15.75" customHeight="1" s="57"/>
    <row r="792" ht="15.75" customHeight="1" s="57"/>
    <row r="793" ht="15.75" customHeight="1" s="57"/>
    <row r="794" ht="15.75" customHeight="1" s="57"/>
    <row r="795" ht="15.75" customHeight="1" s="57"/>
    <row r="796" ht="15.75" customHeight="1" s="57"/>
    <row r="797" ht="15.75" customHeight="1" s="57"/>
    <row r="798" ht="15.75" customHeight="1" s="57"/>
    <row r="799" ht="15.75" customHeight="1" s="57"/>
    <row r="800" ht="15.75" customHeight="1" s="57"/>
    <row r="801" ht="15.75" customHeight="1" s="57"/>
    <row r="802" ht="15.75" customHeight="1" s="57"/>
    <row r="803" ht="15.75" customHeight="1" s="57"/>
    <row r="804" ht="15.75" customHeight="1" s="57"/>
    <row r="805" ht="15.75" customHeight="1" s="57"/>
    <row r="806" ht="15.75" customHeight="1" s="57"/>
    <row r="807" ht="15.75" customHeight="1" s="57"/>
    <row r="808" ht="15.75" customHeight="1" s="57"/>
    <row r="809" ht="15.75" customHeight="1" s="57"/>
    <row r="810" ht="15.75" customHeight="1" s="57"/>
    <row r="811" ht="15.75" customHeight="1" s="57"/>
    <row r="812" ht="15.75" customHeight="1" s="57"/>
    <row r="813" ht="15.75" customHeight="1" s="57"/>
    <row r="814" ht="15.75" customHeight="1" s="57"/>
    <row r="815" ht="15.75" customHeight="1" s="57"/>
    <row r="816" ht="15.75" customHeight="1" s="57"/>
    <row r="817" ht="15.75" customHeight="1" s="57"/>
    <row r="818" ht="15.75" customHeight="1" s="57"/>
    <row r="819" ht="15.75" customHeight="1" s="57"/>
    <row r="820" ht="15.75" customHeight="1" s="57"/>
    <row r="821" ht="15.75" customHeight="1" s="57"/>
    <row r="822" ht="15.75" customHeight="1" s="57"/>
    <row r="823" ht="15.75" customHeight="1" s="57"/>
    <row r="824" ht="15.75" customHeight="1" s="57"/>
    <row r="825" ht="15.75" customHeight="1" s="57"/>
    <row r="826" ht="15.75" customHeight="1" s="57"/>
    <row r="827" ht="15.75" customHeight="1" s="57"/>
    <row r="828" ht="15.75" customHeight="1" s="57"/>
    <row r="829" ht="15.75" customHeight="1" s="57"/>
    <row r="830" ht="15.75" customHeight="1" s="57"/>
    <row r="831" ht="15.75" customHeight="1" s="57"/>
    <row r="832" ht="15.75" customHeight="1" s="57"/>
    <row r="833" ht="15.75" customHeight="1" s="57"/>
    <row r="834" ht="15.75" customHeight="1" s="57"/>
    <row r="835" ht="15.75" customHeight="1" s="57"/>
    <row r="836" ht="15.75" customHeight="1" s="57"/>
    <row r="837" ht="15.75" customHeight="1" s="57"/>
    <row r="838" ht="15.75" customHeight="1" s="57"/>
    <row r="839" ht="15.75" customHeight="1" s="57"/>
    <row r="840" ht="15.75" customHeight="1" s="57"/>
    <row r="841" ht="15.75" customHeight="1" s="57"/>
    <row r="842" ht="15.75" customHeight="1" s="57"/>
    <row r="843" ht="15.75" customHeight="1" s="57"/>
    <row r="844" ht="15.75" customHeight="1" s="57"/>
    <row r="845" ht="15.75" customHeight="1" s="57"/>
    <row r="846" ht="15.75" customHeight="1" s="57"/>
    <row r="847" ht="15.75" customHeight="1" s="57"/>
    <row r="848" ht="15.75" customHeight="1" s="57"/>
    <row r="849" ht="15.75" customHeight="1" s="57"/>
    <row r="850" ht="15.75" customHeight="1" s="57"/>
    <row r="851" ht="15.75" customHeight="1" s="57"/>
    <row r="852" ht="15.75" customHeight="1" s="57"/>
    <row r="853" ht="15.75" customHeight="1" s="57"/>
    <row r="854" ht="15.75" customHeight="1" s="57"/>
    <row r="855" ht="15.75" customHeight="1" s="57"/>
    <row r="856" ht="15.75" customHeight="1" s="57"/>
    <row r="857" ht="15.75" customHeight="1" s="57"/>
    <row r="858" ht="15.75" customHeight="1" s="57"/>
    <row r="859" ht="15.75" customHeight="1" s="57"/>
    <row r="860" ht="15.75" customHeight="1" s="57"/>
    <row r="861" ht="15.75" customHeight="1" s="57"/>
    <row r="862" ht="15.75" customHeight="1" s="57"/>
    <row r="863" ht="15.75" customHeight="1" s="57"/>
    <row r="864" ht="15.75" customHeight="1" s="57"/>
    <row r="865" ht="15.75" customHeight="1" s="57"/>
    <row r="866" ht="15.75" customHeight="1" s="57"/>
    <row r="867" ht="15.75" customHeight="1" s="57"/>
    <row r="868" ht="15.75" customHeight="1" s="57"/>
    <row r="869" ht="15.75" customHeight="1" s="57"/>
    <row r="870" ht="15.75" customHeight="1" s="57"/>
    <row r="871" ht="15.75" customHeight="1" s="57"/>
    <row r="872" ht="15.75" customHeight="1" s="57"/>
    <row r="873" ht="15.75" customHeight="1" s="57"/>
    <row r="874" ht="15.75" customHeight="1" s="57"/>
    <row r="875" ht="15.75" customHeight="1" s="57"/>
    <row r="876" ht="15.75" customHeight="1" s="57"/>
    <row r="877" ht="15.75" customHeight="1" s="57"/>
    <row r="878" ht="15.75" customHeight="1" s="57"/>
    <row r="879" ht="15.75" customHeight="1" s="57"/>
    <row r="880" ht="15.75" customHeight="1" s="57"/>
    <row r="881" ht="15.75" customHeight="1" s="57"/>
    <row r="882" ht="15.75" customHeight="1" s="57"/>
    <row r="883" ht="15.75" customHeight="1" s="57"/>
    <row r="884" ht="15.75" customHeight="1" s="57"/>
    <row r="885" ht="15.75" customHeight="1" s="57"/>
    <row r="886" ht="15.75" customHeight="1" s="57"/>
    <row r="887" ht="15.75" customHeight="1" s="57"/>
    <row r="888" ht="15.75" customHeight="1" s="57"/>
    <row r="889" ht="15.75" customHeight="1" s="57"/>
    <row r="890" ht="15.75" customHeight="1" s="57"/>
    <row r="891" ht="15.75" customHeight="1" s="57"/>
    <row r="892" ht="15.75" customHeight="1" s="57"/>
    <row r="893" ht="15.75" customHeight="1" s="57"/>
    <row r="894" ht="15.75" customHeight="1" s="57"/>
    <row r="895" ht="15.75" customHeight="1" s="57"/>
    <row r="896" ht="15.75" customHeight="1" s="57"/>
    <row r="897" ht="15.75" customHeight="1" s="57"/>
    <row r="898" ht="15.75" customHeight="1" s="57"/>
    <row r="899" ht="15.75" customHeight="1" s="57"/>
    <row r="900" ht="15.75" customHeight="1" s="57"/>
    <row r="901" ht="15.75" customHeight="1" s="57"/>
    <row r="902" ht="15.75" customHeight="1" s="57"/>
    <row r="903" ht="15.75" customHeight="1" s="57"/>
    <row r="904" ht="15.75" customHeight="1" s="57"/>
    <row r="905" ht="15.75" customHeight="1" s="57"/>
    <row r="906" ht="15.75" customHeight="1" s="57"/>
    <row r="907" ht="15.75" customHeight="1" s="57"/>
    <row r="908" ht="15.75" customHeight="1" s="57"/>
    <row r="909" ht="15.75" customHeight="1" s="57"/>
    <row r="910" ht="15.75" customHeight="1" s="57"/>
    <row r="911" ht="15.75" customHeight="1" s="57"/>
    <row r="912" ht="15.75" customHeight="1" s="57"/>
    <row r="913" ht="15.75" customHeight="1" s="57"/>
    <row r="914" ht="15.75" customHeight="1" s="57"/>
    <row r="915" ht="15.75" customHeight="1" s="57"/>
    <row r="916" ht="15.75" customHeight="1" s="57"/>
    <row r="917" ht="15.75" customHeight="1" s="57"/>
    <row r="918" ht="15.75" customHeight="1" s="57"/>
    <row r="919" ht="15.75" customHeight="1" s="57"/>
    <row r="920" ht="15.75" customHeight="1" s="57"/>
    <row r="921" ht="15.75" customHeight="1" s="57"/>
    <row r="922" ht="15.75" customHeight="1" s="57"/>
    <row r="923" ht="15.75" customHeight="1" s="57"/>
    <row r="924" ht="15.75" customHeight="1" s="57"/>
    <row r="925" ht="15.75" customHeight="1" s="57"/>
    <row r="926" ht="15.75" customHeight="1" s="57"/>
    <row r="927" ht="15.75" customHeight="1" s="57"/>
    <row r="928" ht="15.75" customHeight="1" s="57"/>
    <row r="929" ht="15.75" customHeight="1" s="57"/>
    <row r="930" ht="15.75" customHeight="1" s="57"/>
    <row r="931" ht="15.75" customHeight="1" s="57"/>
    <row r="932" ht="15.75" customHeight="1" s="57"/>
    <row r="933" ht="15.75" customHeight="1" s="57"/>
    <row r="934" ht="15.75" customHeight="1" s="57"/>
    <row r="935" ht="15.75" customHeight="1" s="57"/>
    <row r="936" ht="15.75" customHeight="1" s="57"/>
    <row r="937" ht="15.75" customHeight="1" s="57"/>
    <row r="938" ht="15.75" customHeight="1" s="57"/>
    <row r="939" ht="15.75" customHeight="1" s="57"/>
    <row r="940" ht="15.75" customHeight="1" s="57"/>
    <row r="941" ht="15.75" customHeight="1" s="57"/>
    <row r="942" ht="15.75" customHeight="1" s="57"/>
    <row r="943" ht="15.75" customHeight="1" s="57"/>
    <row r="944" ht="15.75" customHeight="1" s="57"/>
    <row r="945" ht="15.75" customHeight="1" s="57"/>
    <row r="946" ht="15.75" customHeight="1" s="57"/>
    <row r="947" ht="15.75" customHeight="1" s="57"/>
    <row r="948" ht="15.75" customHeight="1" s="57"/>
    <row r="949" ht="15.75" customHeight="1" s="57"/>
    <row r="950" ht="15.75" customHeight="1" s="57"/>
    <row r="951" ht="15.75" customHeight="1" s="57"/>
    <row r="952" ht="15.75" customHeight="1" s="57"/>
    <row r="953" ht="15.75" customHeight="1" s="57"/>
    <row r="954" ht="15.75" customHeight="1" s="57"/>
    <row r="955" ht="15.75" customHeight="1" s="57"/>
    <row r="956" ht="15.75" customHeight="1" s="57"/>
    <row r="957" ht="15.75" customHeight="1" s="57"/>
    <row r="958" ht="15.75" customHeight="1" s="57"/>
    <row r="959" ht="15.75" customHeight="1" s="57"/>
    <row r="960" ht="15.75" customHeight="1" s="57"/>
    <row r="961" ht="15.75" customHeight="1" s="57"/>
    <row r="962" ht="15.75" customHeight="1" s="57"/>
    <row r="963" ht="15.75" customHeight="1" s="57"/>
    <row r="964" ht="15.75" customHeight="1" s="57"/>
    <row r="965" ht="15.75" customHeight="1" s="57"/>
    <row r="966" ht="15.75" customHeight="1" s="57"/>
    <row r="967" ht="15.75" customHeight="1" s="57"/>
    <row r="968" ht="15.75" customHeight="1" s="57"/>
    <row r="969" ht="15.75" customHeight="1" s="57"/>
    <row r="970" ht="15.75" customHeight="1" s="57"/>
    <row r="971" ht="15.75" customHeight="1" s="57"/>
    <row r="972" ht="15.75" customHeight="1" s="57"/>
    <row r="973" ht="15.75" customHeight="1" s="57"/>
    <row r="974" ht="15.75" customHeight="1" s="57"/>
    <row r="975" ht="15.75" customHeight="1" s="57"/>
    <row r="976" ht="15.75" customHeight="1" s="57"/>
    <row r="977" ht="15.75" customHeight="1" s="57"/>
    <row r="978" ht="15.75" customHeight="1" s="57"/>
    <row r="979" ht="15.75" customHeight="1" s="57"/>
    <row r="980" ht="15.75" customHeight="1" s="57"/>
    <row r="981" ht="15.75" customHeight="1" s="57"/>
    <row r="982" ht="15.75" customHeight="1" s="57"/>
    <row r="983" ht="15.75" customHeight="1" s="57"/>
    <row r="984" ht="15.75" customHeight="1" s="57"/>
    <row r="985" ht="15.75" customHeight="1" s="57"/>
    <row r="986" ht="15.75" customHeight="1" s="57"/>
    <row r="987" ht="15.75" customHeight="1" s="57"/>
    <row r="988" ht="15.75" customHeight="1" s="57"/>
    <row r="989" ht="15.75" customHeight="1" s="57"/>
    <row r="990" ht="15.75" customHeight="1" s="57"/>
    <row r="991" ht="15.75" customHeight="1" s="57"/>
    <row r="992" ht="15.75" customHeight="1" s="57"/>
    <row r="993" ht="15.75" customHeight="1" s="57"/>
    <row r="994" ht="15.75" customHeight="1" s="57"/>
    <row r="995" ht="15.75" customHeight="1" s="57"/>
    <row r="996" ht="15.75" customHeight="1" s="57"/>
    <row r="997" ht="15.75" customHeight="1" s="57"/>
    <row r="998" ht="15.75" customHeight="1" s="57"/>
    <row r="999" ht="15.75" customHeight="1" s="57"/>
    <row r="1000" ht="15.75" customHeight="1" s="57"/>
  </sheetData>
  <mergeCells count="2">
    <mergeCell ref="A2:E2"/>
    <mergeCell ref="A1:E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G32"/>
  <sheetViews>
    <sheetView showGridLines="0" workbookViewId="0">
      <pane ySplit="4" topLeftCell="A5" activePane="bottomLeft" state="frozen"/>
      <selection pane="bottomLeft" activeCell="B6" sqref="B6"/>
    </sheetView>
  </sheetViews>
  <sheetFormatPr baseColWidth="8" defaultColWidth="14.43" defaultRowHeight="15" customHeight="1"/>
  <cols>
    <col width="8" customWidth="1" style="57" min="1" max="1"/>
    <col width="34" customWidth="1" style="57" min="2" max="2"/>
    <col width="28" customWidth="1" style="57" min="3" max="3"/>
    <col width="26" customWidth="1" style="57" min="4" max="4"/>
    <col width="34" customWidth="1" style="57" min="5" max="5"/>
    <col width="18" customWidth="1" style="57" min="6" max="6"/>
    <col width="10" customWidth="1" style="57" min="7" max="7"/>
    <col width="8.710000000000001" customWidth="1" style="57" min="8" max="26"/>
  </cols>
  <sheetData>
    <row r="1" ht="30" customHeight="1" s="57">
      <c r="A1" s="58" t="inlineStr">
        <is>
          <t>📇 RESPONSABLES DE GESTIÓN</t>
        </is>
      </c>
    </row>
    <row r="2">
      <c r="A2" s="3" t="inlineStr">
        <is>
          <t>Se administra desde la plataforma (módulo Responsables). El correo es al que llega la notificación.</t>
        </is>
      </c>
    </row>
    <row r="3"/>
    <row r="4">
      <c r="A4" s="31" t="inlineStr">
        <is>
          <t>ID</t>
        </is>
      </c>
      <c r="B4" s="31" t="inlineStr">
        <is>
          <t>ÁREA / SERVICIO</t>
        </is>
      </c>
      <c r="C4" s="31" t="inlineStr">
        <is>
          <t>NOMBRE</t>
        </is>
      </c>
      <c r="D4" s="31" t="inlineStr">
        <is>
          <t>CARGO</t>
        </is>
      </c>
      <c r="E4" s="31" t="inlineStr">
        <is>
          <t>CORREO</t>
        </is>
      </c>
      <c r="F4" s="31" t="inlineStr">
        <is>
          <t>TELÉFONO</t>
        </is>
      </c>
      <c r="G4" s="31" t="inlineStr">
        <is>
          <t>ACTIVO</t>
        </is>
      </c>
    </row>
    <row r="5">
      <c r="A5" s="36" t="n">
        <v>1</v>
      </c>
      <c r="B5" s="36" t="inlineStr">
        <is>
          <t>SIAU – Oficina de Atención al Usuario</t>
        </is>
      </c>
      <c r="C5" s="36" t="n"/>
      <c r="D5" s="36" t="n"/>
      <c r="E5" s="36" t="n"/>
      <c r="F5" s="36" t="n"/>
      <c r="G5" s="36" t="inlineStr">
        <is>
          <t>SI</t>
        </is>
      </c>
    </row>
    <row r="6">
      <c r="A6" s="36" t="n">
        <v>2</v>
      </c>
      <c r="B6" s="36" t="inlineStr">
        <is>
          <t>CALIDAD – Subgerencia</t>
        </is>
      </c>
      <c r="C6" s="36" t="n"/>
      <c r="D6" s="36" t="n"/>
      <c r="E6" s="38" t="n"/>
      <c r="F6" s="36" t="n"/>
      <c r="G6" s="36" t="inlineStr">
        <is>
          <t>SI</t>
        </is>
      </c>
    </row>
    <row r="7">
      <c r="A7" s="36" t="n">
        <v>3</v>
      </c>
      <c r="B7" s="36" t="inlineStr">
        <is>
          <t>CALIDAD – Profesional</t>
        </is>
      </c>
      <c r="C7" s="36" t="n"/>
      <c r="D7" s="36" t="n"/>
      <c r="E7" s="38" t="n"/>
      <c r="F7" s="36" t="n"/>
      <c r="G7" s="36" t="inlineStr">
        <is>
          <t>SI</t>
        </is>
      </c>
    </row>
    <row r="8">
      <c r="A8" s="36" t="n">
        <v>4</v>
      </c>
      <c r="B8" s="36" t="inlineStr">
        <is>
          <t>CALIDAD – Profesional</t>
        </is>
      </c>
      <c r="C8" s="36" t="n"/>
      <c r="D8" s="36" t="n"/>
      <c r="E8" s="38" t="n"/>
      <c r="F8" s="36" t="n"/>
      <c r="G8" s="36" t="inlineStr">
        <is>
          <t>NO</t>
        </is>
      </c>
    </row>
    <row r="9">
      <c r="A9" s="36" t="n">
        <v>5</v>
      </c>
      <c r="B9" s="36" t="inlineStr">
        <is>
          <t>GERENCIA</t>
        </is>
      </c>
      <c r="C9" s="36" t="n"/>
      <c r="D9" s="36" t="n"/>
      <c r="E9" s="38" t="n"/>
      <c r="F9" s="36" t="n"/>
      <c r="G9" s="36" t="inlineStr">
        <is>
          <t>SI</t>
        </is>
      </c>
    </row>
    <row r="10">
      <c r="A10" s="36" t="n">
        <v>6</v>
      </c>
      <c r="B10" s="36" t="inlineStr">
        <is>
          <t>ALIMENTACIÓN</t>
        </is>
      </c>
      <c r="C10" s="38" t="n"/>
      <c r="D10" s="36" t="n"/>
      <c r="E10" s="38" t="n"/>
      <c r="F10" s="36" t="n"/>
      <c r="G10" s="36" t="inlineStr">
        <is>
          <t>SI</t>
        </is>
      </c>
    </row>
    <row r="11">
      <c r="A11" s="36" t="n">
        <v>7</v>
      </c>
      <c r="B11" s="36" t="inlineStr">
        <is>
          <t>CIRUGÍA</t>
        </is>
      </c>
      <c r="C11" s="38" t="n"/>
      <c r="D11" s="36" t="n"/>
      <c r="E11" s="38" t="n"/>
      <c r="F11" s="36" t="n"/>
      <c r="G11" s="36" t="inlineStr">
        <is>
          <t>SI</t>
        </is>
      </c>
    </row>
    <row r="12">
      <c r="A12" s="36" t="n">
        <v>8</v>
      </c>
      <c r="B12" s="36" t="inlineStr">
        <is>
          <t>CONSULTA EXTERNA</t>
        </is>
      </c>
      <c r="C12" s="38" t="n"/>
      <c r="D12" s="36" t="n"/>
      <c r="E12" s="38" t="n"/>
      <c r="F12" s="36" t="n"/>
      <c r="G12" s="36" t="inlineStr">
        <is>
          <t>SI</t>
        </is>
      </c>
    </row>
    <row r="13">
      <c r="A13" s="36" t="n">
        <v>9</v>
      </c>
      <c r="B13" s="36" t="inlineStr">
        <is>
          <t>CUIDADO INTENSIVO ADULTOS</t>
        </is>
      </c>
      <c r="C13" s="38" t="n"/>
      <c r="D13" s="36" t="n"/>
      <c r="E13" s="38" t="n"/>
      <c r="F13" s="36" t="n"/>
      <c r="G13" s="36" t="inlineStr">
        <is>
          <t>SI</t>
        </is>
      </c>
    </row>
    <row r="14">
      <c r="A14" s="36" t="n">
        <v>10</v>
      </c>
      <c r="B14" s="36" t="inlineStr">
        <is>
          <t>CUIDADO INTENSIVO NEONATAL</t>
        </is>
      </c>
      <c r="C14" s="38" t="n"/>
      <c r="D14" s="36" t="n"/>
      <c r="E14" s="38" t="n"/>
      <c r="F14" s="36" t="n"/>
      <c r="G14" s="36" t="inlineStr">
        <is>
          <t>SI</t>
        </is>
      </c>
    </row>
    <row r="15">
      <c r="A15" s="36" t="n">
        <v>11</v>
      </c>
      <c r="B15" s="36" t="inlineStr">
        <is>
          <t>CUIDADO INTENSIVO PEDIÁTRICO</t>
        </is>
      </c>
      <c r="C15" s="38" t="n"/>
      <c r="D15" s="36" t="n"/>
      <c r="E15" s="38" t="n"/>
      <c r="F15" s="36" t="n"/>
      <c r="G15" s="36" t="inlineStr">
        <is>
          <t>SI</t>
        </is>
      </c>
    </row>
    <row r="16">
      <c r="A16" s="36" t="n">
        <v>12</v>
      </c>
      <c r="B16" s="36" t="inlineStr">
        <is>
          <t>CUIDADO INTERMEDIO ADULTOS</t>
        </is>
      </c>
      <c r="C16" s="38" t="n"/>
      <c r="D16" s="36" t="n"/>
      <c r="E16" s="38" t="n"/>
      <c r="F16" s="36" t="n"/>
      <c r="G16" s="36" t="inlineStr">
        <is>
          <t>SI</t>
        </is>
      </c>
    </row>
    <row r="17">
      <c r="A17" s="36" t="n">
        <v>13</v>
      </c>
      <c r="B17" s="36" t="inlineStr">
        <is>
          <t>CUIDADO INTERMEDIO NEONATAL</t>
        </is>
      </c>
      <c r="C17" s="38" t="n"/>
      <c r="D17" s="36" t="n"/>
      <c r="E17" s="38" t="n"/>
      <c r="F17" s="36" t="n"/>
      <c r="G17" s="36" t="inlineStr">
        <is>
          <t>SI</t>
        </is>
      </c>
    </row>
    <row r="18">
      <c r="A18" s="36" t="n">
        <v>14</v>
      </c>
      <c r="B18" s="36" t="inlineStr">
        <is>
          <t>CUIDADO INTERMEDIO PEDIÁTRICO</t>
        </is>
      </c>
      <c r="C18" s="38" t="n"/>
      <c r="D18" s="36" t="n"/>
      <c r="E18" s="38" t="n"/>
      <c r="F18" s="36" t="n"/>
      <c r="G18" s="36" t="inlineStr">
        <is>
          <t>SI</t>
        </is>
      </c>
    </row>
    <row r="19">
      <c r="A19" s="36" t="n">
        <v>15</v>
      </c>
      <c r="B19" s="36" t="inlineStr">
        <is>
          <t>DOCENCIA</t>
        </is>
      </c>
      <c r="C19" s="38" t="n"/>
      <c r="D19" s="36" t="n"/>
      <c r="E19" s="38" t="n"/>
      <c r="F19" s="36" t="n"/>
      <c r="G19" s="36" t="inlineStr">
        <is>
          <t>SI</t>
        </is>
      </c>
    </row>
    <row r="20">
      <c r="A20" s="36" t="n">
        <v>16</v>
      </c>
      <c r="B20" s="36" t="inlineStr">
        <is>
          <t>FARMACIA</t>
        </is>
      </c>
      <c r="C20" s="38" t="n"/>
      <c r="D20" s="36" t="n"/>
      <c r="E20" s="38" t="n"/>
      <c r="F20" s="36" t="n"/>
      <c r="G20" s="36" t="inlineStr">
        <is>
          <t>SI</t>
        </is>
      </c>
    </row>
    <row r="21" ht="15.75" customHeight="1" s="57">
      <c r="A21" s="36" t="n">
        <v>17</v>
      </c>
      <c r="B21" s="36" t="inlineStr">
        <is>
          <t>HOSPITALIZACIÓN ADULTOS</t>
        </is>
      </c>
      <c r="C21" s="38" t="n"/>
      <c r="D21" s="36" t="n"/>
      <c r="E21" s="38" t="n"/>
      <c r="F21" s="36" t="n"/>
      <c r="G21" s="36" t="inlineStr">
        <is>
          <t>SI</t>
        </is>
      </c>
    </row>
    <row r="22" ht="15.75" customHeight="1" s="57">
      <c r="A22" s="36" t="n">
        <v>18</v>
      </c>
      <c r="B22" s="36" t="inlineStr">
        <is>
          <t>HOSPITALIZACIÓN GINECOLÓGICA</t>
        </is>
      </c>
      <c r="C22" s="38" t="n"/>
      <c r="D22" s="36" t="n"/>
      <c r="E22" s="38" t="n"/>
      <c r="F22" s="36" t="n"/>
      <c r="G22" s="36" t="inlineStr">
        <is>
          <t>SI</t>
        </is>
      </c>
    </row>
    <row r="23" ht="15.75" customHeight="1" s="57">
      <c r="A23" s="36" t="n">
        <v>19</v>
      </c>
      <c r="B23" s="36" t="inlineStr">
        <is>
          <t>HOSPITALIZACIÓN PEDIATRÍA</t>
        </is>
      </c>
      <c r="C23" s="38" t="n"/>
      <c r="D23" s="36" t="n"/>
      <c r="E23" s="38" t="n"/>
      <c r="F23" s="36" t="n"/>
      <c r="G23" s="36" t="inlineStr">
        <is>
          <t>SI</t>
        </is>
      </c>
    </row>
    <row r="24" ht="15.75" customHeight="1" s="57">
      <c r="A24" s="36" t="n">
        <v>20</v>
      </c>
      <c r="B24" s="36" t="inlineStr">
        <is>
          <t>LABORATORIO</t>
        </is>
      </c>
      <c r="C24" s="38" t="n"/>
      <c r="D24" s="36" t="n"/>
      <c r="E24" s="38" t="n"/>
      <c r="F24" s="36" t="n"/>
      <c r="G24" s="36" t="inlineStr">
        <is>
          <t>SI</t>
        </is>
      </c>
    </row>
    <row r="25" ht="15.75" customHeight="1" s="57">
      <c r="A25" s="36" t="n">
        <v>21</v>
      </c>
      <c r="B25" s="36" t="inlineStr">
        <is>
          <t>ODONTOLOGÍA</t>
        </is>
      </c>
      <c r="C25" s="38" t="n"/>
      <c r="D25" s="36" t="n"/>
      <c r="E25" s="38" t="n"/>
      <c r="F25" s="36" t="n"/>
      <c r="G25" s="36" t="inlineStr">
        <is>
          <t>SI</t>
        </is>
      </c>
    </row>
    <row r="26" ht="15.75" customHeight="1" s="57">
      <c r="A26" s="36" t="n">
        <v>22</v>
      </c>
      <c r="B26" s="36" t="inlineStr">
        <is>
          <t>RADIOLOGÍA E IMÁGENES DIAGNÓSTICAS</t>
        </is>
      </c>
      <c r="C26" s="38" t="n"/>
      <c r="D26" s="36" t="n"/>
      <c r="E26" s="38" t="n"/>
      <c r="F26" s="36" t="n"/>
      <c r="G26" s="36" t="inlineStr">
        <is>
          <t>SI</t>
        </is>
      </c>
    </row>
    <row r="27" ht="15.75" customHeight="1" s="57">
      <c r="A27" s="36" t="n">
        <v>23</v>
      </c>
      <c r="B27" s="36" t="inlineStr">
        <is>
          <t>TELEMEDICINA</t>
        </is>
      </c>
      <c r="C27" s="38" t="n"/>
      <c r="D27" s="36" t="n"/>
      <c r="E27" s="38" t="n"/>
      <c r="F27" s="36" t="n"/>
      <c r="G27" s="36" t="inlineStr">
        <is>
          <t>SI</t>
        </is>
      </c>
    </row>
    <row r="28" ht="15.75" customHeight="1" s="57">
      <c r="A28" s="36" t="n">
        <v>24</v>
      </c>
      <c r="B28" s="36" t="inlineStr">
        <is>
          <t>UNIDAD TRANSFUSIONAL</t>
        </is>
      </c>
      <c r="C28" s="38" t="n"/>
      <c r="D28" s="36" t="n"/>
      <c r="E28" s="38" t="n"/>
      <c r="F28" s="36" t="n"/>
      <c r="G28" s="36" t="inlineStr">
        <is>
          <t>SI</t>
        </is>
      </c>
    </row>
    <row r="29" ht="15.75" customHeight="1" s="57">
      <c r="A29" s="36" t="n">
        <v>25</v>
      </c>
      <c r="B29" s="36" t="inlineStr">
        <is>
          <t>URGENCIAS</t>
        </is>
      </c>
      <c r="C29" s="38" t="n"/>
      <c r="D29" s="36" t="n"/>
      <c r="E29" s="38" t="n"/>
      <c r="F29" s="36" t="n"/>
      <c r="G29" s="36" t="inlineStr">
        <is>
          <t>SI</t>
        </is>
      </c>
    </row>
    <row r="30" ht="15.75" customHeight="1" s="57">
      <c r="A30" s="36" t="n">
        <v>26</v>
      </c>
      <c r="B30" s="36" t="inlineStr">
        <is>
          <t>VACUNACIÓN</t>
        </is>
      </c>
      <c r="C30" s="38" t="n"/>
      <c r="D30" s="36" t="n"/>
      <c r="E30" s="38" t="n"/>
      <c r="F30" s="36" t="n"/>
      <c r="G30" s="36" t="inlineStr">
        <is>
          <t>SI</t>
        </is>
      </c>
    </row>
    <row r="31" ht="15.75" customHeight="1" s="57">
      <c r="A31" s="36" t="n">
        <v>27</v>
      </c>
      <c r="B31" s="36" t="inlineStr">
        <is>
          <t>FACTURACIÓN Y ADMISIONES</t>
        </is>
      </c>
      <c r="C31" s="38" t="n"/>
      <c r="D31" s="36" t="n"/>
      <c r="E31" s="38" t="n"/>
      <c r="F31" s="36" t="n"/>
      <c r="G31" s="36" t="inlineStr">
        <is>
          <t>SI</t>
        </is>
      </c>
    </row>
    <row r="32" ht="15.75" customHeight="1" s="57">
      <c r="A32" s="36" t="n">
        <v>28</v>
      </c>
      <c r="B32" s="36" t="inlineStr">
        <is>
          <t>AUTORIZACIONES</t>
        </is>
      </c>
      <c r="C32" s="38" t="n"/>
      <c r="D32" s="36" t="n"/>
      <c r="E32" s="38" t="n"/>
      <c r="F32" s="36" t="n"/>
      <c r="G32" s="36" t="inlineStr">
        <is>
          <t>SI</t>
        </is>
      </c>
    </row>
    <row r="33" ht="15.75" customHeight="1" s="57"/>
    <row r="34" ht="15.75" customHeight="1" s="57"/>
    <row r="35" ht="15.75" customHeight="1" s="57"/>
    <row r="36" ht="15.75" customHeight="1" s="57"/>
    <row r="37" ht="15.75" customHeight="1" s="57"/>
    <row r="38" ht="15.75" customHeight="1" s="57"/>
    <row r="39" ht="15.75" customHeight="1" s="57"/>
    <row r="40" ht="15.75" customHeight="1" s="57"/>
    <row r="41" ht="15.75" customHeight="1" s="57"/>
    <row r="42" ht="15.75" customHeight="1" s="57"/>
    <row r="43" ht="15.75" customHeight="1" s="57"/>
    <row r="44" ht="15.75" customHeight="1" s="57"/>
    <row r="45" ht="15.75" customHeight="1" s="57"/>
    <row r="46" ht="15.75" customHeight="1" s="57"/>
    <row r="47" ht="15.75" customHeight="1" s="57"/>
    <row r="48" ht="15.75" customHeight="1" s="57"/>
    <row r="49" ht="15.75" customHeight="1" s="57"/>
    <row r="50" ht="15.75" customHeight="1" s="57"/>
    <row r="51" ht="15.75" customHeight="1" s="57"/>
    <row r="52" ht="15.75" customHeight="1" s="57"/>
    <row r="53" ht="15.75" customHeight="1" s="57"/>
    <row r="54" ht="15.75" customHeight="1" s="57"/>
    <row r="55" ht="15.75" customHeight="1" s="57"/>
    <row r="56" ht="15.75" customHeight="1" s="57"/>
    <row r="57" ht="15.75" customHeight="1" s="57"/>
    <row r="58" ht="15.75" customHeight="1" s="57"/>
    <row r="59" ht="15.75" customHeight="1" s="57"/>
    <row r="60" ht="15.75" customHeight="1" s="57"/>
    <row r="61" ht="15.75" customHeight="1" s="57"/>
    <row r="62" ht="15.75" customHeight="1" s="57"/>
    <row r="63" ht="15.75" customHeight="1" s="57"/>
    <row r="64" ht="15.75" customHeight="1" s="57"/>
    <row r="65" ht="15.75" customHeight="1" s="57"/>
    <row r="66" ht="15.75" customHeight="1" s="57"/>
    <row r="67" ht="15.75" customHeight="1" s="57"/>
    <row r="68" ht="15.75" customHeight="1" s="57"/>
    <row r="69" ht="15.75" customHeight="1" s="57"/>
    <row r="70" ht="15.75" customHeight="1" s="57"/>
    <row r="71" ht="15.75" customHeight="1" s="57"/>
    <row r="72" ht="15.75" customHeight="1" s="57"/>
    <row r="73" ht="15.75" customHeight="1" s="57"/>
    <row r="74" ht="15.75" customHeight="1" s="57"/>
    <row r="75" ht="15.75" customHeight="1" s="57"/>
    <row r="76" ht="15.75" customHeight="1" s="57"/>
    <row r="77" ht="15.75" customHeight="1" s="57"/>
    <row r="78" ht="15.75" customHeight="1" s="57"/>
    <row r="79" ht="15.75" customHeight="1" s="57"/>
    <row r="80" ht="15.75" customHeight="1" s="57"/>
    <row r="81" ht="15.75" customHeight="1" s="57"/>
    <row r="82" ht="15.75" customHeight="1" s="57"/>
    <row r="83" ht="15.75" customHeight="1" s="57"/>
    <row r="84" ht="15.75" customHeight="1" s="57"/>
    <row r="85" ht="15.75" customHeight="1" s="57"/>
    <row r="86" ht="15.75" customHeight="1" s="57"/>
    <row r="87" ht="15.75" customHeight="1" s="57"/>
    <row r="88" ht="15.75" customHeight="1" s="57"/>
    <row r="89" ht="15.75" customHeight="1" s="57"/>
    <row r="90" ht="15.75" customHeight="1" s="57"/>
    <row r="91" ht="15.75" customHeight="1" s="57"/>
    <row r="92" ht="15.75" customHeight="1" s="57"/>
    <row r="93" ht="15.75" customHeight="1" s="57"/>
    <row r="94" ht="15.75" customHeight="1" s="57"/>
    <row r="95" ht="15.75" customHeight="1" s="57"/>
    <row r="96" ht="15.75" customHeight="1" s="57"/>
    <row r="97" ht="15.75" customHeight="1" s="57"/>
    <row r="98" ht="15.75" customHeight="1" s="57"/>
    <row r="99" ht="15.75" customHeight="1" s="57"/>
    <row r="100" ht="15.75" customHeight="1" s="57"/>
    <row r="101" ht="15.75" customHeight="1" s="57"/>
    <row r="102" ht="15.75" customHeight="1" s="57"/>
    <row r="103" ht="15.75" customHeight="1" s="57"/>
    <row r="104" ht="15.75" customHeight="1" s="57"/>
    <row r="105" ht="15.75" customHeight="1" s="57"/>
    <row r="106" ht="15.75" customHeight="1" s="57"/>
    <row r="107" ht="15.75" customHeight="1" s="57"/>
    <row r="108" ht="15.75" customHeight="1" s="57"/>
    <row r="109" ht="15.75" customHeight="1" s="57"/>
    <row r="110" ht="15.75" customHeight="1" s="57"/>
    <row r="111" ht="15.75" customHeight="1" s="57"/>
    <row r="112" ht="15.75" customHeight="1" s="57"/>
    <row r="113" ht="15.75" customHeight="1" s="57"/>
    <row r="114" ht="15.75" customHeight="1" s="57"/>
    <row r="115" ht="15.75" customHeight="1" s="57"/>
    <row r="116" ht="15.75" customHeight="1" s="57"/>
    <row r="117" ht="15.75" customHeight="1" s="57"/>
    <row r="118" ht="15.75" customHeight="1" s="57"/>
    <row r="119" ht="15.75" customHeight="1" s="57"/>
    <row r="120" ht="15.75" customHeight="1" s="57"/>
    <row r="121" ht="15.75" customHeight="1" s="57"/>
    <row r="122" ht="15.75" customHeight="1" s="57"/>
    <row r="123" ht="15.75" customHeight="1" s="57"/>
    <row r="124" ht="15.75" customHeight="1" s="57"/>
    <row r="125" ht="15.75" customHeight="1" s="57"/>
    <row r="126" ht="15.75" customHeight="1" s="57"/>
    <row r="127" ht="15.75" customHeight="1" s="57"/>
    <row r="128" ht="15.75" customHeight="1" s="57"/>
    <row r="129" ht="15.75" customHeight="1" s="57"/>
    <row r="130" ht="15.75" customHeight="1" s="57"/>
    <row r="131" ht="15.75" customHeight="1" s="57"/>
    <row r="132" ht="15.75" customHeight="1" s="57"/>
    <row r="133" ht="15.75" customHeight="1" s="57"/>
    <row r="134" ht="15.75" customHeight="1" s="57"/>
    <row r="135" ht="15.75" customHeight="1" s="57"/>
    <row r="136" ht="15.75" customHeight="1" s="57"/>
    <row r="137" ht="15.75" customHeight="1" s="57"/>
    <row r="138" ht="15.75" customHeight="1" s="57"/>
    <row r="139" ht="15.75" customHeight="1" s="57"/>
    <row r="140" ht="15.75" customHeight="1" s="57"/>
    <row r="141" ht="15.75" customHeight="1" s="57"/>
    <row r="142" ht="15.75" customHeight="1" s="57"/>
    <row r="143" ht="15.75" customHeight="1" s="57"/>
    <row r="144" ht="15.75" customHeight="1" s="57"/>
    <row r="145" ht="15.75" customHeight="1" s="57"/>
    <row r="146" ht="15.75" customHeight="1" s="57"/>
    <row r="147" ht="15.75" customHeight="1" s="57"/>
    <row r="148" ht="15.75" customHeight="1" s="57"/>
    <row r="149" ht="15.75" customHeight="1" s="57"/>
    <row r="150" ht="15.75" customHeight="1" s="57"/>
    <row r="151" ht="15.75" customHeight="1" s="57"/>
    <row r="152" ht="15.75" customHeight="1" s="57"/>
    <row r="153" ht="15.75" customHeight="1" s="57"/>
    <row r="154" ht="15.75" customHeight="1" s="57"/>
    <row r="155" ht="15.75" customHeight="1" s="57"/>
    <row r="156" ht="15.75" customHeight="1" s="57"/>
    <row r="157" ht="15.75" customHeight="1" s="57"/>
    <row r="158" ht="15.75" customHeight="1" s="57"/>
    <row r="159" ht="15.75" customHeight="1" s="57"/>
    <row r="160" ht="15.75" customHeight="1" s="57"/>
    <row r="161" ht="15.75" customHeight="1" s="57"/>
    <row r="162" ht="15.75" customHeight="1" s="57"/>
    <row r="163" ht="15.75" customHeight="1" s="57"/>
    <row r="164" ht="15.75" customHeight="1" s="57"/>
    <row r="165" ht="15.75" customHeight="1" s="57"/>
    <row r="166" ht="15.75" customHeight="1" s="57"/>
    <row r="167" ht="15.75" customHeight="1" s="57"/>
    <row r="168" ht="15.75" customHeight="1" s="57"/>
    <row r="169" ht="15.75" customHeight="1" s="57"/>
    <row r="170" ht="15.75" customHeight="1" s="57"/>
    <row r="171" ht="15.75" customHeight="1" s="57"/>
    <row r="172" ht="15.75" customHeight="1" s="57"/>
    <row r="173" ht="15.75" customHeight="1" s="57"/>
    <row r="174" ht="15.75" customHeight="1" s="57"/>
    <row r="175" ht="15.75" customHeight="1" s="57"/>
    <row r="176" ht="15.75" customHeight="1" s="57"/>
    <row r="177" ht="15.75" customHeight="1" s="57"/>
    <row r="178" ht="15.75" customHeight="1" s="57"/>
    <row r="179" ht="15.75" customHeight="1" s="57"/>
    <row r="180" ht="15.75" customHeight="1" s="57"/>
    <row r="181" ht="15.75" customHeight="1" s="57"/>
    <row r="182" ht="15.75" customHeight="1" s="57"/>
    <row r="183" ht="15.75" customHeight="1" s="57"/>
    <row r="184" ht="15.75" customHeight="1" s="57"/>
    <row r="185" ht="15.75" customHeight="1" s="57"/>
    <row r="186" ht="15.75" customHeight="1" s="57"/>
    <row r="187" ht="15.75" customHeight="1" s="57"/>
    <row r="188" ht="15.75" customHeight="1" s="57"/>
    <row r="189" ht="15.75" customHeight="1" s="57"/>
    <row r="190" ht="15.75" customHeight="1" s="57"/>
    <row r="191" ht="15.75" customHeight="1" s="57"/>
    <row r="192" ht="15.75" customHeight="1" s="57"/>
    <row r="193" ht="15.75" customHeight="1" s="57"/>
    <row r="194" ht="15.75" customHeight="1" s="57"/>
    <row r="195" ht="15.75" customHeight="1" s="57"/>
    <row r="196" ht="15.75" customHeight="1" s="57"/>
    <row r="197" ht="15.75" customHeight="1" s="57"/>
    <row r="198" ht="15.75" customHeight="1" s="57"/>
    <row r="199" ht="15.75" customHeight="1" s="57"/>
    <row r="200" ht="15.75" customHeight="1" s="57"/>
    <row r="201" ht="15.75" customHeight="1" s="57"/>
    <row r="202" ht="15.75" customHeight="1" s="57"/>
    <row r="203" ht="15.75" customHeight="1" s="57"/>
    <row r="204" ht="15.75" customHeight="1" s="57"/>
    <row r="205" ht="15.75" customHeight="1" s="57"/>
    <row r="206" ht="15.75" customHeight="1" s="57"/>
    <row r="207" ht="15.75" customHeight="1" s="57"/>
    <row r="208" ht="15.75" customHeight="1" s="57"/>
    <row r="209" ht="15.75" customHeight="1" s="57"/>
    <row r="210" ht="15.75" customHeight="1" s="57"/>
    <row r="211" ht="15.75" customHeight="1" s="57"/>
    <row r="212" ht="15.75" customHeight="1" s="57"/>
    <row r="213" ht="15.75" customHeight="1" s="57"/>
    <row r="214" ht="15.75" customHeight="1" s="57"/>
    <row r="215" ht="15.75" customHeight="1" s="57"/>
    <row r="216" ht="15.75" customHeight="1" s="57"/>
    <row r="217" ht="15.75" customHeight="1" s="57"/>
    <row r="218" ht="15.75" customHeight="1" s="57"/>
    <row r="219" ht="15.75" customHeight="1" s="57"/>
    <row r="220" ht="15.75" customHeight="1" s="57"/>
    <row r="221" ht="15.75" customHeight="1" s="57"/>
    <row r="222" ht="15.75" customHeight="1" s="57"/>
    <row r="223" ht="15.75" customHeight="1" s="57"/>
    <row r="224" ht="15.75" customHeight="1" s="57"/>
    <row r="225" ht="15.75" customHeight="1" s="57"/>
    <row r="226" ht="15.75" customHeight="1" s="57"/>
    <row r="227" ht="15.75" customHeight="1" s="57"/>
    <row r="228" ht="15.75" customHeight="1" s="57"/>
    <row r="229" ht="15.75" customHeight="1" s="57"/>
    <row r="230" ht="15.75" customHeight="1" s="57"/>
    <row r="231" ht="15.75" customHeight="1" s="57"/>
    <row r="232" ht="15.75" customHeight="1" s="57"/>
    <row r="233" ht="15.75" customHeight="1" s="57"/>
    <row r="234" ht="15.75" customHeight="1" s="57"/>
    <row r="235" ht="15.75" customHeight="1" s="57"/>
    <row r="236" ht="15.75" customHeight="1" s="57"/>
    <row r="237" ht="15.75" customHeight="1" s="57"/>
    <row r="238" ht="15.75" customHeight="1" s="57"/>
    <row r="239" ht="15.75" customHeight="1" s="57"/>
    <row r="240" ht="15.75" customHeight="1" s="57"/>
    <row r="241" ht="15.75" customHeight="1" s="57"/>
    <row r="242" ht="15.75" customHeight="1" s="57"/>
    <row r="243" ht="15.75" customHeight="1" s="57"/>
    <row r="244" ht="15.75" customHeight="1" s="57"/>
    <row r="245" ht="15.75" customHeight="1" s="57"/>
    <row r="246" ht="15.75" customHeight="1" s="57"/>
    <row r="247" ht="15.75" customHeight="1" s="57"/>
    <row r="248" ht="15.75" customHeight="1" s="57"/>
    <row r="249" ht="15.75" customHeight="1" s="57"/>
    <row r="250" ht="15.75" customHeight="1" s="57"/>
    <row r="251" ht="15.75" customHeight="1" s="57"/>
    <row r="252" ht="15.75" customHeight="1" s="57"/>
    <row r="253" ht="15.75" customHeight="1" s="57"/>
    <row r="254" ht="15.75" customHeight="1" s="57"/>
    <row r="255" ht="15.75" customHeight="1" s="57"/>
    <row r="256" ht="15.75" customHeight="1" s="57"/>
    <row r="257" ht="15.75" customHeight="1" s="57"/>
    <row r="258" ht="15.75" customHeight="1" s="57"/>
    <row r="259" ht="15.75" customHeight="1" s="57"/>
    <row r="260" ht="15.75" customHeight="1" s="57"/>
    <row r="261" ht="15.75" customHeight="1" s="57"/>
    <row r="262" ht="15.75" customHeight="1" s="57"/>
    <row r="263" ht="15.75" customHeight="1" s="57"/>
    <row r="264" ht="15.75" customHeight="1" s="57"/>
    <row r="265" ht="15.75" customHeight="1" s="57"/>
    <row r="266" ht="15.75" customHeight="1" s="57"/>
    <row r="267" ht="15.75" customHeight="1" s="57"/>
    <row r="268" ht="15.75" customHeight="1" s="57"/>
    <row r="269" ht="15.75" customHeight="1" s="57"/>
    <row r="270" ht="15.75" customHeight="1" s="57"/>
    <row r="271" ht="15.75" customHeight="1" s="57"/>
    <row r="272" ht="15.75" customHeight="1" s="57"/>
    <row r="273" ht="15.75" customHeight="1" s="57"/>
    <row r="274" ht="15.75" customHeight="1" s="57"/>
    <row r="275" ht="15.75" customHeight="1" s="57"/>
    <row r="276" ht="15.75" customHeight="1" s="57"/>
    <row r="277" ht="15.75" customHeight="1" s="57"/>
    <row r="278" ht="15.75" customHeight="1" s="57"/>
    <row r="279" ht="15.75" customHeight="1" s="57"/>
    <row r="280" ht="15.75" customHeight="1" s="57"/>
    <row r="281" ht="15.75" customHeight="1" s="57"/>
    <row r="282" ht="15.75" customHeight="1" s="57"/>
    <row r="283" ht="15.75" customHeight="1" s="57"/>
    <row r="284" ht="15.75" customHeight="1" s="57"/>
    <row r="285" ht="15.75" customHeight="1" s="57"/>
    <row r="286" ht="15.75" customHeight="1" s="57"/>
    <row r="287" ht="15.75" customHeight="1" s="57"/>
    <row r="288" ht="15.75" customHeight="1" s="57"/>
    <row r="289" ht="15.75" customHeight="1" s="57"/>
    <row r="290" ht="15.75" customHeight="1" s="57"/>
    <row r="291" ht="15.75" customHeight="1" s="57"/>
    <row r="292" ht="15.75" customHeight="1" s="57"/>
    <row r="293" ht="15.75" customHeight="1" s="57"/>
    <row r="294" ht="15.75" customHeight="1" s="57"/>
    <row r="295" ht="15.75" customHeight="1" s="57"/>
    <row r="296" ht="15.75" customHeight="1" s="57"/>
    <row r="297" ht="15.75" customHeight="1" s="57"/>
    <row r="298" ht="15.75" customHeight="1" s="57"/>
    <row r="299" ht="15.75" customHeight="1" s="57"/>
    <row r="300" ht="15.75" customHeight="1" s="57"/>
    <row r="301" ht="15.75" customHeight="1" s="57"/>
    <row r="302" ht="15.75" customHeight="1" s="57"/>
    <row r="303" ht="15.75" customHeight="1" s="57"/>
    <row r="304" ht="15.75" customHeight="1" s="57"/>
    <row r="305" ht="15.75" customHeight="1" s="57"/>
    <row r="306" ht="15.75" customHeight="1" s="57"/>
    <row r="307" ht="15.75" customHeight="1" s="57"/>
    <row r="308" ht="15.75" customHeight="1" s="57"/>
    <row r="309" ht="15.75" customHeight="1" s="57"/>
    <row r="310" ht="15.75" customHeight="1" s="57"/>
    <row r="311" ht="15.75" customHeight="1" s="57"/>
    <row r="312" ht="15.75" customHeight="1" s="57"/>
    <row r="313" ht="15.75" customHeight="1" s="57"/>
    <row r="314" ht="15.75" customHeight="1" s="57"/>
    <row r="315" ht="15.75" customHeight="1" s="57"/>
    <row r="316" ht="15.75" customHeight="1" s="57"/>
    <row r="317" ht="15.75" customHeight="1" s="57"/>
    <row r="318" ht="15.75" customHeight="1" s="57"/>
    <row r="319" ht="15.75" customHeight="1" s="57"/>
    <row r="320" ht="15.75" customHeight="1" s="57"/>
    <row r="321" ht="15.75" customHeight="1" s="57"/>
    <row r="322" ht="15.75" customHeight="1" s="57"/>
    <row r="323" ht="15.75" customHeight="1" s="57"/>
    <row r="324" ht="15.75" customHeight="1" s="57"/>
    <row r="325" ht="15.75" customHeight="1" s="57"/>
    <row r="326" ht="15.75" customHeight="1" s="57"/>
    <row r="327" ht="15.75" customHeight="1" s="57"/>
    <row r="328" ht="15.75" customHeight="1" s="57"/>
    <row r="329" ht="15.75" customHeight="1" s="57"/>
    <row r="330" ht="15.75" customHeight="1" s="57"/>
    <row r="331" ht="15.75" customHeight="1" s="57"/>
    <row r="332" ht="15.75" customHeight="1" s="57"/>
    <row r="333" ht="15.75" customHeight="1" s="57"/>
    <row r="334" ht="15.75" customHeight="1" s="57"/>
    <row r="335" ht="15.75" customHeight="1" s="57"/>
    <row r="336" ht="15.75" customHeight="1" s="57"/>
    <row r="337" ht="15.75" customHeight="1" s="57"/>
    <row r="338" ht="15.75" customHeight="1" s="57"/>
    <row r="339" ht="15.75" customHeight="1" s="57"/>
    <row r="340" ht="15.75" customHeight="1" s="57"/>
    <row r="341" ht="15.75" customHeight="1" s="57"/>
    <row r="342" ht="15.75" customHeight="1" s="57"/>
    <row r="343" ht="15.75" customHeight="1" s="57"/>
    <row r="344" ht="15.75" customHeight="1" s="57"/>
    <row r="345" ht="15.75" customHeight="1" s="57"/>
    <row r="346" ht="15.75" customHeight="1" s="57"/>
    <row r="347" ht="15.75" customHeight="1" s="57"/>
    <row r="348" ht="15.75" customHeight="1" s="57"/>
    <row r="349" ht="15.75" customHeight="1" s="57"/>
    <row r="350" ht="15.75" customHeight="1" s="57"/>
    <row r="351" ht="15.75" customHeight="1" s="57"/>
    <row r="352" ht="15.75" customHeight="1" s="57"/>
    <row r="353" ht="15.75" customHeight="1" s="57"/>
    <row r="354" ht="15.75" customHeight="1" s="57"/>
    <row r="355" ht="15.75" customHeight="1" s="57"/>
    <row r="356" ht="15.75" customHeight="1" s="57"/>
    <row r="357" ht="15.75" customHeight="1" s="57"/>
    <row r="358" ht="15.75" customHeight="1" s="57"/>
    <row r="359" ht="15.75" customHeight="1" s="57"/>
    <row r="360" ht="15.75" customHeight="1" s="57"/>
    <row r="361" ht="15.75" customHeight="1" s="57"/>
    <row r="362" ht="15.75" customHeight="1" s="57"/>
    <row r="363" ht="15.75" customHeight="1" s="57"/>
    <row r="364" ht="15.75" customHeight="1" s="57"/>
    <row r="365" ht="15.75" customHeight="1" s="57"/>
    <row r="366" ht="15.75" customHeight="1" s="57"/>
    <row r="367" ht="15.75" customHeight="1" s="57"/>
    <row r="368" ht="15.75" customHeight="1" s="57"/>
    <row r="369" ht="15.75" customHeight="1" s="57"/>
    <row r="370" ht="15.75" customHeight="1" s="57"/>
    <row r="371" ht="15.75" customHeight="1" s="57"/>
    <row r="372" ht="15.75" customHeight="1" s="57"/>
    <row r="373" ht="15.75" customHeight="1" s="57"/>
    <row r="374" ht="15.75" customHeight="1" s="57"/>
    <row r="375" ht="15.75" customHeight="1" s="57"/>
    <row r="376" ht="15.75" customHeight="1" s="57"/>
    <row r="377" ht="15.75" customHeight="1" s="57"/>
    <row r="378" ht="15.75" customHeight="1" s="57"/>
    <row r="379" ht="15.75" customHeight="1" s="57"/>
    <row r="380" ht="15.75" customHeight="1" s="57"/>
    <row r="381" ht="15.75" customHeight="1" s="57"/>
    <row r="382" ht="15.75" customHeight="1" s="57"/>
    <row r="383" ht="15.75" customHeight="1" s="57"/>
    <row r="384" ht="15.75" customHeight="1" s="57"/>
    <row r="385" ht="15.75" customHeight="1" s="57"/>
    <row r="386" ht="15.75" customHeight="1" s="57"/>
    <row r="387" ht="15.75" customHeight="1" s="57"/>
    <row r="388" ht="15.75" customHeight="1" s="57"/>
    <row r="389" ht="15.75" customHeight="1" s="57"/>
    <row r="390" ht="15.75" customHeight="1" s="57"/>
    <row r="391" ht="15.75" customHeight="1" s="57"/>
    <row r="392" ht="15.75" customHeight="1" s="57"/>
    <row r="393" ht="15.75" customHeight="1" s="57"/>
    <row r="394" ht="15.75" customHeight="1" s="57"/>
    <row r="395" ht="15.75" customHeight="1" s="57"/>
    <row r="396" ht="15.75" customHeight="1" s="57"/>
    <row r="397" ht="15.75" customHeight="1" s="57"/>
    <row r="398" ht="15.75" customHeight="1" s="57"/>
    <row r="399" ht="15.75" customHeight="1" s="57"/>
    <row r="400" ht="15.75" customHeight="1" s="57"/>
    <row r="401" ht="15.75" customHeight="1" s="57"/>
    <row r="402" ht="15.75" customHeight="1" s="57"/>
    <row r="403" ht="15.75" customHeight="1" s="57"/>
    <row r="404" ht="15.75" customHeight="1" s="57"/>
    <row r="405" ht="15.75" customHeight="1" s="57"/>
    <row r="406" ht="15.75" customHeight="1" s="57"/>
    <row r="407" ht="15.75" customHeight="1" s="57"/>
    <row r="408" ht="15.75" customHeight="1" s="57"/>
    <row r="409" ht="15.75" customHeight="1" s="57"/>
    <row r="410" ht="15.75" customHeight="1" s="57"/>
    <row r="411" ht="15.75" customHeight="1" s="57"/>
    <row r="412" ht="15.75" customHeight="1" s="57"/>
    <row r="413" ht="15.75" customHeight="1" s="57"/>
    <row r="414" ht="15.75" customHeight="1" s="57"/>
    <row r="415" ht="15.75" customHeight="1" s="57"/>
    <row r="416" ht="15.75" customHeight="1" s="57"/>
    <row r="417" ht="15.75" customHeight="1" s="57"/>
    <row r="418" ht="15.75" customHeight="1" s="57"/>
    <row r="419" ht="15.75" customHeight="1" s="57"/>
    <row r="420" ht="15.75" customHeight="1" s="57"/>
    <row r="421" ht="15.75" customHeight="1" s="57"/>
    <row r="422" ht="15.75" customHeight="1" s="57"/>
    <row r="423" ht="15.75" customHeight="1" s="57"/>
    <row r="424" ht="15.75" customHeight="1" s="57"/>
    <row r="425" ht="15.75" customHeight="1" s="57"/>
    <row r="426" ht="15.75" customHeight="1" s="57"/>
    <row r="427" ht="15.75" customHeight="1" s="57"/>
    <row r="428" ht="15.75" customHeight="1" s="57"/>
    <row r="429" ht="15.75" customHeight="1" s="57"/>
    <row r="430" ht="15.75" customHeight="1" s="57"/>
    <row r="431" ht="15.75" customHeight="1" s="57"/>
    <row r="432" ht="15.75" customHeight="1" s="57"/>
    <row r="433" ht="15.75" customHeight="1" s="57"/>
    <row r="434" ht="15.75" customHeight="1" s="57"/>
    <row r="435" ht="15.75" customHeight="1" s="57"/>
    <row r="436" ht="15.75" customHeight="1" s="57"/>
    <row r="437" ht="15.75" customHeight="1" s="57"/>
    <row r="438" ht="15.75" customHeight="1" s="57"/>
    <row r="439" ht="15.75" customHeight="1" s="57"/>
    <row r="440" ht="15.75" customHeight="1" s="57"/>
    <row r="441" ht="15.75" customHeight="1" s="57"/>
    <row r="442" ht="15.75" customHeight="1" s="57"/>
    <row r="443" ht="15.75" customHeight="1" s="57"/>
    <row r="444" ht="15.75" customHeight="1" s="57"/>
    <row r="445" ht="15.75" customHeight="1" s="57"/>
    <row r="446" ht="15.75" customHeight="1" s="57"/>
    <row r="447" ht="15.75" customHeight="1" s="57"/>
    <row r="448" ht="15.75" customHeight="1" s="57"/>
    <row r="449" ht="15.75" customHeight="1" s="57"/>
    <row r="450" ht="15.75" customHeight="1" s="57"/>
    <row r="451" ht="15.75" customHeight="1" s="57"/>
    <row r="452" ht="15.75" customHeight="1" s="57"/>
    <row r="453" ht="15.75" customHeight="1" s="57"/>
    <row r="454" ht="15.75" customHeight="1" s="57"/>
    <row r="455" ht="15.75" customHeight="1" s="57"/>
    <row r="456" ht="15.75" customHeight="1" s="57"/>
    <row r="457" ht="15.75" customHeight="1" s="57"/>
    <row r="458" ht="15.75" customHeight="1" s="57"/>
    <row r="459" ht="15.75" customHeight="1" s="57"/>
    <row r="460" ht="15.75" customHeight="1" s="57"/>
    <row r="461" ht="15.75" customHeight="1" s="57"/>
    <row r="462" ht="15.75" customHeight="1" s="57"/>
    <row r="463" ht="15.75" customHeight="1" s="57"/>
    <row r="464" ht="15.75" customHeight="1" s="57"/>
    <row r="465" ht="15.75" customHeight="1" s="57"/>
    <row r="466" ht="15.75" customHeight="1" s="57"/>
    <row r="467" ht="15.75" customHeight="1" s="57"/>
    <row r="468" ht="15.75" customHeight="1" s="57"/>
    <row r="469" ht="15.75" customHeight="1" s="57"/>
    <row r="470" ht="15.75" customHeight="1" s="57"/>
    <row r="471" ht="15.75" customHeight="1" s="57"/>
    <row r="472" ht="15.75" customHeight="1" s="57"/>
    <row r="473" ht="15.75" customHeight="1" s="57"/>
    <row r="474" ht="15.75" customHeight="1" s="57"/>
    <row r="475" ht="15.75" customHeight="1" s="57"/>
    <row r="476" ht="15.75" customHeight="1" s="57"/>
    <row r="477" ht="15.75" customHeight="1" s="57"/>
    <row r="478" ht="15.75" customHeight="1" s="57"/>
    <row r="479" ht="15.75" customHeight="1" s="57"/>
    <row r="480" ht="15.75" customHeight="1" s="57"/>
    <row r="481" ht="15.75" customHeight="1" s="57"/>
    <row r="482" ht="15.75" customHeight="1" s="57"/>
    <row r="483" ht="15.75" customHeight="1" s="57"/>
    <row r="484" ht="15.75" customHeight="1" s="57"/>
    <row r="485" ht="15.75" customHeight="1" s="57"/>
    <row r="486" ht="15.75" customHeight="1" s="57"/>
    <row r="487" ht="15.75" customHeight="1" s="57"/>
    <row r="488" ht="15.75" customHeight="1" s="57"/>
    <row r="489" ht="15.75" customHeight="1" s="57"/>
    <row r="490" ht="15.75" customHeight="1" s="57"/>
    <row r="491" ht="15.75" customHeight="1" s="57"/>
    <row r="492" ht="15.75" customHeight="1" s="57"/>
    <row r="493" ht="15.75" customHeight="1" s="57"/>
    <row r="494" ht="15.75" customHeight="1" s="57"/>
    <row r="495" ht="15.75" customHeight="1" s="57"/>
    <row r="496" ht="15.75" customHeight="1" s="57"/>
    <row r="497" ht="15.75" customHeight="1" s="57"/>
    <row r="498" ht="15.75" customHeight="1" s="57"/>
    <row r="499" ht="15.75" customHeight="1" s="57"/>
    <row r="500" ht="15.75" customHeight="1" s="57"/>
    <row r="501" ht="15.75" customHeight="1" s="57"/>
    <row r="502" ht="15.75" customHeight="1" s="57"/>
    <row r="503" ht="15.75" customHeight="1" s="57"/>
    <row r="504" ht="15.75" customHeight="1" s="57"/>
    <row r="505" ht="15.75" customHeight="1" s="57"/>
    <row r="506" ht="15.75" customHeight="1" s="57"/>
    <row r="507" ht="15.75" customHeight="1" s="57"/>
    <row r="508" ht="15.75" customHeight="1" s="57"/>
    <row r="509" ht="15.75" customHeight="1" s="57"/>
    <row r="510" ht="15.75" customHeight="1" s="57"/>
    <row r="511" ht="15.75" customHeight="1" s="57"/>
    <row r="512" ht="15.75" customHeight="1" s="57"/>
    <row r="513" ht="15.75" customHeight="1" s="57"/>
    <row r="514" ht="15.75" customHeight="1" s="57"/>
    <row r="515" ht="15.75" customHeight="1" s="57"/>
    <row r="516" ht="15.75" customHeight="1" s="57"/>
    <row r="517" ht="15.75" customHeight="1" s="57"/>
    <row r="518" ht="15.75" customHeight="1" s="57"/>
    <row r="519" ht="15.75" customHeight="1" s="57"/>
    <row r="520" ht="15.75" customHeight="1" s="57"/>
    <row r="521" ht="15.75" customHeight="1" s="57"/>
    <row r="522" ht="15.75" customHeight="1" s="57"/>
    <row r="523" ht="15.75" customHeight="1" s="57"/>
    <row r="524" ht="15.75" customHeight="1" s="57"/>
    <row r="525" ht="15.75" customHeight="1" s="57"/>
    <row r="526" ht="15.75" customHeight="1" s="57"/>
    <row r="527" ht="15.75" customHeight="1" s="57"/>
    <row r="528" ht="15.75" customHeight="1" s="57"/>
    <row r="529" ht="15.75" customHeight="1" s="57"/>
    <row r="530" ht="15.75" customHeight="1" s="57"/>
    <row r="531" ht="15.75" customHeight="1" s="57"/>
    <row r="532" ht="15.75" customHeight="1" s="57"/>
    <row r="533" ht="15.75" customHeight="1" s="57"/>
    <row r="534" ht="15.75" customHeight="1" s="57"/>
    <row r="535" ht="15.75" customHeight="1" s="57"/>
    <row r="536" ht="15.75" customHeight="1" s="57"/>
    <row r="537" ht="15.75" customHeight="1" s="57"/>
    <row r="538" ht="15.75" customHeight="1" s="57"/>
    <row r="539" ht="15.75" customHeight="1" s="57"/>
    <row r="540" ht="15.75" customHeight="1" s="57"/>
    <row r="541" ht="15.75" customHeight="1" s="57"/>
    <row r="542" ht="15.75" customHeight="1" s="57"/>
    <row r="543" ht="15.75" customHeight="1" s="57"/>
    <row r="544" ht="15.75" customHeight="1" s="57"/>
    <row r="545" ht="15.75" customHeight="1" s="57"/>
    <row r="546" ht="15.75" customHeight="1" s="57"/>
    <row r="547" ht="15.75" customHeight="1" s="57"/>
    <row r="548" ht="15.75" customHeight="1" s="57"/>
    <row r="549" ht="15.75" customHeight="1" s="57"/>
    <row r="550" ht="15.75" customHeight="1" s="57"/>
    <row r="551" ht="15.75" customHeight="1" s="57"/>
    <row r="552" ht="15.75" customHeight="1" s="57"/>
    <row r="553" ht="15.75" customHeight="1" s="57"/>
    <row r="554" ht="15.75" customHeight="1" s="57"/>
    <row r="555" ht="15.75" customHeight="1" s="57"/>
    <row r="556" ht="15.75" customHeight="1" s="57"/>
    <row r="557" ht="15.75" customHeight="1" s="57"/>
    <row r="558" ht="15.75" customHeight="1" s="57"/>
    <row r="559" ht="15.75" customHeight="1" s="57"/>
    <row r="560" ht="15.75" customHeight="1" s="57"/>
    <row r="561" ht="15.75" customHeight="1" s="57"/>
    <row r="562" ht="15.75" customHeight="1" s="57"/>
    <row r="563" ht="15.75" customHeight="1" s="57"/>
    <row r="564" ht="15.75" customHeight="1" s="57"/>
    <row r="565" ht="15.75" customHeight="1" s="57"/>
    <row r="566" ht="15.75" customHeight="1" s="57"/>
    <row r="567" ht="15.75" customHeight="1" s="57"/>
    <row r="568" ht="15.75" customHeight="1" s="57"/>
    <row r="569" ht="15.75" customHeight="1" s="57"/>
    <row r="570" ht="15.75" customHeight="1" s="57"/>
    <row r="571" ht="15.75" customHeight="1" s="57"/>
    <row r="572" ht="15.75" customHeight="1" s="57"/>
    <row r="573" ht="15.75" customHeight="1" s="57"/>
    <row r="574" ht="15.75" customHeight="1" s="57"/>
    <row r="575" ht="15.75" customHeight="1" s="57"/>
    <row r="576" ht="15.75" customHeight="1" s="57"/>
    <row r="577" ht="15.75" customHeight="1" s="57"/>
    <row r="578" ht="15.75" customHeight="1" s="57"/>
    <row r="579" ht="15.75" customHeight="1" s="57"/>
    <row r="580" ht="15.75" customHeight="1" s="57"/>
    <row r="581" ht="15.75" customHeight="1" s="57"/>
    <row r="582" ht="15.75" customHeight="1" s="57"/>
    <row r="583" ht="15.75" customHeight="1" s="57"/>
    <row r="584" ht="15.75" customHeight="1" s="57"/>
    <row r="585" ht="15.75" customHeight="1" s="57"/>
    <row r="586" ht="15.75" customHeight="1" s="57"/>
    <row r="587" ht="15.75" customHeight="1" s="57"/>
    <row r="588" ht="15.75" customHeight="1" s="57"/>
    <row r="589" ht="15.75" customHeight="1" s="57"/>
    <row r="590" ht="15.75" customHeight="1" s="57"/>
    <row r="591" ht="15.75" customHeight="1" s="57"/>
    <row r="592" ht="15.75" customHeight="1" s="57"/>
    <row r="593" ht="15.75" customHeight="1" s="57"/>
    <row r="594" ht="15.75" customHeight="1" s="57"/>
    <row r="595" ht="15.75" customHeight="1" s="57"/>
    <row r="596" ht="15.75" customHeight="1" s="57"/>
    <row r="597" ht="15.75" customHeight="1" s="57"/>
    <row r="598" ht="15.75" customHeight="1" s="57"/>
    <row r="599" ht="15.75" customHeight="1" s="57"/>
    <row r="600" ht="15.75" customHeight="1" s="57"/>
    <row r="601" ht="15.75" customHeight="1" s="57"/>
    <row r="602" ht="15.75" customHeight="1" s="57"/>
    <row r="603" ht="15.75" customHeight="1" s="57"/>
    <row r="604" ht="15.75" customHeight="1" s="57"/>
    <row r="605" ht="15.75" customHeight="1" s="57"/>
    <row r="606" ht="15.75" customHeight="1" s="57"/>
    <row r="607" ht="15.75" customHeight="1" s="57"/>
    <row r="608" ht="15.75" customHeight="1" s="57"/>
    <row r="609" ht="15.75" customHeight="1" s="57"/>
    <row r="610" ht="15.75" customHeight="1" s="57"/>
    <row r="611" ht="15.75" customHeight="1" s="57"/>
    <row r="612" ht="15.75" customHeight="1" s="57"/>
    <row r="613" ht="15.75" customHeight="1" s="57"/>
    <row r="614" ht="15.75" customHeight="1" s="57"/>
    <row r="615" ht="15.75" customHeight="1" s="57"/>
    <row r="616" ht="15.75" customHeight="1" s="57"/>
    <row r="617" ht="15.75" customHeight="1" s="57"/>
    <row r="618" ht="15.75" customHeight="1" s="57"/>
    <row r="619" ht="15.75" customHeight="1" s="57"/>
    <row r="620" ht="15.75" customHeight="1" s="57"/>
    <row r="621" ht="15.75" customHeight="1" s="57"/>
    <row r="622" ht="15.75" customHeight="1" s="57"/>
    <row r="623" ht="15.75" customHeight="1" s="57"/>
    <row r="624" ht="15.75" customHeight="1" s="57"/>
    <row r="625" ht="15.75" customHeight="1" s="57"/>
    <row r="626" ht="15.75" customHeight="1" s="57"/>
    <row r="627" ht="15.75" customHeight="1" s="57"/>
    <row r="628" ht="15.75" customHeight="1" s="57"/>
    <row r="629" ht="15.75" customHeight="1" s="57"/>
    <row r="630" ht="15.75" customHeight="1" s="57"/>
    <row r="631" ht="15.75" customHeight="1" s="57"/>
    <row r="632" ht="15.75" customHeight="1" s="57"/>
    <row r="633" ht="15.75" customHeight="1" s="57"/>
    <row r="634" ht="15.75" customHeight="1" s="57"/>
    <row r="635" ht="15.75" customHeight="1" s="57"/>
    <row r="636" ht="15.75" customHeight="1" s="57"/>
    <row r="637" ht="15.75" customHeight="1" s="57"/>
    <row r="638" ht="15.75" customHeight="1" s="57"/>
    <row r="639" ht="15.75" customHeight="1" s="57"/>
    <row r="640" ht="15.75" customHeight="1" s="57"/>
    <row r="641" ht="15.75" customHeight="1" s="57"/>
    <row r="642" ht="15.75" customHeight="1" s="57"/>
    <row r="643" ht="15.75" customHeight="1" s="57"/>
    <row r="644" ht="15.75" customHeight="1" s="57"/>
    <row r="645" ht="15.75" customHeight="1" s="57"/>
    <row r="646" ht="15.75" customHeight="1" s="57"/>
    <row r="647" ht="15.75" customHeight="1" s="57"/>
    <row r="648" ht="15.75" customHeight="1" s="57"/>
    <row r="649" ht="15.75" customHeight="1" s="57"/>
    <row r="650" ht="15.75" customHeight="1" s="57"/>
    <row r="651" ht="15.75" customHeight="1" s="57"/>
    <row r="652" ht="15.75" customHeight="1" s="57"/>
    <row r="653" ht="15.75" customHeight="1" s="57"/>
    <row r="654" ht="15.75" customHeight="1" s="57"/>
    <row r="655" ht="15.75" customHeight="1" s="57"/>
    <row r="656" ht="15.75" customHeight="1" s="57"/>
    <row r="657" ht="15.75" customHeight="1" s="57"/>
    <row r="658" ht="15.75" customHeight="1" s="57"/>
    <row r="659" ht="15.75" customHeight="1" s="57"/>
    <row r="660" ht="15.75" customHeight="1" s="57"/>
    <row r="661" ht="15.75" customHeight="1" s="57"/>
    <row r="662" ht="15.75" customHeight="1" s="57"/>
    <row r="663" ht="15.75" customHeight="1" s="57"/>
    <row r="664" ht="15.75" customHeight="1" s="57"/>
    <row r="665" ht="15.75" customHeight="1" s="57"/>
    <row r="666" ht="15.75" customHeight="1" s="57"/>
    <row r="667" ht="15.75" customHeight="1" s="57"/>
    <row r="668" ht="15.75" customHeight="1" s="57"/>
    <row r="669" ht="15.75" customHeight="1" s="57"/>
    <row r="670" ht="15.75" customHeight="1" s="57"/>
    <row r="671" ht="15.75" customHeight="1" s="57"/>
    <row r="672" ht="15.75" customHeight="1" s="57"/>
    <row r="673" ht="15.75" customHeight="1" s="57"/>
    <row r="674" ht="15.75" customHeight="1" s="57"/>
    <row r="675" ht="15.75" customHeight="1" s="57"/>
    <row r="676" ht="15.75" customHeight="1" s="57"/>
    <row r="677" ht="15.75" customHeight="1" s="57"/>
    <row r="678" ht="15.75" customHeight="1" s="57"/>
    <row r="679" ht="15.75" customHeight="1" s="57"/>
    <row r="680" ht="15.75" customHeight="1" s="57"/>
    <row r="681" ht="15.75" customHeight="1" s="57"/>
    <row r="682" ht="15.75" customHeight="1" s="57"/>
    <row r="683" ht="15.75" customHeight="1" s="57"/>
    <row r="684" ht="15.75" customHeight="1" s="57"/>
    <row r="685" ht="15.75" customHeight="1" s="57"/>
    <row r="686" ht="15.75" customHeight="1" s="57"/>
    <row r="687" ht="15.75" customHeight="1" s="57"/>
    <row r="688" ht="15.75" customHeight="1" s="57"/>
    <row r="689" ht="15.75" customHeight="1" s="57"/>
    <row r="690" ht="15.75" customHeight="1" s="57"/>
    <row r="691" ht="15.75" customHeight="1" s="57"/>
    <row r="692" ht="15.75" customHeight="1" s="57"/>
    <row r="693" ht="15.75" customHeight="1" s="57"/>
    <row r="694" ht="15.75" customHeight="1" s="57"/>
    <row r="695" ht="15.75" customHeight="1" s="57"/>
    <row r="696" ht="15.75" customHeight="1" s="57"/>
    <row r="697" ht="15.75" customHeight="1" s="57"/>
    <row r="698" ht="15.75" customHeight="1" s="57"/>
    <row r="699" ht="15.75" customHeight="1" s="57"/>
    <row r="700" ht="15.75" customHeight="1" s="57"/>
    <row r="701" ht="15.75" customHeight="1" s="57"/>
    <row r="702" ht="15.75" customHeight="1" s="57"/>
    <row r="703" ht="15.75" customHeight="1" s="57"/>
    <row r="704" ht="15.75" customHeight="1" s="57"/>
    <row r="705" ht="15.75" customHeight="1" s="57"/>
    <row r="706" ht="15.75" customHeight="1" s="57"/>
    <row r="707" ht="15.75" customHeight="1" s="57"/>
    <row r="708" ht="15.75" customHeight="1" s="57"/>
    <row r="709" ht="15.75" customHeight="1" s="57"/>
    <row r="710" ht="15.75" customHeight="1" s="57"/>
    <row r="711" ht="15.75" customHeight="1" s="57"/>
    <row r="712" ht="15.75" customHeight="1" s="57"/>
    <row r="713" ht="15.75" customHeight="1" s="57"/>
    <row r="714" ht="15.75" customHeight="1" s="57"/>
    <row r="715" ht="15.75" customHeight="1" s="57"/>
    <row r="716" ht="15.75" customHeight="1" s="57"/>
    <row r="717" ht="15.75" customHeight="1" s="57"/>
    <row r="718" ht="15.75" customHeight="1" s="57"/>
    <row r="719" ht="15.75" customHeight="1" s="57"/>
    <row r="720" ht="15.75" customHeight="1" s="57"/>
    <row r="721" ht="15.75" customHeight="1" s="57"/>
    <row r="722" ht="15.75" customHeight="1" s="57"/>
    <row r="723" ht="15.75" customHeight="1" s="57"/>
    <row r="724" ht="15.75" customHeight="1" s="57"/>
    <row r="725" ht="15.75" customHeight="1" s="57"/>
    <row r="726" ht="15.75" customHeight="1" s="57"/>
    <row r="727" ht="15.75" customHeight="1" s="57"/>
    <row r="728" ht="15.75" customHeight="1" s="57"/>
    <row r="729" ht="15.75" customHeight="1" s="57"/>
    <row r="730" ht="15.75" customHeight="1" s="57"/>
    <row r="731" ht="15.75" customHeight="1" s="57"/>
    <row r="732" ht="15.75" customHeight="1" s="57"/>
    <row r="733" ht="15.75" customHeight="1" s="57"/>
    <row r="734" ht="15.75" customHeight="1" s="57"/>
    <row r="735" ht="15.75" customHeight="1" s="57"/>
    <row r="736" ht="15.75" customHeight="1" s="57"/>
    <row r="737" ht="15.75" customHeight="1" s="57"/>
    <row r="738" ht="15.75" customHeight="1" s="57"/>
    <row r="739" ht="15.75" customHeight="1" s="57"/>
    <row r="740" ht="15.75" customHeight="1" s="57"/>
    <row r="741" ht="15.75" customHeight="1" s="57"/>
    <row r="742" ht="15.75" customHeight="1" s="57"/>
    <row r="743" ht="15.75" customHeight="1" s="57"/>
    <row r="744" ht="15.75" customHeight="1" s="57"/>
    <row r="745" ht="15.75" customHeight="1" s="57"/>
    <row r="746" ht="15.75" customHeight="1" s="57"/>
    <row r="747" ht="15.75" customHeight="1" s="57"/>
    <row r="748" ht="15.75" customHeight="1" s="57"/>
    <row r="749" ht="15.75" customHeight="1" s="57"/>
    <row r="750" ht="15.75" customHeight="1" s="57"/>
    <row r="751" ht="15.75" customHeight="1" s="57"/>
    <row r="752" ht="15.75" customHeight="1" s="57"/>
    <row r="753" ht="15.75" customHeight="1" s="57"/>
    <row r="754" ht="15.75" customHeight="1" s="57"/>
    <row r="755" ht="15.75" customHeight="1" s="57"/>
    <row r="756" ht="15.75" customHeight="1" s="57"/>
    <row r="757" ht="15.75" customHeight="1" s="57"/>
    <row r="758" ht="15.75" customHeight="1" s="57"/>
    <row r="759" ht="15.75" customHeight="1" s="57"/>
    <row r="760" ht="15.75" customHeight="1" s="57"/>
    <row r="761" ht="15.75" customHeight="1" s="57"/>
    <row r="762" ht="15.75" customHeight="1" s="57"/>
    <row r="763" ht="15.75" customHeight="1" s="57"/>
    <row r="764" ht="15.75" customHeight="1" s="57"/>
    <row r="765" ht="15.75" customHeight="1" s="57"/>
    <row r="766" ht="15.75" customHeight="1" s="57"/>
    <row r="767" ht="15.75" customHeight="1" s="57"/>
    <row r="768" ht="15.75" customHeight="1" s="57"/>
    <row r="769" ht="15.75" customHeight="1" s="57"/>
    <row r="770" ht="15.75" customHeight="1" s="57"/>
    <row r="771" ht="15.75" customHeight="1" s="57"/>
    <row r="772" ht="15.75" customHeight="1" s="57"/>
    <row r="773" ht="15.75" customHeight="1" s="57"/>
    <row r="774" ht="15.75" customHeight="1" s="57"/>
    <row r="775" ht="15.75" customHeight="1" s="57"/>
    <row r="776" ht="15.75" customHeight="1" s="57"/>
    <row r="777" ht="15.75" customHeight="1" s="57"/>
    <row r="778" ht="15.75" customHeight="1" s="57"/>
    <row r="779" ht="15.75" customHeight="1" s="57"/>
    <row r="780" ht="15.75" customHeight="1" s="57"/>
    <row r="781" ht="15.75" customHeight="1" s="57"/>
    <row r="782" ht="15.75" customHeight="1" s="57"/>
    <row r="783" ht="15.75" customHeight="1" s="57"/>
    <row r="784" ht="15.75" customHeight="1" s="57"/>
    <row r="785" ht="15.75" customHeight="1" s="57"/>
    <row r="786" ht="15.75" customHeight="1" s="57"/>
    <row r="787" ht="15.75" customHeight="1" s="57"/>
    <row r="788" ht="15.75" customHeight="1" s="57"/>
    <row r="789" ht="15.75" customHeight="1" s="57"/>
    <row r="790" ht="15.75" customHeight="1" s="57"/>
    <row r="791" ht="15.75" customHeight="1" s="57"/>
    <row r="792" ht="15.75" customHeight="1" s="57"/>
    <row r="793" ht="15.75" customHeight="1" s="57"/>
    <row r="794" ht="15.75" customHeight="1" s="57"/>
    <row r="795" ht="15.75" customHeight="1" s="57"/>
    <row r="796" ht="15.75" customHeight="1" s="57"/>
    <row r="797" ht="15.75" customHeight="1" s="57"/>
    <row r="798" ht="15.75" customHeight="1" s="57"/>
    <row r="799" ht="15.75" customHeight="1" s="57"/>
    <row r="800" ht="15.75" customHeight="1" s="57"/>
    <row r="801" ht="15.75" customHeight="1" s="57"/>
    <row r="802" ht="15.75" customHeight="1" s="57"/>
    <row r="803" ht="15.75" customHeight="1" s="57"/>
    <row r="804" ht="15.75" customHeight="1" s="57"/>
    <row r="805" ht="15.75" customHeight="1" s="57"/>
    <row r="806" ht="15.75" customHeight="1" s="57"/>
    <row r="807" ht="15.75" customHeight="1" s="57"/>
    <row r="808" ht="15.75" customHeight="1" s="57"/>
    <row r="809" ht="15.75" customHeight="1" s="57"/>
    <row r="810" ht="15.75" customHeight="1" s="57"/>
    <row r="811" ht="15.75" customHeight="1" s="57"/>
    <row r="812" ht="15.75" customHeight="1" s="57"/>
    <row r="813" ht="15.75" customHeight="1" s="57"/>
    <row r="814" ht="15.75" customHeight="1" s="57"/>
    <row r="815" ht="15.75" customHeight="1" s="57"/>
    <row r="816" ht="15.75" customHeight="1" s="57"/>
    <row r="817" ht="15.75" customHeight="1" s="57"/>
    <row r="818" ht="15.75" customHeight="1" s="57"/>
    <row r="819" ht="15.75" customHeight="1" s="57"/>
    <row r="820" ht="15.75" customHeight="1" s="57"/>
    <row r="821" ht="15.75" customHeight="1" s="57"/>
    <row r="822" ht="15.75" customHeight="1" s="57"/>
    <row r="823" ht="15.75" customHeight="1" s="57"/>
    <row r="824" ht="15.75" customHeight="1" s="57"/>
    <row r="825" ht="15.75" customHeight="1" s="57"/>
    <row r="826" ht="15.75" customHeight="1" s="57"/>
    <row r="827" ht="15.75" customHeight="1" s="57"/>
    <row r="828" ht="15.75" customHeight="1" s="57"/>
    <row r="829" ht="15.75" customHeight="1" s="57"/>
    <row r="830" ht="15.75" customHeight="1" s="57"/>
    <row r="831" ht="15.75" customHeight="1" s="57"/>
    <row r="832" ht="15.75" customHeight="1" s="57"/>
    <row r="833" ht="15.75" customHeight="1" s="57"/>
    <row r="834" ht="15.75" customHeight="1" s="57"/>
    <row r="835" ht="15.75" customHeight="1" s="57"/>
    <row r="836" ht="15.75" customHeight="1" s="57"/>
    <row r="837" ht="15.75" customHeight="1" s="57"/>
    <row r="838" ht="15.75" customHeight="1" s="57"/>
    <row r="839" ht="15.75" customHeight="1" s="57"/>
    <row r="840" ht="15.75" customHeight="1" s="57"/>
    <row r="841" ht="15.75" customHeight="1" s="57"/>
    <row r="842" ht="15.75" customHeight="1" s="57"/>
    <row r="843" ht="15.75" customHeight="1" s="57"/>
    <row r="844" ht="15.75" customHeight="1" s="57"/>
    <row r="845" ht="15.75" customHeight="1" s="57"/>
    <row r="846" ht="15.75" customHeight="1" s="57"/>
    <row r="847" ht="15.75" customHeight="1" s="57"/>
    <row r="848" ht="15.75" customHeight="1" s="57"/>
    <row r="849" ht="15.75" customHeight="1" s="57"/>
    <row r="850" ht="15.75" customHeight="1" s="57"/>
    <row r="851" ht="15.75" customHeight="1" s="57"/>
    <row r="852" ht="15.75" customHeight="1" s="57"/>
    <row r="853" ht="15.75" customHeight="1" s="57"/>
    <row r="854" ht="15.75" customHeight="1" s="57"/>
    <row r="855" ht="15.75" customHeight="1" s="57"/>
    <row r="856" ht="15.75" customHeight="1" s="57"/>
    <row r="857" ht="15.75" customHeight="1" s="57"/>
    <row r="858" ht="15.75" customHeight="1" s="57"/>
    <row r="859" ht="15.75" customHeight="1" s="57"/>
    <row r="860" ht="15.75" customHeight="1" s="57"/>
    <row r="861" ht="15.75" customHeight="1" s="57"/>
    <row r="862" ht="15.75" customHeight="1" s="57"/>
    <row r="863" ht="15.75" customHeight="1" s="57"/>
    <row r="864" ht="15.75" customHeight="1" s="57"/>
    <row r="865" ht="15.75" customHeight="1" s="57"/>
    <row r="866" ht="15.75" customHeight="1" s="57"/>
    <row r="867" ht="15.75" customHeight="1" s="57"/>
    <row r="868" ht="15.75" customHeight="1" s="57"/>
    <row r="869" ht="15.75" customHeight="1" s="57"/>
    <row r="870" ht="15.75" customHeight="1" s="57"/>
    <row r="871" ht="15.75" customHeight="1" s="57"/>
    <row r="872" ht="15.75" customHeight="1" s="57"/>
    <row r="873" ht="15.75" customHeight="1" s="57"/>
    <row r="874" ht="15.75" customHeight="1" s="57"/>
    <row r="875" ht="15.75" customHeight="1" s="57"/>
    <row r="876" ht="15.75" customHeight="1" s="57"/>
    <row r="877" ht="15.75" customHeight="1" s="57"/>
    <row r="878" ht="15.75" customHeight="1" s="57"/>
    <row r="879" ht="15.75" customHeight="1" s="57"/>
    <row r="880" ht="15.75" customHeight="1" s="57"/>
    <row r="881" ht="15.75" customHeight="1" s="57"/>
    <row r="882" ht="15.75" customHeight="1" s="57"/>
    <row r="883" ht="15.75" customHeight="1" s="57"/>
    <row r="884" ht="15.75" customHeight="1" s="57"/>
    <row r="885" ht="15.75" customHeight="1" s="57"/>
    <row r="886" ht="15.75" customHeight="1" s="57"/>
    <row r="887" ht="15.75" customHeight="1" s="57"/>
    <row r="888" ht="15.75" customHeight="1" s="57"/>
    <row r="889" ht="15.75" customHeight="1" s="57"/>
    <row r="890" ht="15.75" customHeight="1" s="57"/>
    <row r="891" ht="15.75" customHeight="1" s="57"/>
    <row r="892" ht="15.75" customHeight="1" s="57"/>
    <row r="893" ht="15.75" customHeight="1" s="57"/>
    <row r="894" ht="15.75" customHeight="1" s="57"/>
    <row r="895" ht="15.75" customHeight="1" s="57"/>
    <row r="896" ht="15.75" customHeight="1" s="57"/>
    <row r="897" ht="15.75" customHeight="1" s="57"/>
    <row r="898" ht="15.75" customHeight="1" s="57"/>
    <row r="899" ht="15.75" customHeight="1" s="57"/>
    <row r="900" ht="15.75" customHeight="1" s="57"/>
    <row r="901" ht="15.75" customHeight="1" s="57"/>
    <row r="902" ht="15.75" customHeight="1" s="57"/>
    <row r="903" ht="15.75" customHeight="1" s="57"/>
    <row r="904" ht="15.75" customHeight="1" s="57"/>
    <row r="905" ht="15.75" customHeight="1" s="57"/>
    <row r="906" ht="15.75" customHeight="1" s="57"/>
    <row r="907" ht="15.75" customHeight="1" s="57"/>
    <row r="908" ht="15.75" customHeight="1" s="57"/>
    <row r="909" ht="15.75" customHeight="1" s="57"/>
    <row r="910" ht="15.75" customHeight="1" s="57"/>
    <row r="911" ht="15.75" customHeight="1" s="57"/>
    <row r="912" ht="15.75" customHeight="1" s="57"/>
    <row r="913" ht="15.75" customHeight="1" s="57"/>
    <row r="914" ht="15.75" customHeight="1" s="57"/>
    <row r="915" ht="15.75" customHeight="1" s="57"/>
    <row r="916" ht="15.75" customHeight="1" s="57"/>
    <row r="917" ht="15.75" customHeight="1" s="57"/>
    <row r="918" ht="15.75" customHeight="1" s="57"/>
    <row r="919" ht="15.75" customHeight="1" s="57"/>
    <row r="920" ht="15.75" customHeight="1" s="57"/>
    <row r="921" ht="15.75" customHeight="1" s="57"/>
    <row r="922" ht="15.75" customHeight="1" s="57"/>
    <row r="923" ht="15.75" customHeight="1" s="57"/>
    <row r="924" ht="15.75" customHeight="1" s="57"/>
    <row r="925" ht="15.75" customHeight="1" s="57"/>
    <row r="926" ht="15.75" customHeight="1" s="57"/>
    <row r="927" ht="15.75" customHeight="1" s="57"/>
    <row r="928" ht="15.75" customHeight="1" s="57"/>
    <row r="929" ht="15.75" customHeight="1" s="57"/>
    <row r="930" ht="15.75" customHeight="1" s="57"/>
    <row r="931" ht="15.75" customHeight="1" s="57"/>
    <row r="932" ht="15.75" customHeight="1" s="57"/>
    <row r="933" ht="15.75" customHeight="1" s="57"/>
    <row r="934" ht="15.75" customHeight="1" s="57"/>
    <row r="935" ht="15.75" customHeight="1" s="57"/>
    <row r="936" ht="15.75" customHeight="1" s="57"/>
    <row r="937" ht="15.75" customHeight="1" s="57"/>
    <row r="938" ht="15.75" customHeight="1" s="57"/>
    <row r="939" ht="15.75" customHeight="1" s="57"/>
    <row r="940" ht="15.75" customHeight="1" s="57"/>
    <row r="941" ht="15.75" customHeight="1" s="57"/>
    <row r="942" ht="15.75" customHeight="1" s="57"/>
    <row r="943" ht="15.75" customHeight="1" s="57"/>
    <row r="944" ht="15.75" customHeight="1" s="57"/>
    <row r="945" ht="15.75" customHeight="1" s="57"/>
    <row r="946" ht="15.75" customHeight="1" s="57"/>
    <row r="947" ht="15.75" customHeight="1" s="57"/>
    <row r="948" ht="15.75" customHeight="1" s="57"/>
    <row r="949" ht="15.75" customHeight="1" s="57"/>
    <row r="950" ht="15.75" customHeight="1" s="57"/>
    <row r="951" ht="15.75" customHeight="1" s="57"/>
    <row r="952" ht="15.75" customHeight="1" s="57"/>
    <row r="953" ht="15.75" customHeight="1" s="57"/>
    <row r="954" ht="15.75" customHeight="1" s="57"/>
    <row r="955" ht="15.75" customHeight="1" s="57"/>
    <row r="956" ht="15.75" customHeight="1" s="57"/>
    <row r="957" ht="15.75" customHeight="1" s="57"/>
    <row r="958" ht="15.75" customHeight="1" s="57"/>
    <row r="959" ht="15.75" customHeight="1" s="57"/>
    <row r="960" ht="15.75" customHeight="1" s="57"/>
    <row r="961" ht="15.75" customHeight="1" s="57"/>
    <row r="962" ht="15.75" customHeight="1" s="57"/>
    <row r="963" ht="15.75" customHeight="1" s="57"/>
    <row r="964" ht="15.75" customHeight="1" s="57"/>
    <row r="965" ht="15.75" customHeight="1" s="57"/>
    <row r="966" ht="15.75" customHeight="1" s="57"/>
    <row r="967" ht="15.75" customHeight="1" s="57"/>
    <row r="968" ht="15.75" customHeight="1" s="57"/>
    <row r="969" ht="15.75" customHeight="1" s="57"/>
    <row r="970" ht="15.75" customHeight="1" s="57"/>
    <row r="971" ht="15.75" customHeight="1" s="57"/>
    <row r="972" ht="15.75" customHeight="1" s="57"/>
    <row r="973" ht="15.75" customHeight="1" s="57"/>
    <row r="974" ht="15.75" customHeight="1" s="57"/>
    <row r="975" ht="15.75" customHeight="1" s="57"/>
    <row r="976" ht="15.75" customHeight="1" s="57"/>
    <row r="977" ht="15.75" customHeight="1" s="57"/>
    <row r="978" ht="15.75" customHeight="1" s="57"/>
    <row r="979" ht="15.75" customHeight="1" s="57"/>
    <row r="980" ht="15.75" customHeight="1" s="57"/>
    <row r="981" ht="15.75" customHeight="1" s="57"/>
    <row r="982" ht="15.75" customHeight="1" s="57"/>
    <row r="983" ht="15.75" customHeight="1" s="57"/>
    <row r="984" ht="15.75" customHeight="1" s="57"/>
    <row r="985" ht="15.75" customHeight="1" s="57"/>
    <row r="986" ht="15.75" customHeight="1" s="57"/>
    <row r="987" ht="15.75" customHeight="1" s="57"/>
    <row r="988" ht="15.75" customHeight="1" s="57"/>
    <row r="989" ht="15.75" customHeight="1" s="57"/>
    <row r="990" ht="15.75" customHeight="1" s="57"/>
    <row r="991" ht="15.75" customHeight="1" s="57"/>
    <row r="992" ht="15.75" customHeight="1" s="57"/>
    <row r="993" ht="15.75" customHeight="1" s="57"/>
    <row r="994" ht="15.75" customHeight="1" s="57"/>
    <row r="995" ht="15.75" customHeight="1" s="57"/>
    <row r="996" ht="15.75" customHeight="1" s="57"/>
    <row r="997" ht="15.75" customHeight="1" s="57"/>
    <row r="998" ht="15.75" customHeight="1" s="57"/>
    <row r="999" ht="15.75" customHeight="1" s="57"/>
    <row r="1000" ht="15.75" customHeight="1" s="57"/>
  </sheetData>
  <mergeCells count="2">
    <mergeCell ref="A2:G2"/>
    <mergeCell ref="A1:G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D31"/>
  <sheetViews>
    <sheetView showGridLines="0" workbookViewId="0">
      <pane ySplit="4" topLeftCell="A5" activePane="bottomLeft" state="frozen"/>
      <selection pane="bottomLeft" activeCell="B6" sqref="B6"/>
    </sheetView>
  </sheetViews>
  <sheetFormatPr baseColWidth="8" defaultColWidth="14.43" defaultRowHeight="15" customHeight="1"/>
  <cols>
    <col width="52" customWidth="1" style="57" min="1" max="1"/>
    <col width="34" customWidth="1" style="57" min="2" max="2"/>
    <col width="6" customWidth="1" style="57" min="3" max="3"/>
    <col width="40" customWidth="1" style="57" min="4" max="4"/>
    <col width="8.710000000000001" customWidth="1" style="57" min="5" max="26"/>
  </cols>
  <sheetData>
    <row r="1" ht="30" customHeight="1" s="57">
      <c r="A1" s="58" t="inlineStr">
        <is>
          <t>🔗 MAPEO DEL GOOGLE FORM EXISTENTE</t>
        </is>
      </c>
    </row>
    <row r="2">
      <c r="A2" s="3" t="inlineStr">
        <is>
          <t>Se configura desde la plataforma (Configuración ▸ Vincular formulario). Aquí queda el resultado.</t>
        </is>
      </c>
    </row>
    <row r="3"/>
    <row r="4">
      <c r="A4" s="31" t="inlineStr">
        <is>
          <t>PREGUNTA DEL FORMULARIO (título exacto)</t>
        </is>
      </c>
      <c r="B4" s="31" t="inlineStr">
        <is>
          <t>CAMPO DEL SISTEMA</t>
        </is>
      </c>
      <c r="D4" s="32" t="inlineStr">
        <is>
          <t>CAMPOS DISPONIBLES</t>
        </is>
      </c>
    </row>
    <row r="5">
      <c r="A5" s="7" t="inlineStr">
        <is>
          <t>Tipo de solicitud</t>
        </is>
      </c>
      <c r="B5" s="7" t="inlineStr">
        <is>
          <t>tipoPqrs</t>
        </is>
      </c>
      <c r="D5" s="34" t="inlineStr">
        <is>
          <t>(no importar)</t>
        </is>
      </c>
    </row>
    <row r="6">
      <c r="A6" s="7" t="inlineStr">
        <is>
          <t>Usted es:</t>
        </is>
      </c>
      <c r="B6" s="7" t="inlineStr">
        <is>
          <t>tipoSolicitante</t>
        </is>
      </c>
      <c r="D6" s="34" t="inlineStr">
        <is>
          <t>canal</t>
        </is>
      </c>
    </row>
    <row r="7">
      <c r="A7" s="7" t="inlineStr">
        <is>
          <t>Tipo de documento</t>
        </is>
      </c>
      <c r="B7" s="7" t="inlineStr">
        <is>
          <t>tipoDocSolicitante</t>
        </is>
      </c>
      <c r="D7" s="34" t="inlineStr">
        <is>
          <t>fechaPqrs</t>
        </is>
      </c>
    </row>
    <row r="8">
      <c r="A8" s="7" t="inlineStr">
        <is>
          <t>Número de identificación.</t>
        </is>
      </c>
      <c r="B8" s="7" t="inlineStr">
        <is>
          <t>numDocSolicitante</t>
        </is>
      </c>
      <c r="D8" s="34" t="inlineStr">
        <is>
          <t>fechaRecepcion</t>
        </is>
      </c>
    </row>
    <row r="9">
      <c r="A9" s="7" t="inlineStr">
        <is>
          <t>Nombre completo del paciente:</t>
        </is>
      </c>
      <c r="B9" s="7" t="inlineStr">
        <is>
          <t>nombreSolicitante</t>
        </is>
      </c>
      <c r="D9" s="34" t="inlineStr">
        <is>
          <t>tipoSolicitante</t>
        </is>
      </c>
    </row>
    <row r="10">
      <c r="A10" s="7" t="inlineStr">
        <is>
          <t>Edad</t>
        </is>
      </c>
      <c r="B10" s="7" t="inlineStr">
        <is>
          <t>edad</t>
        </is>
      </c>
      <c r="D10" s="34" t="inlineStr">
        <is>
          <t>tipoDocSolicitante</t>
        </is>
      </c>
    </row>
    <row r="11">
      <c r="A11" s="7" t="inlineStr">
        <is>
          <t>Sexo</t>
        </is>
      </c>
      <c r="B11" s="7" t="inlineStr">
        <is>
          <t>sexo</t>
        </is>
      </c>
      <c r="D11" s="34" t="inlineStr">
        <is>
          <t>numDocSolicitante</t>
        </is>
      </c>
    </row>
    <row r="12">
      <c r="A12" s="7" t="inlineStr">
        <is>
          <t>Número de teléfono</t>
        </is>
      </c>
      <c r="B12" s="7" t="inlineStr">
        <is>
          <t>telefono</t>
        </is>
      </c>
      <c r="D12" s="34" t="inlineStr">
        <is>
          <t>nombreSolicitante</t>
        </is>
      </c>
    </row>
    <row r="13">
      <c r="A13" s="7" t="inlineStr">
        <is>
          <t>Dirección.</t>
        </is>
      </c>
      <c r="B13" s="7" t="inlineStr">
        <is>
          <t>direccion</t>
        </is>
      </c>
      <c r="D13" s="34" t="inlineStr">
        <is>
          <t>telefono</t>
        </is>
      </c>
    </row>
    <row r="14">
      <c r="A14" s="7" t="inlineStr">
        <is>
          <t>Correo electrónico.</t>
        </is>
      </c>
      <c r="B14" s="7" t="inlineStr">
        <is>
          <t>correo</t>
        </is>
      </c>
      <c r="D14" s="34" t="inlineStr">
        <is>
          <t>correo</t>
        </is>
      </c>
    </row>
    <row r="15">
      <c r="A15" s="7" t="inlineStr">
        <is>
          <t>Población diferencial.</t>
        </is>
      </c>
      <c r="B15" s="7" t="inlineStr">
        <is>
          <t>poblacion</t>
        </is>
      </c>
      <c r="D15" s="34" t="inlineStr">
        <is>
          <t>direccion</t>
        </is>
      </c>
    </row>
    <row r="16">
      <c r="A16" s="7" t="inlineStr">
        <is>
          <t>Seleccione su EPS</t>
        </is>
      </c>
      <c r="B16" s="7" t="inlineStr">
        <is>
          <t>eps</t>
        </is>
      </c>
      <c r="D16" s="34" t="inlineStr">
        <is>
          <t>tipoDocAfiliado</t>
        </is>
      </c>
    </row>
    <row r="17">
      <c r="A17" s="7" t="inlineStr">
        <is>
          <t>Régimen.</t>
        </is>
      </c>
      <c r="B17" s="7" t="inlineStr">
        <is>
          <t>regimen</t>
        </is>
      </c>
      <c r="D17" s="34" t="inlineStr">
        <is>
          <t>numDocAfiliado</t>
        </is>
      </c>
    </row>
    <row r="18">
      <c r="A18" s="7" t="inlineStr">
        <is>
          <t>Indique la sede (CAMINO o PASO) donde recibió la atención.</t>
        </is>
      </c>
      <c r="B18" s="7" t="inlineStr">
        <is>
          <t>sede</t>
        </is>
      </c>
      <c r="D18" s="34" t="inlineStr">
        <is>
          <t>nombreAfiliado</t>
        </is>
      </c>
    </row>
    <row r="19">
      <c r="A19" s="7" t="inlineStr">
        <is>
          <t>Servicio o área a la que a vinculado su opinión.</t>
        </is>
      </c>
      <c r="B19" s="7" t="inlineStr">
        <is>
          <t>servicio</t>
        </is>
      </c>
      <c r="D19" s="34" t="inlineStr">
        <is>
          <t>edad</t>
        </is>
      </c>
    </row>
    <row r="20">
      <c r="A20" s="7" t="inlineStr">
        <is>
          <t>Describa su solicitud.</t>
        </is>
      </c>
      <c r="B20" s="7" t="inlineStr">
        <is>
          <t>descripcion</t>
        </is>
      </c>
      <c r="D20" s="34" t="inlineStr">
        <is>
          <t>sexo</t>
        </is>
      </c>
    </row>
    <row r="21" ht="15.75" customHeight="1" s="57">
      <c r="D21" s="34" t="inlineStr">
        <is>
          <t>poblacion</t>
        </is>
      </c>
    </row>
    <row r="22" ht="15.75" customHeight="1" s="57">
      <c r="D22" s="34" t="inlineStr">
        <is>
          <t>eps</t>
        </is>
      </c>
    </row>
    <row r="23" ht="15.75" customHeight="1" s="57">
      <c r="D23" s="34" t="inlineStr">
        <is>
          <t>regimen</t>
        </is>
      </c>
    </row>
    <row r="24" ht="15.75" customHeight="1" s="57">
      <c r="D24" s="34" t="inlineStr">
        <is>
          <t>sede</t>
        </is>
      </c>
    </row>
    <row r="25" ht="15.75" customHeight="1" s="57">
      <c r="D25" s="34" t="inlineStr">
        <is>
          <t>servicio</t>
        </is>
      </c>
    </row>
    <row r="26" ht="15.75" customHeight="1" s="57">
      <c r="D26" s="34" t="inlineStr">
        <is>
          <t>servicioEspecifico</t>
        </is>
      </c>
    </row>
    <row r="27" ht="15.75" customHeight="1" s="57">
      <c r="D27" s="34" t="inlineStr">
        <is>
          <t>modalidad</t>
        </is>
      </c>
    </row>
    <row r="28" ht="15.75" customHeight="1" s="57">
      <c r="D28" s="34" t="inlineStr">
        <is>
          <t>tipoPqrs</t>
        </is>
      </c>
    </row>
    <row r="29" ht="15.75" customHeight="1" s="57">
      <c r="D29" s="34" t="inlineStr">
        <is>
          <t>descripcion</t>
        </is>
      </c>
    </row>
    <row r="30" ht="15.75" customHeight="1" s="57">
      <c r="D30" s="34" t="inlineStr">
        <is>
          <t>entidad</t>
        </is>
      </c>
    </row>
    <row r="31" ht="15.75" customHeight="1" s="57">
      <c r="D31" s="34" t="inlineStr">
        <is>
          <t>observaciones</t>
        </is>
      </c>
    </row>
    <row r="32" ht="15.75" customHeight="1" s="57"/>
    <row r="33" ht="15.75" customHeight="1" s="57"/>
    <row r="34" ht="15.75" customHeight="1" s="57"/>
    <row r="35" ht="15.75" customHeight="1" s="57"/>
    <row r="36" ht="15.75" customHeight="1" s="57"/>
    <row r="37" ht="15.75" customHeight="1" s="57"/>
    <row r="38" ht="15.75" customHeight="1" s="57"/>
    <row r="39" ht="15.75" customHeight="1" s="57"/>
    <row r="40" ht="15.75" customHeight="1" s="57"/>
    <row r="41" ht="15.75" customHeight="1" s="57"/>
    <row r="42" ht="15.75" customHeight="1" s="57"/>
    <row r="43" ht="15.75" customHeight="1" s="57"/>
    <row r="44" ht="15.75" customHeight="1" s="57"/>
    <row r="45" ht="15.75" customHeight="1" s="57"/>
    <row r="46" ht="15.75" customHeight="1" s="57"/>
    <row r="47" ht="15.75" customHeight="1" s="57"/>
    <row r="48" ht="15.75" customHeight="1" s="57"/>
    <row r="49" ht="15.75" customHeight="1" s="57"/>
    <row r="50" ht="15.75" customHeight="1" s="57"/>
    <row r="51" ht="15.75" customHeight="1" s="57"/>
    <row r="52" ht="15.75" customHeight="1" s="57"/>
    <row r="53" ht="15.75" customHeight="1" s="57"/>
    <row r="54" ht="15.75" customHeight="1" s="57"/>
    <row r="55" ht="15.75" customHeight="1" s="57"/>
    <row r="56" ht="15.75" customHeight="1" s="57"/>
    <row r="57" ht="15.75" customHeight="1" s="57"/>
    <row r="58" ht="15.75" customHeight="1" s="57"/>
    <row r="59" ht="15.75" customHeight="1" s="57"/>
    <row r="60" ht="15.75" customHeight="1" s="57"/>
    <row r="61" ht="15.75" customHeight="1" s="57"/>
    <row r="62" ht="15.75" customHeight="1" s="57"/>
    <row r="63" ht="15.75" customHeight="1" s="57"/>
    <row r="64" ht="15.75" customHeight="1" s="57"/>
    <row r="65" ht="15.75" customHeight="1" s="57"/>
    <row r="66" ht="15.75" customHeight="1" s="57"/>
    <row r="67" ht="15.75" customHeight="1" s="57"/>
    <row r="68" ht="15.75" customHeight="1" s="57"/>
    <row r="69" ht="15.75" customHeight="1" s="57"/>
    <row r="70" ht="15.75" customHeight="1" s="57"/>
    <row r="71" ht="15.75" customHeight="1" s="57"/>
    <row r="72" ht="15.75" customHeight="1" s="57"/>
    <row r="73" ht="15.75" customHeight="1" s="57"/>
    <row r="74" ht="15.75" customHeight="1" s="57"/>
    <row r="75" ht="15.75" customHeight="1" s="57"/>
    <row r="76" ht="15.75" customHeight="1" s="57"/>
    <row r="77" ht="15.75" customHeight="1" s="57"/>
    <row r="78" ht="15.75" customHeight="1" s="57"/>
    <row r="79" ht="15.75" customHeight="1" s="57"/>
    <row r="80" ht="15.75" customHeight="1" s="57"/>
    <row r="81" ht="15.75" customHeight="1" s="57"/>
    <row r="82" ht="15.75" customHeight="1" s="57"/>
    <row r="83" ht="15.75" customHeight="1" s="57"/>
    <row r="84" ht="15.75" customHeight="1" s="57"/>
    <row r="85" ht="15.75" customHeight="1" s="57"/>
    <row r="86" ht="15.75" customHeight="1" s="57"/>
    <row r="87" ht="15.75" customHeight="1" s="57"/>
    <row r="88" ht="15.75" customHeight="1" s="57"/>
    <row r="89" ht="15.75" customHeight="1" s="57"/>
    <row r="90" ht="15.75" customHeight="1" s="57"/>
    <row r="91" ht="15.75" customHeight="1" s="57"/>
    <row r="92" ht="15.75" customHeight="1" s="57"/>
    <row r="93" ht="15.75" customHeight="1" s="57"/>
    <row r="94" ht="15.75" customHeight="1" s="57"/>
    <row r="95" ht="15.75" customHeight="1" s="57"/>
    <row r="96" ht="15.75" customHeight="1" s="57"/>
    <row r="97" ht="15.75" customHeight="1" s="57"/>
    <row r="98" ht="15.75" customHeight="1" s="57"/>
    <row r="99" ht="15.75" customHeight="1" s="57"/>
    <row r="100" ht="15.75" customHeight="1" s="57"/>
    <row r="101" ht="15.75" customHeight="1" s="57"/>
    <row r="102" ht="15.75" customHeight="1" s="57"/>
    <row r="103" ht="15.75" customHeight="1" s="57"/>
    <row r="104" ht="15.75" customHeight="1" s="57"/>
    <row r="105" ht="15.75" customHeight="1" s="57"/>
    <row r="106" ht="15.75" customHeight="1" s="57"/>
    <row r="107" ht="15.75" customHeight="1" s="57"/>
    <row r="108" ht="15.75" customHeight="1" s="57"/>
    <row r="109" ht="15.75" customHeight="1" s="57"/>
    <row r="110" ht="15.75" customHeight="1" s="57"/>
    <row r="111" ht="15.75" customHeight="1" s="57"/>
    <row r="112" ht="15.75" customHeight="1" s="57"/>
    <row r="113" ht="15.75" customHeight="1" s="57"/>
    <row r="114" ht="15.75" customHeight="1" s="57"/>
    <row r="115" ht="15.75" customHeight="1" s="57"/>
    <row r="116" ht="15.75" customHeight="1" s="57"/>
    <row r="117" ht="15.75" customHeight="1" s="57"/>
    <row r="118" ht="15.75" customHeight="1" s="57"/>
    <row r="119" ht="15.75" customHeight="1" s="57"/>
    <row r="120" ht="15.75" customHeight="1" s="57"/>
    <row r="121" ht="15.75" customHeight="1" s="57"/>
    <row r="122" ht="15.75" customHeight="1" s="57"/>
    <row r="123" ht="15.75" customHeight="1" s="57"/>
    <row r="124" ht="15.75" customHeight="1" s="57"/>
    <row r="125" ht="15.75" customHeight="1" s="57"/>
    <row r="126" ht="15.75" customHeight="1" s="57"/>
    <row r="127" ht="15.75" customHeight="1" s="57"/>
    <row r="128" ht="15.75" customHeight="1" s="57"/>
    <row r="129" ht="15.75" customHeight="1" s="57"/>
    <row r="130" ht="15.75" customHeight="1" s="57"/>
    <row r="131" ht="15.75" customHeight="1" s="57"/>
    <row r="132" ht="15.75" customHeight="1" s="57"/>
    <row r="133" ht="15.75" customHeight="1" s="57"/>
    <row r="134" ht="15.75" customHeight="1" s="57"/>
    <row r="135" ht="15.75" customHeight="1" s="57"/>
    <row r="136" ht="15.75" customHeight="1" s="57"/>
    <row r="137" ht="15.75" customHeight="1" s="57"/>
    <row r="138" ht="15.75" customHeight="1" s="57"/>
    <row r="139" ht="15.75" customHeight="1" s="57"/>
    <row r="140" ht="15.75" customHeight="1" s="57"/>
    <row r="141" ht="15.75" customHeight="1" s="57"/>
    <row r="142" ht="15.75" customHeight="1" s="57"/>
    <row r="143" ht="15.75" customHeight="1" s="57"/>
    <row r="144" ht="15.75" customHeight="1" s="57"/>
    <row r="145" ht="15.75" customHeight="1" s="57"/>
    <row r="146" ht="15.75" customHeight="1" s="57"/>
    <row r="147" ht="15.75" customHeight="1" s="57"/>
    <row r="148" ht="15.75" customHeight="1" s="57"/>
    <row r="149" ht="15.75" customHeight="1" s="57"/>
    <row r="150" ht="15.75" customHeight="1" s="57"/>
    <row r="151" ht="15.75" customHeight="1" s="57"/>
    <row r="152" ht="15.75" customHeight="1" s="57"/>
    <row r="153" ht="15.75" customHeight="1" s="57"/>
    <row r="154" ht="15.75" customHeight="1" s="57"/>
    <row r="155" ht="15.75" customHeight="1" s="57"/>
    <row r="156" ht="15.75" customHeight="1" s="57"/>
    <row r="157" ht="15.75" customHeight="1" s="57"/>
    <row r="158" ht="15.75" customHeight="1" s="57"/>
    <row r="159" ht="15.75" customHeight="1" s="57"/>
    <row r="160" ht="15.75" customHeight="1" s="57"/>
    <row r="161" ht="15.75" customHeight="1" s="57"/>
    <row r="162" ht="15.75" customHeight="1" s="57"/>
    <row r="163" ht="15.75" customHeight="1" s="57"/>
    <row r="164" ht="15.75" customHeight="1" s="57"/>
    <row r="165" ht="15.75" customHeight="1" s="57"/>
    <row r="166" ht="15.75" customHeight="1" s="57"/>
    <row r="167" ht="15.75" customHeight="1" s="57"/>
    <row r="168" ht="15.75" customHeight="1" s="57"/>
    <row r="169" ht="15.75" customHeight="1" s="57"/>
    <row r="170" ht="15.75" customHeight="1" s="57"/>
    <row r="171" ht="15.75" customHeight="1" s="57"/>
    <row r="172" ht="15.75" customHeight="1" s="57"/>
    <row r="173" ht="15.75" customHeight="1" s="57"/>
    <row r="174" ht="15.75" customHeight="1" s="57"/>
    <row r="175" ht="15.75" customHeight="1" s="57"/>
    <row r="176" ht="15.75" customHeight="1" s="57"/>
    <row r="177" ht="15.75" customHeight="1" s="57"/>
    <row r="178" ht="15.75" customHeight="1" s="57"/>
    <row r="179" ht="15.75" customHeight="1" s="57"/>
    <row r="180" ht="15.75" customHeight="1" s="57"/>
    <row r="181" ht="15.75" customHeight="1" s="57"/>
    <row r="182" ht="15.75" customHeight="1" s="57"/>
    <row r="183" ht="15.75" customHeight="1" s="57"/>
    <row r="184" ht="15.75" customHeight="1" s="57"/>
    <row r="185" ht="15.75" customHeight="1" s="57"/>
    <row r="186" ht="15.75" customHeight="1" s="57"/>
    <row r="187" ht="15.75" customHeight="1" s="57"/>
    <row r="188" ht="15.75" customHeight="1" s="57"/>
    <row r="189" ht="15.75" customHeight="1" s="57"/>
    <row r="190" ht="15.75" customHeight="1" s="57"/>
    <row r="191" ht="15.75" customHeight="1" s="57"/>
    <row r="192" ht="15.75" customHeight="1" s="57"/>
    <row r="193" ht="15.75" customHeight="1" s="57"/>
    <row r="194" ht="15.75" customHeight="1" s="57"/>
    <row r="195" ht="15.75" customHeight="1" s="57"/>
    <row r="196" ht="15.75" customHeight="1" s="57"/>
    <row r="197" ht="15.75" customHeight="1" s="57"/>
    <row r="198" ht="15.75" customHeight="1" s="57"/>
    <row r="199" ht="15.75" customHeight="1" s="57"/>
    <row r="200" ht="15.75" customHeight="1" s="57"/>
    <row r="201" ht="15.75" customHeight="1" s="57"/>
    <row r="202" ht="15.75" customHeight="1" s="57"/>
    <row r="203" ht="15.75" customHeight="1" s="57"/>
    <row r="204" ht="15.75" customHeight="1" s="57"/>
    <row r="205" ht="15.75" customHeight="1" s="57"/>
    <row r="206" ht="15.75" customHeight="1" s="57"/>
    <row r="207" ht="15.75" customHeight="1" s="57"/>
    <row r="208" ht="15.75" customHeight="1" s="57"/>
    <row r="209" ht="15.75" customHeight="1" s="57"/>
    <row r="210" ht="15.75" customHeight="1" s="57"/>
    <row r="211" ht="15.75" customHeight="1" s="57"/>
    <row r="212" ht="15.75" customHeight="1" s="57"/>
    <row r="213" ht="15.75" customHeight="1" s="57"/>
    <row r="214" ht="15.75" customHeight="1" s="57"/>
    <row r="215" ht="15.75" customHeight="1" s="57"/>
    <row r="216" ht="15.75" customHeight="1" s="57"/>
    <row r="217" ht="15.75" customHeight="1" s="57"/>
    <row r="218" ht="15.75" customHeight="1" s="57"/>
    <row r="219" ht="15.75" customHeight="1" s="57"/>
    <row r="220" ht="15.75" customHeight="1" s="57"/>
    <row r="221" ht="15.75" customHeight="1" s="57"/>
    <row r="222" ht="15.75" customHeight="1" s="57"/>
    <row r="223" ht="15.75" customHeight="1" s="57"/>
    <row r="224" ht="15.75" customHeight="1" s="57"/>
    <row r="225" ht="15.75" customHeight="1" s="57"/>
    <row r="226" ht="15.75" customHeight="1" s="57"/>
    <row r="227" ht="15.75" customHeight="1" s="57"/>
    <row r="228" ht="15.75" customHeight="1" s="57"/>
    <row r="229" ht="15.75" customHeight="1" s="57"/>
    <row r="230" ht="15.75" customHeight="1" s="57"/>
    <row r="231" ht="15.75" customHeight="1" s="57"/>
    <row r="232" ht="15.75" customHeight="1" s="57"/>
    <row r="233" ht="15.75" customHeight="1" s="57"/>
    <row r="234" ht="15.75" customHeight="1" s="57"/>
    <row r="235" ht="15.75" customHeight="1" s="57"/>
    <row r="236" ht="15.75" customHeight="1" s="57"/>
    <row r="237" ht="15.75" customHeight="1" s="57"/>
    <row r="238" ht="15.75" customHeight="1" s="57"/>
    <row r="239" ht="15.75" customHeight="1" s="57"/>
    <row r="240" ht="15.75" customHeight="1" s="57"/>
    <row r="241" ht="15.75" customHeight="1" s="57"/>
    <row r="242" ht="15.75" customHeight="1" s="57"/>
    <row r="243" ht="15.75" customHeight="1" s="57"/>
    <row r="244" ht="15.75" customHeight="1" s="57"/>
    <row r="245" ht="15.75" customHeight="1" s="57"/>
    <row r="246" ht="15.75" customHeight="1" s="57"/>
    <row r="247" ht="15.75" customHeight="1" s="57"/>
    <row r="248" ht="15.75" customHeight="1" s="57"/>
    <row r="249" ht="15.75" customHeight="1" s="57"/>
    <row r="250" ht="15.75" customHeight="1" s="57"/>
    <row r="251" ht="15.75" customHeight="1" s="57"/>
    <row r="252" ht="15.75" customHeight="1" s="57"/>
    <row r="253" ht="15.75" customHeight="1" s="57"/>
    <row r="254" ht="15.75" customHeight="1" s="57"/>
    <row r="255" ht="15.75" customHeight="1" s="57"/>
    <row r="256" ht="15.75" customHeight="1" s="57"/>
    <row r="257" ht="15.75" customHeight="1" s="57"/>
    <row r="258" ht="15.75" customHeight="1" s="57"/>
    <row r="259" ht="15.75" customHeight="1" s="57"/>
    <row r="260" ht="15.75" customHeight="1" s="57"/>
    <row r="261" ht="15.75" customHeight="1" s="57"/>
    <row r="262" ht="15.75" customHeight="1" s="57"/>
    <row r="263" ht="15.75" customHeight="1" s="57"/>
    <row r="264" ht="15.75" customHeight="1" s="57"/>
    <row r="265" ht="15.75" customHeight="1" s="57"/>
    <row r="266" ht="15.75" customHeight="1" s="57"/>
    <row r="267" ht="15.75" customHeight="1" s="57"/>
    <row r="268" ht="15.75" customHeight="1" s="57"/>
    <row r="269" ht="15.75" customHeight="1" s="57"/>
    <row r="270" ht="15.75" customHeight="1" s="57"/>
    <row r="271" ht="15.75" customHeight="1" s="57"/>
    <row r="272" ht="15.75" customHeight="1" s="57"/>
    <row r="273" ht="15.75" customHeight="1" s="57"/>
    <row r="274" ht="15.75" customHeight="1" s="57"/>
    <row r="275" ht="15.75" customHeight="1" s="57"/>
    <row r="276" ht="15.75" customHeight="1" s="57"/>
    <row r="277" ht="15.75" customHeight="1" s="57"/>
    <row r="278" ht="15.75" customHeight="1" s="57"/>
    <row r="279" ht="15.75" customHeight="1" s="57"/>
    <row r="280" ht="15.75" customHeight="1" s="57"/>
    <row r="281" ht="15.75" customHeight="1" s="57"/>
    <row r="282" ht="15.75" customHeight="1" s="57"/>
    <row r="283" ht="15.75" customHeight="1" s="57"/>
    <row r="284" ht="15.75" customHeight="1" s="57"/>
    <row r="285" ht="15.75" customHeight="1" s="57"/>
    <row r="286" ht="15.75" customHeight="1" s="57"/>
    <row r="287" ht="15.75" customHeight="1" s="57"/>
    <row r="288" ht="15.75" customHeight="1" s="57"/>
    <row r="289" ht="15.75" customHeight="1" s="57"/>
    <row r="290" ht="15.75" customHeight="1" s="57"/>
    <row r="291" ht="15.75" customHeight="1" s="57"/>
    <row r="292" ht="15.75" customHeight="1" s="57"/>
    <row r="293" ht="15.75" customHeight="1" s="57"/>
    <row r="294" ht="15.75" customHeight="1" s="57"/>
    <row r="295" ht="15.75" customHeight="1" s="57"/>
    <row r="296" ht="15.75" customHeight="1" s="57"/>
    <row r="297" ht="15.75" customHeight="1" s="57"/>
    <row r="298" ht="15.75" customHeight="1" s="57"/>
    <row r="299" ht="15.75" customHeight="1" s="57"/>
    <row r="300" ht="15.75" customHeight="1" s="57"/>
    <row r="301" ht="15.75" customHeight="1" s="57"/>
    <row r="302" ht="15.75" customHeight="1" s="57"/>
    <row r="303" ht="15.75" customHeight="1" s="57"/>
    <row r="304" ht="15.75" customHeight="1" s="57"/>
    <row r="305" ht="15.75" customHeight="1" s="57"/>
    <row r="306" ht="15.75" customHeight="1" s="57"/>
    <row r="307" ht="15.75" customHeight="1" s="57"/>
    <row r="308" ht="15.75" customHeight="1" s="57"/>
    <row r="309" ht="15.75" customHeight="1" s="57"/>
    <row r="310" ht="15.75" customHeight="1" s="57"/>
    <row r="311" ht="15.75" customHeight="1" s="57"/>
    <row r="312" ht="15.75" customHeight="1" s="57"/>
    <row r="313" ht="15.75" customHeight="1" s="57"/>
    <row r="314" ht="15.75" customHeight="1" s="57"/>
    <row r="315" ht="15.75" customHeight="1" s="57"/>
    <row r="316" ht="15.75" customHeight="1" s="57"/>
    <row r="317" ht="15.75" customHeight="1" s="57"/>
    <row r="318" ht="15.75" customHeight="1" s="57"/>
    <row r="319" ht="15.75" customHeight="1" s="57"/>
    <row r="320" ht="15.75" customHeight="1" s="57"/>
    <row r="321" ht="15.75" customHeight="1" s="57"/>
    <row r="322" ht="15.75" customHeight="1" s="57"/>
    <row r="323" ht="15.75" customHeight="1" s="57"/>
    <row r="324" ht="15.75" customHeight="1" s="57"/>
    <row r="325" ht="15.75" customHeight="1" s="57"/>
    <row r="326" ht="15.75" customHeight="1" s="57"/>
    <row r="327" ht="15.75" customHeight="1" s="57"/>
    <row r="328" ht="15.75" customHeight="1" s="57"/>
    <row r="329" ht="15.75" customHeight="1" s="57"/>
    <row r="330" ht="15.75" customHeight="1" s="57"/>
    <row r="331" ht="15.75" customHeight="1" s="57"/>
    <row r="332" ht="15.75" customHeight="1" s="57"/>
    <row r="333" ht="15.75" customHeight="1" s="57"/>
    <row r="334" ht="15.75" customHeight="1" s="57"/>
    <row r="335" ht="15.75" customHeight="1" s="57"/>
    <row r="336" ht="15.75" customHeight="1" s="57"/>
    <row r="337" ht="15.75" customHeight="1" s="57"/>
    <row r="338" ht="15.75" customHeight="1" s="57"/>
    <row r="339" ht="15.75" customHeight="1" s="57"/>
    <row r="340" ht="15.75" customHeight="1" s="57"/>
    <row r="341" ht="15.75" customHeight="1" s="57"/>
    <row r="342" ht="15.75" customHeight="1" s="57"/>
    <row r="343" ht="15.75" customHeight="1" s="57"/>
    <row r="344" ht="15.75" customHeight="1" s="57"/>
    <row r="345" ht="15.75" customHeight="1" s="57"/>
    <row r="346" ht="15.75" customHeight="1" s="57"/>
    <row r="347" ht="15.75" customHeight="1" s="57"/>
    <row r="348" ht="15.75" customHeight="1" s="57"/>
    <row r="349" ht="15.75" customHeight="1" s="57"/>
    <row r="350" ht="15.75" customHeight="1" s="57"/>
    <row r="351" ht="15.75" customHeight="1" s="57"/>
    <row r="352" ht="15.75" customHeight="1" s="57"/>
    <row r="353" ht="15.75" customHeight="1" s="57"/>
    <row r="354" ht="15.75" customHeight="1" s="57"/>
    <row r="355" ht="15.75" customHeight="1" s="57"/>
    <row r="356" ht="15.75" customHeight="1" s="57"/>
    <row r="357" ht="15.75" customHeight="1" s="57"/>
    <row r="358" ht="15.75" customHeight="1" s="57"/>
    <row r="359" ht="15.75" customHeight="1" s="57"/>
    <row r="360" ht="15.75" customHeight="1" s="57"/>
    <row r="361" ht="15.75" customHeight="1" s="57"/>
    <row r="362" ht="15.75" customHeight="1" s="57"/>
    <row r="363" ht="15.75" customHeight="1" s="57"/>
    <row r="364" ht="15.75" customHeight="1" s="57"/>
    <row r="365" ht="15.75" customHeight="1" s="57"/>
    <row r="366" ht="15.75" customHeight="1" s="57"/>
    <row r="367" ht="15.75" customHeight="1" s="57"/>
    <row r="368" ht="15.75" customHeight="1" s="57"/>
    <row r="369" ht="15.75" customHeight="1" s="57"/>
    <row r="370" ht="15.75" customHeight="1" s="57"/>
    <row r="371" ht="15.75" customHeight="1" s="57"/>
    <row r="372" ht="15.75" customHeight="1" s="57"/>
    <row r="373" ht="15.75" customHeight="1" s="57"/>
    <row r="374" ht="15.75" customHeight="1" s="57"/>
    <row r="375" ht="15.75" customHeight="1" s="57"/>
    <row r="376" ht="15.75" customHeight="1" s="57"/>
    <row r="377" ht="15.75" customHeight="1" s="57"/>
    <row r="378" ht="15.75" customHeight="1" s="57"/>
    <row r="379" ht="15.75" customHeight="1" s="57"/>
    <row r="380" ht="15.75" customHeight="1" s="57"/>
    <row r="381" ht="15.75" customHeight="1" s="57"/>
    <row r="382" ht="15.75" customHeight="1" s="57"/>
    <row r="383" ht="15.75" customHeight="1" s="57"/>
    <row r="384" ht="15.75" customHeight="1" s="57"/>
    <row r="385" ht="15.75" customHeight="1" s="57"/>
    <row r="386" ht="15.75" customHeight="1" s="57"/>
    <row r="387" ht="15.75" customHeight="1" s="57"/>
    <row r="388" ht="15.75" customHeight="1" s="57"/>
    <row r="389" ht="15.75" customHeight="1" s="57"/>
    <row r="390" ht="15.75" customHeight="1" s="57"/>
    <row r="391" ht="15.75" customHeight="1" s="57"/>
    <row r="392" ht="15.75" customHeight="1" s="57"/>
    <row r="393" ht="15.75" customHeight="1" s="57"/>
    <row r="394" ht="15.75" customHeight="1" s="57"/>
    <row r="395" ht="15.75" customHeight="1" s="57"/>
    <row r="396" ht="15.75" customHeight="1" s="57"/>
    <row r="397" ht="15.75" customHeight="1" s="57"/>
    <row r="398" ht="15.75" customHeight="1" s="57"/>
    <row r="399" ht="15.75" customHeight="1" s="57"/>
    <row r="400" ht="15.75" customHeight="1" s="57"/>
    <row r="401" ht="15.75" customHeight="1" s="57"/>
    <row r="402" ht="15.75" customHeight="1" s="57"/>
    <row r="403" ht="15.75" customHeight="1" s="57"/>
    <row r="404" ht="15.75" customHeight="1" s="57"/>
    <row r="405" ht="15.75" customHeight="1" s="57"/>
    <row r="406" ht="15.75" customHeight="1" s="57"/>
    <row r="407" ht="15.75" customHeight="1" s="57"/>
    <row r="408" ht="15.75" customHeight="1" s="57"/>
    <row r="409" ht="15.75" customHeight="1" s="57"/>
    <row r="410" ht="15.75" customHeight="1" s="57"/>
    <row r="411" ht="15.75" customHeight="1" s="57"/>
    <row r="412" ht="15.75" customHeight="1" s="57"/>
    <row r="413" ht="15.75" customHeight="1" s="57"/>
    <row r="414" ht="15.75" customHeight="1" s="57"/>
    <row r="415" ht="15.75" customHeight="1" s="57"/>
    <row r="416" ht="15.75" customHeight="1" s="57"/>
    <row r="417" ht="15.75" customHeight="1" s="57"/>
    <row r="418" ht="15.75" customHeight="1" s="57"/>
    <row r="419" ht="15.75" customHeight="1" s="57"/>
    <row r="420" ht="15.75" customHeight="1" s="57"/>
    <row r="421" ht="15.75" customHeight="1" s="57"/>
    <row r="422" ht="15.75" customHeight="1" s="57"/>
    <row r="423" ht="15.75" customHeight="1" s="57"/>
    <row r="424" ht="15.75" customHeight="1" s="57"/>
    <row r="425" ht="15.75" customHeight="1" s="57"/>
    <row r="426" ht="15.75" customHeight="1" s="57"/>
    <row r="427" ht="15.75" customHeight="1" s="57"/>
    <row r="428" ht="15.75" customHeight="1" s="57"/>
    <row r="429" ht="15.75" customHeight="1" s="57"/>
    <row r="430" ht="15.75" customHeight="1" s="57"/>
    <row r="431" ht="15.75" customHeight="1" s="57"/>
    <row r="432" ht="15.75" customHeight="1" s="57"/>
    <row r="433" ht="15.75" customHeight="1" s="57"/>
    <row r="434" ht="15.75" customHeight="1" s="57"/>
    <row r="435" ht="15.75" customHeight="1" s="57"/>
    <row r="436" ht="15.75" customHeight="1" s="57"/>
    <row r="437" ht="15.75" customHeight="1" s="57"/>
    <row r="438" ht="15.75" customHeight="1" s="57"/>
    <row r="439" ht="15.75" customHeight="1" s="57"/>
    <row r="440" ht="15.75" customHeight="1" s="57"/>
    <row r="441" ht="15.75" customHeight="1" s="57"/>
    <row r="442" ht="15.75" customHeight="1" s="57"/>
    <row r="443" ht="15.75" customHeight="1" s="57"/>
    <row r="444" ht="15.75" customHeight="1" s="57"/>
    <row r="445" ht="15.75" customHeight="1" s="57"/>
    <row r="446" ht="15.75" customHeight="1" s="57"/>
    <row r="447" ht="15.75" customHeight="1" s="57"/>
    <row r="448" ht="15.75" customHeight="1" s="57"/>
    <row r="449" ht="15.75" customHeight="1" s="57"/>
    <row r="450" ht="15.75" customHeight="1" s="57"/>
    <row r="451" ht="15.75" customHeight="1" s="57"/>
    <row r="452" ht="15.75" customHeight="1" s="57"/>
    <row r="453" ht="15.75" customHeight="1" s="57"/>
    <row r="454" ht="15.75" customHeight="1" s="57"/>
    <row r="455" ht="15.75" customHeight="1" s="57"/>
    <row r="456" ht="15.75" customHeight="1" s="57"/>
    <row r="457" ht="15.75" customHeight="1" s="57"/>
    <row r="458" ht="15.75" customHeight="1" s="57"/>
    <row r="459" ht="15.75" customHeight="1" s="57"/>
    <row r="460" ht="15.75" customHeight="1" s="57"/>
    <row r="461" ht="15.75" customHeight="1" s="57"/>
    <row r="462" ht="15.75" customHeight="1" s="57"/>
    <row r="463" ht="15.75" customHeight="1" s="57"/>
    <row r="464" ht="15.75" customHeight="1" s="57"/>
    <row r="465" ht="15.75" customHeight="1" s="57"/>
    <row r="466" ht="15.75" customHeight="1" s="57"/>
    <row r="467" ht="15.75" customHeight="1" s="57"/>
    <row r="468" ht="15.75" customHeight="1" s="57"/>
    <row r="469" ht="15.75" customHeight="1" s="57"/>
    <row r="470" ht="15.75" customHeight="1" s="57"/>
    <row r="471" ht="15.75" customHeight="1" s="57"/>
    <row r="472" ht="15.75" customHeight="1" s="57"/>
    <row r="473" ht="15.75" customHeight="1" s="57"/>
    <row r="474" ht="15.75" customHeight="1" s="57"/>
    <row r="475" ht="15.75" customHeight="1" s="57"/>
    <row r="476" ht="15.75" customHeight="1" s="57"/>
    <row r="477" ht="15.75" customHeight="1" s="57"/>
    <row r="478" ht="15.75" customHeight="1" s="57"/>
    <row r="479" ht="15.75" customHeight="1" s="57"/>
    <row r="480" ht="15.75" customHeight="1" s="57"/>
    <row r="481" ht="15.75" customHeight="1" s="57"/>
    <row r="482" ht="15.75" customHeight="1" s="57"/>
    <row r="483" ht="15.75" customHeight="1" s="57"/>
    <row r="484" ht="15.75" customHeight="1" s="57"/>
    <row r="485" ht="15.75" customHeight="1" s="57"/>
    <row r="486" ht="15.75" customHeight="1" s="57"/>
    <row r="487" ht="15.75" customHeight="1" s="57"/>
    <row r="488" ht="15.75" customHeight="1" s="57"/>
    <row r="489" ht="15.75" customHeight="1" s="57"/>
    <row r="490" ht="15.75" customHeight="1" s="57"/>
    <row r="491" ht="15.75" customHeight="1" s="57"/>
    <row r="492" ht="15.75" customHeight="1" s="57"/>
    <row r="493" ht="15.75" customHeight="1" s="57"/>
    <row r="494" ht="15.75" customHeight="1" s="57"/>
    <row r="495" ht="15.75" customHeight="1" s="57"/>
    <row r="496" ht="15.75" customHeight="1" s="57"/>
    <row r="497" ht="15.75" customHeight="1" s="57"/>
    <row r="498" ht="15.75" customHeight="1" s="57"/>
    <row r="499" ht="15.75" customHeight="1" s="57"/>
    <row r="500" ht="15.75" customHeight="1" s="57"/>
    <row r="501" ht="15.75" customHeight="1" s="57"/>
    <row r="502" ht="15.75" customHeight="1" s="57"/>
    <row r="503" ht="15.75" customHeight="1" s="57"/>
    <row r="504" ht="15.75" customHeight="1" s="57"/>
    <row r="505" ht="15.75" customHeight="1" s="57"/>
    <row r="506" ht="15.75" customHeight="1" s="57"/>
    <row r="507" ht="15.75" customHeight="1" s="57"/>
    <row r="508" ht="15.75" customHeight="1" s="57"/>
    <row r="509" ht="15.75" customHeight="1" s="57"/>
    <row r="510" ht="15.75" customHeight="1" s="57"/>
    <row r="511" ht="15.75" customHeight="1" s="57"/>
    <row r="512" ht="15.75" customHeight="1" s="57"/>
    <row r="513" ht="15.75" customHeight="1" s="57"/>
    <row r="514" ht="15.75" customHeight="1" s="57"/>
    <row r="515" ht="15.75" customHeight="1" s="57"/>
    <row r="516" ht="15.75" customHeight="1" s="57"/>
    <row r="517" ht="15.75" customHeight="1" s="57"/>
    <row r="518" ht="15.75" customHeight="1" s="57"/>
    <row r="519" ht="15.75" customHeight="1" s="57"/>
    <row r="520" ht="15.75" customHeight="1" s="57"/>
    <row r="521" ht="15.75" customHeight="1" s="57"/>
    <row r="522" ht="15.75" customHeight="1" s="57"/>
    <row r="523" ht="15.75" customHeight="1" s="57"/>
    <row r="524" ht="15.75" customHeight="1" s="57"/>
    <row r="525" ht="15.75" customHeight="1" s="57"/>
    <row r="526" ht="15.75" customHeight="1" s="57"/>
    <row r="527" ht="15.75" customHeight="1" s="57"/>
    <row r="528" ht="15.75" customHeight="1" s="57"/>
    <row r="529" ht="15.75" customHeight="1" s="57"/>
    <row r="530" ht="15.75" customHeight="1" s="57"/>
    <row r="531" ht="15.75" customHeight="1" s="57"/>
    <row r="532" ht="15.75" customHeight="1" s="57"/>
    <row r="533" ht="15.75" customHeight="1" s="57"/>
    <row r="534" ht="15.75" customHeight="1" s="57"/>
    <row r="535" ht="15.75" customHeight="1" s="57"/>
    <row r="536" ht="15.75" customHeight="1" s="57"/>
    <row r="537" ht="15.75" customHeight="1" s="57"/>
    <row r="538" ht="15.75" customHeight="1" s="57"/>
    <row r="539" ht="15.75" customHeight="1" s="57"/>
    <row r="540" ht="15.75" customHeight="1" s="57"/>
    <row r="541" ht="15.75" customHeight="1" s="57"/>
    <row r="542" ht="15.75" customHeight="1" s="57"/>
    <row r="543" ht="15.75" customHeight="1" s="57"/>
    <row r="544" ht="15.75" customHeight="1" s="57"/>
    <row r="545" ht="15.75" customHeight="1" s="57"/>
    <row r="546" ht="15.75" customHeight="1" s="57"/>
    <row r="547" ht="15.75" customHeight="1" s="57"/>
    <row r="548" ht="15.75" customHeight="1" s="57"/>
    <row r="549" ht="15.75" customHeight="1" s="57"/>
    <row r="550" ht="15.75" customHeight="1" s="57"/>
    <row r="551" ht="15.75" customHeight="1" s="57"/>
    <row r="552" ht="15.75" customHeight="1" s="57"/>
    <row r="553" ht="15.75" customHeight="1" s="57"/>
    <row r="554" ht="15.75" customHeight="1" s="57"/>
    <row r="555" ht="15.75" customHeight="1" s="57"/>
    <row r="556" ht="15.75" customHeight="1" s="57"/>
    <row r="557" ht="15.75" customHeight="1" s="57"/>
    <row r="558" ht="15.75" customHeight="1" s="57"/>
    <row r="559" ht="15.75" customHeight="1" s="57"/>
    <row r="560" ht="15.75" customHeight="1" s="57"/>
    <row r="561" ht="15.75" customHeight="1" s="57"/>
    <row r="562" ht="15.75" customHeight="1" s="57"/>
    <row r="563" ht="15.75" customHeight="1" s="57"/>
    <row r="564" ht="15.75" customHeight="1" s="57"/>
    <row r="565" ht="15.75" customHeight="1" s="57"/>
    <row r="566" ht="15.75" customHeight="1" s="57"/>
    <row r="567" ht="15.75" customHeight="1" s="57"/>
    <row r="568" ht="15.75" customHeight="1" s="57"/>
    <row r="569" ht="15.75" customHeight="1" s="57"/>
    <row r="570" ht="15.75" customHeight="1" s="57"/>
    <row r="571" ht="15.75" customHeight="1" s="57"/>
    <row r="572" ht="15.75" customHeight="1" s="57"/>
    <row r="573" ht="15.75" customHeight="1" s="57"/>
    <row r="574" ht="15.75" customHeight="1" s="57"/>
    <row r="575" ht="15.75" customHeight="1" s="57"/>
    <row r="576" ht="15.75" customHeight="1" s="57"/>
    <row r="577" ht="15.75" customHeight="1" s="57"/>
    <row r="578" ht="15.75" customHeight="1" s="57"/>
    <row r="579" ht="15.75" customHeight="1" s="57"/>
    <row r="580" ht="15.75" customHeight="1" s="57"/>
    <row r="581" ht="15.75" customHeight="1" s="57"/>
    <row r="582" ht="15.75" customHeight="1" s="57"/>
    <row r="583" ht="15.75" customHeight="1" s="57"/>
    <row r="584" ht="15.75" customHeight="1" s="57"/>
    <row r="585" ht="15.75" customHeight="1" s="57"/>
    <row r="586" ht="15.75" customHeight="1" s="57"/>
    <row r="587" ht="15.75" customHeight="1" s="57"/>
    <row r="588" ht="15.75" customHeight="1" s="57"/>
    <row r="589" ht="15.75" customHeight="1" s="57"/>
    <row r="590" ht="15.75" customHeight="1" s="57"/>
    <row r="591" ht="15.75" customHeight="1" s="57"/>
    <row r="592" ht="15.75" customHeight="1" s="57"/>
    <row r="593" ht="15.75" customHeight="1" s="57"/>
    <row r="594" ht="15.75" customHeight="1" s="57"/>
    <row r="595" ht="15.75" customHeight="1" s="57"/>
    <row r="596" ht="15.75" customHeight="1" s="57"/>
    <row r="597" ht="15.75" customHeight="1" s="57"/>
    <row r="598" ht="15.75" customHeight="1" s="57"/>
    <row r="599" ht="15.75" customHeight="1" s="57"/>
    <row r="600" ht="15.75" customHeight="1" s="57"/>
    <row r="601" ht="15.75" customHeight="1" s="57"/>
    <row r="602" ht="15.75" customHeight="1" s="57"/>
    <row r="603" ht="15.75" customHeight="1" s="57"/>
    <row r="604" ht="15.75" customHeight="1" s="57"/>
    <row r="605" ht="15.75" customHeight="1" s="57"/>
    <row r="606" ht="15.75" customHeight="1" s="57"/>
    <row r="607" ht="15.75" customHeight="1" s="57"/>
    <row r="608" ht="15.75" customHeight="1" s="57"/>
    <row r="609" ht="15.75" customHeight="1" s="57"/>
    <row r="610" ht="15.75" customHeight="1" s="57"/>
    <row r="611" ht="15.75" customHeight="1" s="57"/>
    <row r="612" ht="15.75" customHeight="1" s="57"/>
    <row r="613" ht="15.75" customHeight="1" s="57"/>
    <row r="614" ht="15.75" customHeight="1" s="57"/>
    <row r="615" ht="15.75" customHeight="1" s="57"/>
    <row r="616" ht="15.75" customHeight="1" s="57"/>
    <row r="617" ht="15.75" customHeight="1" s="57"/>
    <row r="618" ht="15.75" customHeight="1" s="57"/>
    <row r="619" ht="15.75" customHeight="1" s="57"/>
    <row r="620" ht="15.75" customHeight="1" s="57"/>
    <row r="621" ht="15.75" customHeight="1" s="57"/>
    <row r="622" ht="15.75" customHeight="1" s="57"/>
    <row r="623" ht="15.75" customHeight="1" s="57"/>
    <row r="624" ht="15.75" customHeight="1" s="57"/>
    <row r="625" ht="15.75" customHeight="1" s="57"/>
    <row r="626" ht="15.75" customHeight="1" s="57"/>
    <row r="627" ht="15.75" customHeight="1" s="57"/>
    <row r="628" ht="15.75" customHeight="1" s="57"/>
    <row r="629" ht="15.75" customHeight="1" s="57"/>
    <row r="630" ht="15.75" customHeight="1" s="57"/>
    <row r="631" ht="15.75" customHeight="1" s="57"/>
    <row r="632" ht="15.75" customHeight="1" s="57"/>
    <row r="633" ht="15.75" customHeight="1" s="57"/>
    <row r="634" ht="15.75" customHeight="1" s="57"/>
    <row r="635" ht="15.75" customHeight="1" s="57"/>
    <row r="636" ht="15.75" customHeight="1" s="57"/>
    <row r="637" ht="15.75" customHeight="1" s="57"/>
    <row r="638" ht="15.75" customHeight="1" s="57"/>
    <row r="639" ht="15.75" customHeight="1" s="57"/>
    <row r="640" ht="15.75" customHeight="1" s="57"/>
    <row r="641" ht="15.75" customHeight="1" s="57"/>
    <row r="642" ht="15.75" customHeight="1" s="57"/>
    <row r="643" ht="15.75" customHeight="1" s="57"/>
    <row r="644" ht="15.75" customHeight="1" s="57"/>
    <row r="645" ht="15.75" customHeight="1" s="57"/>
    <row r="646" ht="15.75" customHeight="1" s="57"/>
    <row r="647" ht="15.75" customHeight="1" s="57"/>
    <row r="648" ht="15.75" customHeight="1" s="57"/>
    <row r="649" ht="15.75" customHeight="1" s="57"/>
    <row r="650" ht="15.75" customHeight="1" s="57"/>
    <row r="651" ht="15.75" customHeight="1" s="57"/>
    <row r="652" ht="15.75" customHeight="1" s="57"/>
    <row r="653" ht="15.75" customHeight="1" s="57"/>
    <row r="654" ht="15.75" customHeight="1" s="57"/>
    <row r="655" ht="15.75" customHeight="1" s="57"/>
    <row r="656" ht="15.75" customHeight="1" s="57"/>
    <row r="657" ht="15.75" customHeight="1" s="57"/>
    <row r="658" ht="15.75" customHeight="1" s="57"/>
    <row r="659" ht="15.75" customHeight="1" s="57"/>
    <row r="660" ht="15.75" customHeight="1" s="57"/>
    <row r="661" ht="15.75" customHeight="1" s="57"/>
    <row r="662" ht="15.75" customHeight="1" s="57"/>
    <row r="663" ht="15.75" customHeight="1" s="57"/>
    <row r="664" ht="15.75" customHeight="1" s="57"/>
    <row r="665" ht="15.75" customHeight="1" s="57"/>
    <row r="666" ht="15.75" customHeight="1" s="57"/>
    <row r="667" ht="15.75" customHeight="1" s="57"/>
    <row r="668" ht="15.75" customHeight="1" s="57"/>
    <row r="669" ht="15.75" customHeight="1" s="57"/>
    <row r="670" ht="15.75" customHeight="1" s="57"/>
    <row r="671" ht="15.75" customHeight="1" s="57"/>
    <row r="672" ht="15.75" customHeight="1" s="57"/>
    <row r="673" ht="15.75" customHeight="1" s="57"/>
    <row r="674" ht="15.75" customHeight="1" s="57"/>
    <row r="675" ht="15.75" customHeight="1" s="57"/>
    <row r="676" ht="15.75" customHeight="1" s="57"/>
    <row r="677" ht="15.75" customHeight="1" s="57"/>
    <row r="678" ht="15.75" customHeight="1" s="57"/>
    <row r="679" ht="15.75" customHeight="1" s="57"/>
    <row r="680" ht="15.75" customHeight="1" s="57"/>
    <row r="681" ht="15.75" customHeight="1" s="57"/>
    <row r="682" ht="15.75" customHeight="1" s="57"/>
    <row r="683" ht="15.75" customHeight="1" s="57"/>
    <row r="684" ht="15.75" customHeight="1" s="57"/>
    <row r="685" ht="15.75" customHeight="1" s="57"/>
    <row r="686" ht="15.75" customHeight="1" s="57"/>
    <row r="687" ht="15.75" customHeight="1" s="57"/>
    <row r="688" ht="15.75" customHeight="1" s="57"/>
    <row r="689" ht="15.75" customHeight="1" s="57"/>
    <row r="690" ht="15.75" customHeight="1" s="57"/>
    <row r="691" ht="15.75" customHeight="1" s="57"/>
    <row r="692" ht="15.75" customHeight="1" s="57"/>
    <row r="693" ht="15.75" customHeight="1" s="57"/>
    <row r="694" ht="15.75" customHeight="1" s="57"/>
    <row r="695" ht="15.75" customHeight="1" s="57"/>
    <row r="696" ht="15.75" customHeight="1" s="57"/>
    <row r="697" ht="15.75" customHeight="1" s="57"/>
    <row r="698" ht="15.75" customHeight="1" s="57"/>
    <row r="699" ht="15.75" customHeight="1" s="57"/>
    <row r="700" ht="15.75" customHeight="1" s="57"/>
    <row r="701" ht="15.75" customHeight="1" s="57"/>
    <row r="702" ht="15.75" customHeight="1" s="57"/>
    <row r="703" ht="15.75" customHeight="1" s="57"/>
    <row r="704" ht="15.75" customHeight="1" s="57"/>
    <row r="705" ht="15.75" customHeight="1" s="57"/>
    <row r="706" ht="15.75" customHeight="1" s="57"/>
    <row r="707" ht="15.75" customHeight="1" s="57"/>
    <row r="708" ht="15.75" customHeight="1" s="57"/>
    <row r="709" ht="15.75" customHeight="1" s="57"/>
    <row r="710" ht="15.75" customHeight="1" s="57"/>
    <row r="711" ht="15.75" customHeight="1" s="57"/>
    <row r="712" ht="15.75" customHeight="1" s="57"/>
    <row r="713" ht="15.75" customHeight="1" s="57"/>
    <row r="714" ht="15.75" customHeight="1" s="57"/>
    <row r="715" ht="15.75" customHeight="1" s="57"/>
    <row r="716" ht="15.75" customHeight="1" s="57"/>
    <row r="717" ht="15.75" customHeight="1" s="57"/>
    <row r="718" ht="15.75" customHeight="1" s="57"/>
    <row r="719" ht="15.75" customHeight="1" s="57"/>
    <row r="720" ht="15.75" customHeight="1" s="57"/>
    <row r="721" ht="15.75" customHeight="1" s="57"/>
    <row r="722" ht="15.75" customHeight="1" s="57"/>
    <row r="723" ht="15.75" customHeight="1" s="57"/>
    <row r="724" ht="15.75" customHeight="1" s="57"/>
    <row r="725" ht="15.75" customHeight="1" s="57"/>
    <row r="726" ht="15.75" customHeight="1" s="57"/>
    <row r="727" ht="15.75" customHeight="1" s="57"/>
    <row r="728" ht="15.75" customHeight="1" s="57"/>
    <row r="729" ht="15.75" customHeight="1" s="57"/>
    <row r="730" ht="15.75" customHeight="1" s="57"/>
    <row r="731" ht="15.75" customHeight="1" s="57"/>
    <row r="732" ht="15.75" customHeight="1" s="57"/>
    <row r="733" ht="15.75" customHeight="1" s="57"/>
    <row r="734" ht="15.75" customHeight="1" s="57"/>
    <row r="735" ht="15.75" customHeight="1" s="57"/>
    <row r="736" ht="15.75" customHeight="1" s="57"/>
    <row r="737" ht="15.75" customHeight="1" s="57"/>
    <row r="738" ht="15.75" customHeight="1" s="57"/>
    <row r="739" ht="15.75" customHeight="1" s="57"/>
    <row r="740" ht="15.75" customHeight="1" s="57"/>
    <row r="741" ht="15.75" customHeight="1" s="57"/>
    <row r="742" ht="15.75" customHeight="1" s="57"/>
    <row r="743" ht="15.75" customHeight="1" s="57"/>
    <row r="744" ht="15.75" customHeight="1" s="57"/>
    <row r="745" ht="15.75" customHeight="1" s="57"/>
    <row r="746" ht="15.75" customHeight="1" s="57"/>
    <row r="747" ht="15.75" customHeight="1" s="57"/>
    <row r="748" ht="15.75" customHeight="1" s="57"/>
    <row r="749" ht="15.75" customHeight="1" s="57"/>
    <row r="750" ht="15.75" customHeight="1" s="57"/>
    <row r="751" ht="15.75" customHeight="1" s="57"/>
    <row r="752" ht="15.75" customHeight="1" s="57"/>
    <row r="753" ht="15.75" customHeight="1" s="57"/>
    <row r="754" ht="15.75" customHeight="1" s="57"/>
    <row r="755" ht="15.75" customHeight="1" s="57"/>
    <row r="756" ht="15.75" customHeight="1" s="57"/>
    <row r="757" ht="15.75" customHeight="1" s="57"/>
    <row r="758" ht="15.75" customHeight="1" s="57"/>
    <row r="759" ht="15.75" customHeight="1" s="57"/>
    <row r="760" ht="15.75" customHeight="1" s="57"/>
    <row r="761" ht="15.75" customHeight="1" s="57"/>
    <row r="762" ht="15.75" customHeight="1" s="57"/>
    <row r="763" ht="15.75" customHeight="1" s="57"/>
    <row r="764" ht="15.75" customHeight="1" s="57"/>
    <row r="765" ht="15.75" customHeight="1" s="57"/>
    <row r="766" ht="15.75" customHeight="1" s="57"/>
    <row r="767" ht="15.75" customHeight="1" s="57"/>
    <row r="768" ht="15.75" customHeight="1" s="57"/>
    <row r="769" ht="15.75" customHeight="1" s="57"/>
    <row r="770" ht="15.75" customHeight="1" s="57"/>
    <row r="771" ht="15.75" customHeight="1" s="57"/>
    <row r="772" ht="15.75" customHeight="1" s="57"/>
    <row r="773" ht="15.75" customHeight="1" s="57"/>
    <row r="774" ht="15.75" customHeight="1" s="57"/>
    <row r="775" ht="15.75" customHeight="1" s="57"/>
    <row r="776" ht="15.75" customHeight="1" s="57"/>
    <row r="777" ht="15.75" customHeight="1" s="57"/>
    <row r="778" ht="15.75" customHeight="1" s="57"/>
    <row r="779" ht="15.75" customHeight="1" s="57"/>
    <row r="780" ht="15.75" customHeight="1" s="57"/>
    <row r="781" ht="15.75" customHeight="1" s="57"/>
    <row r="782" ht="15.75" customHeight="1" s="57"/>
    <row r="783" ht="15.75" customHeight="1" s="57"/>
    <row r="784" ht="15.75" customHeight="1" s="57"/>
    <row r="785" ht="15.75" customHeight="1" s="57"/>
    <row r="786" ht="15.75" customHeight="1" s="57"/>
    <row r="787" ht="15.75" customHeight="1" s="57"/>
    <row r="788" ht="15.75" customHeight="1" s="57"/>
    <row r="789" ht="15.75" customHeight="1" s="57"/>
    <row r="790" ht="15.75" customHeight="1" s="57"/>
    <row r="791" ht="15.75" customHeight="1" s="57"/>
    <row r="792" ht="15.75" customHeight="1" s="57"/>
    <row r="793" ht="15.75" customHeight="1" s="57"/>
    <row r="794" ht="15.75" customHeight="1" s="57"/>
    <row r="795" ht="15.75" customHeight="1" s="57"/>
    <row r="796" ht="15.75" customHeight="1" s="57"/>
    <row r="797" ht="15.75" customHeight="1" s="57"/>
    <row r="798" ht="15.75" customHeight="1" s="57"/>
    <row r="799" ht="15.75" customHeight="1" s="57"/>
    <row r="800" ht="15.75" customHeight="1" s="57"/>
    <row r="801" ht="15.75" customHeight="1" s="57"/>
    <row r="802" ht="15.75" customHeight="1" s="57"/>
    <row r="803" ht="15.75" customHeight="1" s="57"/>
    <row r="804" ht="15.75" customHeight="1" s="57"/>
    <row r="805" ht="15.75" customHeight="1" s="57"/>
    <row r="806" ht="15.75" customHeight="1" s="57"/>
    <row r="807" ht="15.75" customHeight="1" s="57"/>
    <row r="808" ht="15.75" customHeight="1" s="57"/>
    <row r="809" ht="15.75" customHeight="1" s="57"/>
    <row r="810" ht="15.75" customHeight="1" s="57"/>
    <row r="811" ht="15.75" customHeight="1" s="57"/>
    <row r="812" ht="15.75" customHeight="1" s="57"/>
    <row r="813" ht="15.75" customHeight="1" s="57"/>
    <row r="814" ht="15.75" customHeight="1" s="57"/>
    <row r="815" ht="15.75" customHeight="1" s="57"/>
    <row r="816" ht="15.75" customHeight="1" s="57"/>
    <row r="817" ht="15.75" customHeight="1" s="57"/>
    <row r="818" ht="15.75" customHeight="1" s="57"/>
    <row r="819" ht="15.75" customHeight="1" s="57"/>
    <row r="820" ht="15.75" customHeight="1" s="57"/>
    <row r="821" ht="15.75" customHeight="1" s="57"/>
    <row r="822" ht="15.75" customHeight="1" s="57"/>
    <row r="823" ht="15.75" customHeight="1" s="57"/>
    <row r="824" ht="15.75" customHeight="1" s="57"/>
    <row r="825" ht="15.75" customHeight="1" s="57"/>
    <row r="826" ht="15.75" customHeight="1" s="57"/>
    <row r="827" ht="15.75" customHeight="1" s="57"/>
    <row r="828" ht="15.75" customHeight="1" s="57"/>
    <row r="829" ht="15.75" customHeight="1" s="57"/>
    <row r="830" ht="15.75" customHeight="1" s="57"/>
    <row r="831" ht="15.75" customHeight="1" s="57"/>
    <row r="832" ht="15.75" customHeight="1" s="57"/>
    <row r="833" ht="15.75" customHeight="1" s="57"/>
    <row r="834" ht="15.75" customHeight="1" s="57"/>
    <row r="835" ht="15.75" customHeight="1" s="57"/>
    <row r="836" ht="15.75" customHeight="1" s="57"/>
    <row r="837" ht="15.75" customHeight="1" s="57"/>
    <row r="838" ht="15.75" customHeight="1" s="57"/>
    <row r="839" ht="15.75" customHeight="1" s="57"/>
    <row r="840" ht="15.75" customHeight="1" s="57"/>
    <row r="841" ht="15.75" customHeight="1" s="57"/>
    <row r="842" ht="15.75" customHeight="1" s="57"/>
    <row r="843" ht="15.75" customHeight="1" s="57"/>
    <row r="844" ht="15.75" customHeight="1" s="57"/>
    <row r="845" ht="15.75" customHeight="1" s="57"/>
    <row r="846" ht="15.75" customHeight="1" s="57"/>
    <row r="847" ht="15.75" customHeight="1" s="57"/>
    <row r="848" ht="15.75" customHeight="1" s="57"/>
    <row r="849" ht="15.75" customHeight="1" s="57"/>
    <row r="850" ht="15.75" customHeight="1" s="57"/>
    <row r="851" ht="15.75" customHeight="1" s="57"/>
    <row r="852" ht="15.75" customHeight="1" s="57"/>
    <row r="853" ht="15.75" customHeight="1" s="57"/>
    <row r="854" ht="15.75" customHeight="1" s="57"/>
    <row r="855" ht="15.75" customHeight="1" s="57"/>
    <row r="856" ht="15.75" customHeight="1" s="57"/>
    <row r="857" ht="15.75" customHeight="1" s="57"/>
    <row r="858" ht="15.75" customHeight="1" s="57"/>
    <row r="859" ht="15.75" customHeight="1" s="57"/>
    <row r="860" ht="15.75" customHeight="1" s="57"/>
    <row r="861" ht="15.75" customHeight="1" s="57"/>
    <row r="862" ht="15.75" customHeight="1" s="57"/>
    <row r="863" ht="15.75" customHeight="1" s="57"/>
    <row r="864" ht="15.75" customHeight="1" s="57"/>
    <row r="865" ht="15.75" customHeight="1" s="57"/>
    <row r="866" ht="15.75" customHeight="1" s="57"/>
    <row r="867" ht="15.75" customHeight="1" s="57"/>
    <row r="868" ht="15.75" customHeight="1" s="57"/>
    <row r="869" ht="15.75" customHeight="1" s="57"/>
    <row r="870" ht="15.75" customHeight="1" s="57"/>
    <row r="871" ht="15.75" customHeight="1" s="57"/>
    <row r="872" ht="15.75" customHeight="1" s="57"/>
    <row r="873" ht="15.75" customHeight="1" s="57"/>
    <row r="874" ht="15.75" customHeight="1" s="57"/>
    <row r="875" ht="15.75" customHeight="1" s="57"/>
    <row r="876" ht="15.75" customHeight="1" s="57"/>
    <row r="877" ht="15.75" customHeight="1" s="57"/>
    <row r="878" ht="15.75" customHeight="1" s="57"/>
    <row r="879" ht="15.75" customHeight="1" s="57"/>
    <row r="880" ht="15.75" customHeight="1" s="57"/>
    <row r="881" ht="15.75" customHeight="1" s="57"/>
    <row r="882" ht="15.75" customHeight="1" s="57"/>
    <row r="883" ht="15.75" customHeight="1" s="57"/>
    <row r="884" ht="15.75" customHeight="1" s="57"/>
    <row r="885" ht="15.75" customHeight="1" s="57"/>
    <row r="886" ht="15.75" customHeight="1" s="57"/>
    <row r="887" ht="15.75" customHeight="1" s="57"/>
    <row r="888" ht="15.75" customHeight="1" s="57"/>
    <row r="889" ht="15.75" customHeight="1" s="57"/>
    <row r="890" ht="15.75" customHeight="1" s="57"/>
    <row r="891" ht="15.75" customHeight="1" s="57"/>
    <row r="892" ht="15.75" customHeight="1" s="57"/>
    <row r="893" ht="15.75" customHeight="1" s="57"/>
    <row r="894" ht="15.75" customHeight="1" s="57"/>
    <row r="895" ht="15.75" customHeight="1" s="57"/>
    <row r="896" ht="15.75" customHeight="1" s="57"/>
    <row r="897" ht="15.75" customHeight="1" s="57"/>
    <row r="898" ht="15.75" customHeight="1" s="57"/>
    <row r="899" ht="15.75" customHeight="1" s="57"/>
    <row r="900" ht="15.75" customHeight="1" s="57"/>
    <row r="901" ht="15.75" customHeight="1" s="57"/>
    <row r="902" ht="15.75" customHeight="1" s="57"/>
    <row r="903" ht="15.75" customHeight="1" s="57"/>
    <row r="904" ht="15.75" customHeight="1" s="57"/>
    <row r="905" ht="15.75" customHeight="1" s="57"/>
    <row r="906" ht="15.75" customHeight="1" s="57"/>
    <row r="907" ht="15.75" customHeight="1" s="57"/>
    <row r="908" ht="15.75" customHeight="1" s="57"/>
    <row r="909" ht="15.75" customHeight="1" s="57"/>
    <row r="910" ht="15.75" customHeight="1" s="57"/>
    <row r="911" ht="15.75" customHeight="1" s="57"/>
    <row r="912" ht="15.75" customHeight="1" s="57"/>
    <row r="913" ht="15.75" customHeight="1" s="57"/>
    <row r="914" ht="15.75" customHeight="1" s="57"/>
    <row r="915" ht="15.75" customHeight="1" s="57"/>
    <row r="916" ht="15.75" customHeight="1" s="57"/>
    <row r="917" ht="15.75" customHeight="1" s="57"/>
    <row r="918" ht="15.75" customHeight="1" s="57"/>
    <row r="919" ht="15.75" customHeight="1" s="57"/>
    <row r="920" ht="15.75" customHeight="1" s="57"/>
    <row r="921" ht="15.75" customHeight="1" s="57"/>
    <row r="922" ht="15.75" customHeight="1" s="57"/>
    <row r="923" ht="15.75" customHeight="1" s="57"/>
    <row r="924" ht="15.75" customHeight="1" s="57"/>
    <row r="925" ht="15.75" customHeight="1" s="57"/>
    <row r="926" ht="15.75" customHeight="1" s="57"/>
    <row r="927" ht="15.75" customHeight="1" s="57"/>
    <row r="928" ht="15.75" customHeight="1" s="57"/>
    <row r="929" ht="15.75" customHeight="1" s="57"/>
    <row r="930" ht="15.75" customHeight="1" s="57"/>
    <row r="931" ht="15.75" customHeight="1" s="57"/>
    <row r="932" ht="15.75" customHeight="1" s="57"/>
    <row r="933" ht="15.75" customHeight="1" s="57"/>
    <row r="934" ht="15.75" customHeight="1" s="57"/>
    <row r="935" ht="15.75" customHeight="1" s="57"/>
    <row r="936" ht="15.75" customHeight="1" s="57"/>
    <row r="937" ht="15.75" customHeight="1" s="57"/>
    <row r="938" ht="15.75" customHeight="1" s="57"/>
    <row r="939" ht="15.75" customHeight="1" s="57"/>
    <row r="940" ht="15.75" customHeight="1" s="57"/>
    <row r="941" ht="15.75" customHeight="1" s="57"/>
    <row r="942" ht="15.75" customHeight="1" s="57"/>
    <row r="943" ht="15.75" customHeight="1" s="57"/>
    <row r="944" ht="15.75" customHeight="1" s="57"/>
    <row r="945" ht="15.75" customHeight="1" s="57"/>
    <row r="946" ht="15.75" customHeight="1" s="57"/>
    <row r="947" ht="15.75" customHeight="1" s="57"/>
    <row r="948" ht="15.75" customHeight="1" s="57"/>
    <row r="949" ht="15.75" customHeight="1" s="57"/>
    <row r="950" ht="15.75" customHeight="1" s="57"/>
    <row r="951" ht="15.75" customHeight="1" s="57"/>
    <row r="952" ht="15.75" customHeight="1" s="57"/>
    <row r="953" ht="15.75" customHeight="1" s="57"/>
    <row r="954" ht="15.75" customHeight="1" s="57"/>
    <row r="955" ht="15.75" customHeight="1" s="57"/>
    <row r="956" ht="15.75" customHeight="1" s="57"/>
    <row r="957" ht="15.75" customHeight="1" s="57"/>
    <row r="958" ht="15.75" customHeight="1" s="57"/>
    <row r="959" ht="15.75" customHeight="1" s="57"/>
    <row r="960" ht="15.75" customHeight="1" s="57"/>
    <row r="961" ht="15.75" customHeight="1" s="57"/>
    <row r="962" ht="15.75" customHeight="1" s="57"/>
    <row r="963" ht="15.75" customHeight="1" s="57"/>
    <row r="964" ht="15.75" customHeight="1" s="57"/>
    <row r="965" ht="15.75" customHeight="1" s="57"/>
    <row r="966" ht="15.75" customHeight="1" s="57"/>
    <row r="967" ht="15.75" customHeight="1" s="57"/>
    <row r="968" ht="15.75" customHeight="1" s="57"/>
    <row r="969" ht="15.75" customHeight="1" s="57"/>
    <row r="970" ht="15.75" customHeight="1" s="57"/>
    <row r="971" ht="15.75" customHeight="1" s="57"/>
    <row r="972" ht="15.75" customHeight="1" s="57"/>
    <row r="973" ht="15.75" customHeight="1" s="57"/>
    <row r="974" ht="15.75" customHeight="1" s="57"/>
    <row r="975" ht="15.75" customHeight="1" s="57"/>
    <row r="976" ht="15.75" customHeight="1" s="57"/>
    <row r="977" ht="15.75" customHeight="1" s="57"/>
    <row r="978" ht="15.75" customHeight="1" s="57"/>
    <row r="979" ht="15.75" customHeight="1" s="57"/>
    <row r="980" ht="15.75" customHeight="1" s="57"/>
    <row r="981" ht="15.75" customHeight="1" s="57"/>
    <row r="982" ht="15.75" customHeight="1" s="57"/>
    <row r="983" ht="15.75" customHeight="1" s="57"/>
    <row r="984" ht="15.75" customHeight="1" s="57"/>
    <row r="985" ht="15.75" customHeight="1" s="57"/>
    <row r="986" ht="15.75" customHeight="1" s="57"/>
    <row r="987" ht="15.75" customHeight="1" s="57"/>
    <row r="988" ht="15.75" customHeight="1" s="57"/>
    <row r="989" ht="15.75" customHeight="1" s="57"/>
    <row r="990" ht="15.75" customHeight="1" s="57"/>
    <row r="991" ht="15.75" customHeight="1" s="57"/>
    <row r="992" ht="15.75" customHeight="1" s="57"/>
    <row r="993" ht="15.75" customHeight="1" s="57"/>
    <row r="994" ht="15.75" customHeight="1" s="57"/>
    <row r="995" ht="15.75" customHeight="1" s="57"/>
    <row r="996" ht="15.75" customHeight="1" s="57"/>
    <row r="997" ht="15.75" customHeight="1" s="57"/>
    <row r="998" ht="15.75" customHeight="1" s="57"/>
    <row r="999" ht="15.75" customHeight="1" s="57"/>
    <row r="1000" ht="15.75" customHeight="1" s="57"/>
  </sheetData>
  <mergeCells count="2">
    <mergeCell ref="A1:D1"/>
    <mergeCell ref="A2:D2"/>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showGridLines="0" workbookViewId="0">
      <pane ySplit="3" topLeftCell="A4" activePane="bottomLeft" state="frozen"/>
      <selection pane="bottomLeft" activeCell="B5" sqref="B5"/>
    </sheetView>
  </sheetViews>
  <sheetFormatPr baseColWidth="8" defaultColWidth="14.43" defaultRowHeight="15" customHeight="1"/>
  <cols>
    <col width="41.57" customWidth="1" style="57" min="1" max="1"/>
    <col width="41.43" customWidth="1" style="57" min="2" max="2"/>
    <col width="58.29" customWidth="1" style="57" min="3" max="3"/>
    <col width="46" customWidth="1" style="57" min="4" max="4"/>
    <col width="13.71" customWidth="1" style="57" min="5" max="5"/>
    <col width="13" customWidth="1" style="57" min="6" max="6"/>
    <col width="41.14" customWidth="1" style="57" min="7" max="7"/>
    <col width="18.43" customWidth="1" style="57" min="8" max="8"/>
    <col width="26" customWidth="1" style="57" min="9" max="9"/>
    <col width="22" customWidth="1" style="57" min="10" max="10"/>
    <col width="16" customWidth="1" style="57" min="11" max="11"/>
    <col width="20" customWidth="1" style="57" min="12" max="13"/>
    <col width="33.43" customWidth="1" style="57" min="14" max="14"/>
    <col width="8.710000000000001" customWidth="1" style="57" min="15" max="26"/>
  </cols>
  <sheetData>
    <row r="1" ht="30" customHeight="1" s="57">
      <c r="A1" s="68" t="inlineStr">
        <is>
          <t>⚙ CONFIGURACIÓN DEL SISTEMA PQRS</t>
        </is>
      </c>
      <c r="O1" s="54" t="n"/>
      <c r="P1" s="54" t="n"/>
      <c r="Q1" s="54" t="n"/>
      <c r="R1" s="54" t="n"/>
      <c r="S1" s="54" t="n"/>
      <c r="T1" s="54" t="n"/>
      <c r="U1" s="54" t="n"/>
      <c r="V1" s="54" t="n"/>
      <c r="W1" s="54" t="n"/>
      <c r="X1" s="54" t="n"/>
      <c r="Y1" s="54" t="n"/>
      <c r="Z1" s="54" t="n"/>
    </row>
    <row r="2">
      <c r="A2" s="45" t="inlineStr">
        <is>
          <t>La plataforma lee estos rangos por posición: no muevas filas ni columnas.</t>
        </is>
      </c>
      <c r="O2" s="54" t="n"/>
      <c r="P2" s="54" t="n"/>
      <c r="Q2" s="54" t="n"/>
      <c r="R2" s="54" t="n"/>
      <c r="S2" s="54" t="n"/>
      <c r="T2" s="54" t="n"/>
      <c r="U2" s="54" t="n"/>
      <c r="V2" s="54" t="n"/>
      <c r="W2" s="54" t="n"/>
      <c r="X2" s="54" t="n"/>
      <c r="Y2" s="54" t="n"/>
      <c r="Z2" s="54" t="n"/>
    </row>
    <row r="3">
      <c r="A3" s="54" t="n"/>
      <c r="B3" s="54" t="n"/>
      <c r="C3" s="54" t="n"/>
      <c r="D3" s="54" t="n"/>
      <c r="E3" s="54" t="n"/>
      <c r="F3" s="54" t="n"/>
      <c r="G3" s="54" t="n"/>
      <c r="H3" s="54" t="n"/>
      <c r="I3" s="54" t="n"/>
      <c r="J3" s="54" t="n"/>
      <c r="K3" s="54" t="n"/>
      <c r="L3" s="54" t="n"/>
      <c r="M3" s="54" t="n"/>
      <c r="N3" s="54" t="n"/>
      <c r="O3" s="54" t="n"/>
      <c r="P3" s="54" t="n"/>
      <c r="Q3" s="54" t="n"/>
      <c r="R3" s="54" t="n"/>
      <c r="S3" s="54" t="n"/>
      <c r="T3" s="54" t="n"/>
      <c r="U3" s="54" t="n"/>
      <c r="V3" s="54" t="n"/>
      <c r="W3" s="54" t="n"/>
      <c r="X3" s="54" t="n"/>
      <c r="Y3" s="54" t="n"/>
      <c r="Z3" s="54" t="n"/>
    </row>
    <row r="4">
      <c r="A4" s="69" t="inlineStr">
        <is>
          <t>TÉRMINOS LEGALES DE RESPUESTA</t>
        </is>
      </c>
      <c r="E4" s="54" t="n"/>
      <c r="F4" s="69" t="inlineStr">
        <is>
          <t>FESTIVOS</t>
        </is>
      </c>
      <c r="H4" s="54" t="n"/>
      <c r="I4" s="54" t="n"/>
      <c r="J4" s="54" t="n"/>
      <c r="K4" s="54" t="n"/>
      <c r="L4" s="54" t="n"/>
      <c r="M4" s="54" t="n"/>
      <c r="N4" s="54" t="n"/>
      <c r="O4" s="54" t="n"/>
      <c r="P4" s="54" t="n"/>
      <c r="Q4" s="54" t="n"/>
      <c r="R4" s="54" t="n"/>
      <c r="S4" s="54" t="n"/>
      <c r="T4" s="54" t="n"/>
      <c r="U4" s="54" t="n"/>
      <c r="V4" s="54" t="n"/>
      <c r="W4" s="54" t="n"/>
      <c r="X4" s="54" t="n"/>
      <c r="Y4" s="54" t="n"/>
      <c r="Z4" s="54" t="n"/>
    </row>
    <row r="5">
      <c r="A5" s="47" t="inlineStr">
        <is>
          <t>ENTIDAD</t>
        </is>
      </c>
      <c r="B5" s="47" t="inlineStr">
        <is>
          <t>DÍAS</t>
        </is>
      </c>
      <c r="C5" s="47" t="inlineStr">
        <is>
          <t>TIPO DE DÍA</t>
        </is>
      </c>
      <c r="D5" s="47" t="inlineStr">
        <is>
          <t>NORMA</t>
        </is>
      </c>
      <c r="E5" s="54" t="n"/>
      <c r="F5" s="47" t="inlineStr">
        <is>
          <t>FECHA</t>
        </is>
      </c>
      <c r="G5" s="47" t="inlineStr">
        <is>
          <t>DESCRIPCIÓN</t>
        </is>
      </c>
      <c r="H5" s="54" t="n"/>
      <c r="I5" s="54" t="n"/>
      <c r="J5" s="54" t="n"/>
      <c r="K5" s="54" t="n"/>
      <c r="L5" s="54" t="n"/>
      <c r="M5" s="54" t="n"/>
      <c r="N5" s="54" t="n"/>
      <c r="O5" s="54" t="n"/>
      <c r="P5" s="54" t="n"/>
      <c r="Q5" s="54" t="n"/>
      <c r="R5" s="54" t="n"/>
      <c r="S5" s="54" t="n"/>
      <c r="T5" s="54" t="n"/>
      <c r="U5" s="54" t="n"/>
      <c r="V5" s="54" t="n"/>
      <c r="W5" s="54" t="n"/>
      <c r="X5" s="54" t="n"/>
      <c r="Y5" s="54" t="n"/>
      <c r="Z5" s="54" t="n"/>
    </row>
    <row r="6">
      <c r="A6" s="48" t="inlineStr">
        <is>
          <t>SEDE</t>
        </is>
      </c>
      <c r="B6" s="48" t="n">
        <v>15</v>
      </c>
      <c r="C6" s="48" t="inlineStr">
        <is>
          <t>Hábiles</t>
        </is>
      </c>
      <c r="D6" s="48" t="inlineStr">
        <is>
          <t>Ley 1755 de 2015 – Derecho de petición</t>
        </is>
      </c>
      <c r="E6" s="54" t="n"/>
      <c r="F6" s="49" t="n">
        <v>45658</v>
      </c>
      <c r="G6" s="41" t="inlineStr">
        <is>
          <t>Año Nuevo</t>
        </is>
      </c>
      <c r="H6" s="54" t="n"/>
      <c r="I6" s="54" t="n"/>
      <c r="J6" s="54" t="n"/>
      <c r="K6" s="54" t="n"/>
      <c r="L6" s="54" t="n"/>
      <c r="M6" s="54" t="n"/>
      <c r="N6" s="54" t="n"/>
      <c r="O6" s="54" t="n"/>
      <c r="P6" s="54" t="n"/>
      <c r="Q6" s="54" t="n"/>
      <c r="R6" s="54" t="n"/>
      <c r="S6" s="54" t="n"/>
      <c r="T6" s="54" t="n"/>
      <c r="U6" s="54" t="n"/>
      <c r="V6" s="54" t="n"/>
      <c r="W6" s="54" t="n"/>
      <c r="X6" s="54" t="n"/>
      <c r="Y6" s="54" t="n"/>
      <c r="Z6" s="54" t="n"/>
    </row>
    <row r="7">
      <c r="A7" s="48" t="inlineStr">
        <is>
          <t>SUPER SALUD</t>
        </is>
      </c>
      <c r="B7" s="48" t="n">
        <v>1</v>
      </c>
      <c r="C7" s="48" t="inlineStr">
        <is>
          <t>Calendario</t>
        </is>
      </c>
      <c r="D7" s="48" t="inlineStr">
        <is>
          <t>Circular SuperSalud – Prioritario/Vital (24 h)</t>
        </is>
      </c>
      <c r="E7" s="54" t="n"/>
      <c r="F7" s="49" t="n">
        <v>45663</v>
      </c>
      <c r="G7" s="41" t="inlineStr">
        <is>
          <t>Reyes</t>
        </is>
      </c>
      <c r="H7" s="54" t="n"/>
      <c r="I7" s="54" t="n"/>
      <c r="J7" s="54" t="n"/>
      <c r="K7" s="54" t="n"/>
      <c r="L7" s="54" t="n"/>
      <c r="M7" s="54" t="n"/>
      <c r="N7" s="54" t="n"/>
      <c r="O7" s="54" t="n"/>
      <c r="P7" s="54" t="n"/>
      <c r="Q7" s="54" t="n"/>
      <c r="R7" s="54" t="n"/>
      <c r="S7" s="54" t="n"/>
      <c r="T7" s="54" t="n"/>
      <c r="U7" s="54" t="n"/>
      <c r="V7" s="54" t="n"/>
      <c r="W7" s="54" t="n"/>
      <c r="X7" s="54" t="n"/>
      <c r="Y7" s="54" t="n"/>
      <c r="Z7" s="54" t="n"/>
    </row>
    <row r="8">
      <c r="A8" s="48" t="inlineStr">
        <is>
          <t>SECRETARIA DE SALUD</t>
        </is>
      </c>
      <c r="B8" s="48" t="n">
        <v>3</v>
      </c>
      <c r="C8" s="48" t="inlineStr">
        <is>
          <t>Calendario</t>
        </is>
      </c>
      <c r="D8" s="48" t="inlineStr">
        <is>
          <t>Ley 1438 de 2011 – Ente territorial (72 h)</t>
        </is>
      </c>
      <c r="E8" s="54" t="n"/>
      <c r="F8" s="49" t="n">
        <v>45740</v>
      </c>
      <c r="G8" s="41" t="inlineStr">
        <is>
          <t>San José</t>
        </is>
      </c>
      <c r="H8" s="54" t="n"/>
      <c r="I8" s="54" t="n"/>
      <c r="J8" s="54" t="n"/>
      <c r="K8" s="54" t="n"/>
      <c r="L8" s="54" t="n"/>
      <c r="M8" s="54" t="n"/>
      <c r="N8" s="54" t="n"/>
      <c r="O8" s="54" t="n"/>
      <c r="P8" s="54" t="n"/>
      <c r="Q8" s="54" t="n"/>
      <c r="R8" s="54" t="n"/>
      <c r="S8" s="54" t="n"/>
      <c r="T8" s="54" t="n"/>
      <c r="U8" s="54" t="n"/>
      <c r="V8" s="54" t="n"/>
      <c r="W8" s="54" t="n"/>
      <c r="X8" s="54" t="n"/>
      <c r="Y8" s="54" t="n"/>
      <c r="Z8" s="54" t="n"/>
    </row>
    <row r="9">
      <c r="A9" s="54" t="n"/>
      <c r="B9" s="54" t="n"/>
      <c r="C9" s="54" t="n"/>
      <c r="D9" s="54" t="n"/>
      <c r="E9" s="54" t="n"/>
      <c r="F9" s="49" t="n">
        <v>45764</v>
      </c>
      <c r="G9" s="41" t="inlineStr">
        <is>
          <t>Jueves Santo</t>
        </is>
      </c>
      <c r="H9" s="54" t="n"/>
      <c r="I9" s="54" t="n"/>
      <c r="J9" s="54" t="n"/>
      <c r="K9" s="54" t="n"/>
      <c r="L9" s="54" t="n"/>
      <c r="M9" s="54" t="n"/>
      <c r="N9" s="54" t="n"/>
      <c r="O9" s="54" t="n"/>
      <c r="P9" s="54" t="n"/>
      <c r="Q9" s="54" t="n"/>
      <c r="R9" s="54" t="n"/>
      <c r="S9" s="54" t="n"/>
      <c r="T9" s="54" t="n"/>
      <c r="U9" s="54" t="n"/>
      <c r="V9" s="54" t="n"/>
      <c r="W9" s="54" t="n"/>
      <c r="X9" s="54" t="n"/>
      <c r="Y9" s="54" t="n"/>
      <c r="Z9" s="54" t="n"/>
    </row>
    <row r="10">
      <c r="A10" s="69" t="inlineStr">
        <is>
          <t>PARÁMETROS</t>
        </is>
      </c>
      <c r="C10" s="54" t="n"/>
      <c r="D10" s="54" t="n"/>
      <c r="E10" s="54" t="n"/>
      <c r="F10" s="49" t="n">
        <v>45765</v>
      </c>
      <c r="G10" s="41" t="inlineStr">
        <is>
          <t>Viernes Santo</t>
        </is>
      </c>
      <c r="H10" s="54" t="n"/>
      <c r="I10" s="54" t="n"/>
      <c r="J10" s="54" t="n"/>
      <c r="K10" s="54" t="n"/>
      <c r="L10" s="54" t="n"/>
      <c r="M10" s="54" t="n"/>
      <c r="N10" s="54" t="n"/>
      <c r="O10" s="54" t="n"/>
      <c r="P10" s="54" t="n"/>
      <c r="Q10" s="54" t="n"/>
      <c r="R10" s="54" t="n"/>
      <c r="S10" s="54" t="n"/>
      <c r="T10" s="54" t="n"/>
      <c r="U10" s="54" t="n"/>
      <c r="V10" s="54" t="n"/>
      <c r="W10" s="54" t="n"/>
      <c r="X10" s="54" t="n"/>
      <c r="Y10" s="54" t="n"/>
      <c r="Z10" s="54" t="n"/>
    </row>
    <row r="11">
      <c r="A11" s="50" t="inlineStr">
        <is>
          <t>Base de consecutivo histórico</t>
        </is>
      </c>
      <c r="B11" s="52" t="n">
        <v>3174</v>
      </c>
      <c r="C11" s="54" t="n"/>
      <c r="D11" s="54" t="n"/>
      <c r="E11" s="54" t="n"/>
      <c r="F11" s="49" t="n">
        <v>45778</v>
      </c>
      <c r="G11" s="41" t="inlineStr">
        <is>
          <t>Trabajo</t>
        </is>
      </c>
      <c r="H11" s="54" t="n"/>
      <c r="I11" s="54" t="n"/>
      <c r="J11" s="54" t="n"/>
      <c r="K11" s="54" t="n"/>
      <c r="L11" s="54" t="n"/>
      <c r="M11" s="54" t="n"/>
      <c r="N11" s="54" t="n"/>
      <c r="O11" s="54" t="n"/>
      <c r="P11" s="54" t="n"/>
      <c r="Q11" s="54" t="n"/>
      <c r="R11" s="54" t="n"/>
      <c r="S11" s="54" t="n"/>
      <c r="T11" s="54" t="n"/>
      <c r="U11" s="54" t="n"/>
      <c r="V11" s="54" t="n"/>
      <c r="W11" s="54" t="n"/>
      <c r="X11" s="54" t="n"/>
      <c r="Y11" s="54" t="n"/>
      <c r="Z11" s="54" t="n"/>
    </row>
    <row r="12">
      <c r="A12" s="50" t="inlineStr">
        <is>
          <t>Umbral alerta amarilla (días)</t>
        </is>
      </c>
      <c r="B12" s="52" t="n">
        <v>3</v>
      </c>
      <c r="C12" s="54" t="n"/>
      <c r="D12" s="54" t="n"/>
      <c r="E12" s="54" t="n"/>
      <c r="F12" s="49" t="n">
        <v>45810</v>
      </c>
      <c r="G12" s="41" t="inlineStr">
        <is>
          <t>Ascensión</t>
        </is>
      </c>
      <c r="H12" s="54" t="n"/>
      <c r="I12" s="54" t="n"/>
      <c r="J12" s="54" t="n"/>
      <c r="K12" s="54" t="n"/>
      <c r="L12" s="54" t="n"/>
      <c r="M12" s="54" t="n"/>
      <c r="N12" s="54" t="n"/>
      <c r="O12" s="54" t="n"/>
      <c r="P12" s="54" t="n"/>
      <c r="Q12" s="54" t="n"/>
      <c r="R12" s="54" t="n"/>
      <c r="S12" s="54" t="n"/>
      <c r="T12" s="54" t="n"/>
      <c r="U12" s="54" t="n"/>
      <c r="V12" s="54" t="n"/>
      <c r="W12" s="54" t="n"/>
      <c r="X12" s="54" t="n"/>
      <c r="Y12" s="54" t="n"/>
      <c r="Z12" s="54" t="n"/>
    </row>
    <row r="13">
      <c r="A13" s="50" t="inlineStr">
        <is>
          <t>Prefijo del radicado</t>
        </is>
      </c>
      <c r="B13" s="52" t="inlineStr">
        <is>
          <t>SIAU</t>
        </is>
      </c>
      <c r="C13" s="54" t="n"/>
      <c r="D13" s="54" t="n"/>
      <c r="E13" s="54" t="n"/>
      <c r="F13" s="49" t="n">
        <v>45831</v>
      </c>
      <c r="G13" s="41" t="inlineStr">
        <is>
          <t>Corpus Christi</t>
        </is>
      </c>
      <c r="H13" s="54" t="n"/>
      <c r="I13" s="54" t="n"/>
      <c r="J13" s="54" t="n"/>
      <c r="K13" s="54" t="n"/>
      <c r="L13" s="54" t="n"/>
      <c r="M13" s="54" t="n"/>
      <c r="N13" s="54" t="n"/>
      <c r="O13" s="54" t="n"/>
      <c r="P13" s="54" t="n"/>
      <c r="Q13" s="54" t="n"/>
      <c r="R13" s="54" t="n"/>
      <c r="S13" s="54" t="n"/>
      <c r="T13" s="54" t="n"/>
      <c r="U13" s="54" t="n"/>
      <c r="V13" s="54" t="n"/>
      <c r="W13" s="54" t="n"/>
      <c r="X13" s="54" t="n"/>
      <c r="Y13" s="54" t="n"/>
      <c r="Z13" s="54" t="n"/>
    </row>
    <row r="14">
      <c r="A14" s="50" t="inlineStr">
        <is>
          <t>Correo de la oficina SIAU</t>
        </is>
      </c>
      <c r="B14" s="52" t="inlineStr">
        <is>
          <t>siau@miredips.org</t>
        </is>
      </c>
      <c r="C14" s="54" t="n"/>
      <c r="D14" s="54" t="n"/>
      <c r="E14" s="54" t="n"/>
      <c r="F14" s="49" t="n">
        <v>45838</v>
      </c>
      <c r="G14" s="41" t="inlineStr">
        <is>
          <t>Sagrado Corazón</t>
        </is>
      </c>
      <c r="H14" s="54" t="n"/>
      <c r="I14" s="54" t="n"/>
      <c r="J14" s="54" t="n"/>
      <c r="K14" s="54" t="n"/>
      <c r="L14" s="54" t="n"/>
      <c r="M14" s="54" t="n"/>
      <c r="N14" s="54" t="n"/>
      <c r="O14" s="54" t="n"/>
      <c r="P14" s="54" t="n"/>
      <c r="Q14" s="54" t="n"/>
      <c r="R14" s="54" t="n"/>
      <c r="S14" s="54" t="n"/>
      <c r="T14" s="54" t="n"/>
      <c r="U14" s="54" t="n"/>
      <c r="V14" s="54" t="n"/>
      <c r="W14" s="54" t="n"/>
      <c r="X14" s="54" t="n"/>
      <c r="Y14" s="54" t="n"/>
      <c r="Z14" s="54" t="n"/>
    </row>
    <row r="15">
      <c r="A15" s="50" t="inlineStr">
        <is>
          <t>Teléfono SIAU</t>
        </is>
      </c>
      <c r="B15" s="52" t="inlineStr">
        <is>
          <t>(605) 322 5919</t>
        </is>
      </c>
      <c r="C15" s="54" t="n"/>
      <c r="D15" s="54" t="n"/>
      <c r="E15" s="54" t="n"/>
      <c r="F15" s="49" t="n">
        <v>45858</v>
      </c>
      <c r="G15" s="41" t="inlineStr">
        <is>
          <t>Independencia</t>
        </is>
      </c>
      <c r="H15" s="54" t="n"/>
      <c r="I15" s="54" t="n"/>
      <c r="J15" s="54" t="n"/>
      <c r="K15" s="54" t="n"/>
      <c r="L15" s="54" t="n"/>
      <c r="M15" s="54" t="n"/>
      <c r="N15" s="54" t="n"/>
      <c r="O15" s="54" t="n"/>
      <c r="P15" s="54" t="n"/>
      <c r="Q15" s="54" t="n"/>
      <c r="R15" s="54" t="n"/>
      <c r="S15" s="54" t="n"/>
      <c r="T15" s="54" t="n"/>
      <c r="U15" s="54" t="n"/>
      <c r="V15" s="54" t="n"/>
      <c r="W15" s="54" t="n"/>
      <c r="X15" s="54" t="n"/>
      <c r="Y15" s="54" t="n"/>
      <c r="Z15" s="54" t="n"/>
    </row>
    <row r="16">
      <c r="A16" s="50" t="inlineStr">
        <is>
          <t>WhatsApp SIAU</t>
        </is>
      </c>
      <c r="B16" s="52" t="inlineStr">
        <is>
          <t>315 405 6834</t>
        </is>
      </c>
      <c r="C16" s="54" t="n"/>
      <c r="D16" s="54" t="n"/>
      <c r="E16" s="54" t="n"/>
      <c r="F16" s="49" t="n">
        <v>45876</v>
      </c>
      <c r="G16" s="41" t="inlineStr">
        <is>
          <t>Boyacá</t>
        </is>
      </c>
      <c r="H16" s="54" t="n"/>
      <c r="I16" s="54" t="n"/>
      <c r="J16" s="54" t="n"/>
      <c r="K16" s="54" t="n"/>
      <c r="L16" s="54" t="n"/>
      <c r="M16" s="54" t="n"/>
      <c r="N16" s="54" t="n"/>
      <c r="O16" s="54" t="n"/>
      <c r="P16" s="54" t="n"/>
      <c r="Q16" s="54" t="n"/>
      <c r="R16" s="54" t="n"/>
      <c r="S16" s="54" t="n"/>
      <c r="T16" s="54" t="n"/>
      <c r="U16" s="54" t="n"/>
      <c r="V16" s="54" t="n"/>
      <c r="W16" s="54" t="n"/>
      <c r="X16" s="54" t="n"/>
      <c r="Y16" s="54" t="n"/>
      <c r="Z16" s="54" t="n"/>
    </row>
    <row r="17">
      <c r="A17" s="50" t="inlineStr">
        <is>
          <t>ID del Google Form vinculado</t>
        </is>
      </c>
      <c r="B17" s="52" t="n"/>
      <c r="C17" s="54" t="n"/>
      <c r="D17" s="54" t="n"/>
      <c r="E17" s="54" t="n"/>
      <c r="F17" s="49" t="n">
        <v>45887</v>
      </c>
      <c r="G17" s="41" t="inlineStr">
        <is>
          <t>Asunción</t>
        </is>
      </c>
      <c r="H17" s="54" t="n"/>
      <c r="I17" s="54" t="n"/>
      <c r="J17" s="54" t="n"/>
      <c r="K17" s="54" t="n"/>
      <c r="L17" s="54" t="n"/>
      <c r="M17" s="54" t="n"/>
      <c r="N17" s="54" t="n"/>
      <c r="O17" s="54" t="n"/>
      <c r="P17" s="54" t="n"/>
      <c r="Q17" s="54" t="n"/>
      <c r="R17" s="54" t="n"/>
      <c r="S17" s="54" t="n"/>
      <c r="T17" s="54" t="n"/>
      <c r="U17" s="54" t="n"/>
      <c r="V17" s="54" t="n"/>
      <c r="W17" s="54" t="n"/>
      <c r="X17" s="54" t="n"/>
      <c r="Y17" s="54" t="n"/>
      <c r="Z17" s="54" t="n"/>
    </row>
    <row r="18">
      <c r="A18" s="50" t="inlineStr">
        <is>
          <t>Nombre de la hoja de respuestas del Form</t>
        </is>
      </c>
      <c r="B18" s="52" t="inlineStr">
        <is>
          <t>Respuesta de formulario 1</t>
        </is>
      </c>
      <c r="C18" s="54" t="n"/>
      <c r="D18" s="54" t="n"/>
      <c r="E18" s="54" t="n"/>
      <c r="F18" s="49" t="n">
        <v>45943</v>
      </c>
      <c r="G18" s="41" t="inlineStr">
        <is>
          <t>Raza</t>
        </is>
      </c>
      <c r="H18" s="54" t="n"/>
      <c r="I18" s="54" t="n"/>
      <c r="J18" s="54" t="n"/>
      <c r="K18" s="54" t="n"/>
      <c r="L18" s="54" t="n"/>
      <c r="M18" s="54" t="n"/>
      <c r="N18" s="54" t="n"/>
      <c r="O18" s="54" t="n"/>
      <c r="P18" s="54" t="n"/>
      <c r="Q18" s="54" t="n"/>
      <c r="R18" s="54" t="n"/>
      <c r="S18" s="54" t="n"/>
      <c r="T18" s="54" t="n"/>
      <c r="U18" s="54" t="n"/>
      <c r="V18" s="54" t="n"/>
      <c r="W18" s="54" t="n"/>
      <c r="X18" s="54" t="n"/>
      <c r="Y18" s="54" t="n"/>
      <c r="Z18" s="54" t="n"/>
    </row>
    <row r="19">
      <c r="A19" s="54" t="n"/>
      <c r="B19" s="54" t="n"/>
      <c r="C19" s="54" t="n"/>
      <c r="D19" s="54" t="n"/>
      <c r="E19" s="54" t="n"/>
      <c r="F19" s="49" t="n">
        <v>45964</v>
      </c>
      <c r="G19" s="41" t="inlineStr">
        <is>
          <t>Todos los Santos</t>
        </is>
      </c>
      <c r="H19" s="54" t="n"/>
      <c r="I19" s="54" t="n"/>
      <c r="J19" s="54" t="n"/>
      <c r="K19" s="54" t="n"/>
      <c r="L19" s="54" t="n"/>
      <c r="M19" s="54" t="n"/>
      <c r="N19" s="54" t="n"/>
      <c r="O19" s="54" t="n"/>
      <c r="P19" s="54" t="n"/>
      <c r="Q19" s="54" t="n"/>
      <c r="R19" s="54" t="n"/>
      <c r="S19" s="54" t="n"/>
      <c r="T19" s="54" t="n"/>
      <c r="U19" s="54" t="n"/>
      <c r="V19" s="54" t="n"/>
      <c r="W19" s="54" t="n"/>
      <c r="X19" s="54" t="n"/>
      <c r="Y19" s="54" t="n"/>
      <c r="Z19" s="54" t="n"/>
    </row>
    <row r="20">
      <c r="A20" s="54" t="n"/>
      <c r="B20" s="54" t="n"/>
      <c r="C20" s="54" t="n"/>
      <c r="D20" s="54" t="n"/>
      <c r="E20" s="54" t="n"/>
      <c r="F20" s="49" t="n">
        <v>45978</v>
      </c>
      <c r="G20" s="41" t="inlineStr">
        <is>
          <t>Indep. Cartagena</t>
        </is>
      </c>
      <c r="H20" s="54" t="n"/>
      <c r="I20" s="54" t="n"/>
      <c r="J20" s="54" t="n"/>
      <c r="K20" s="54" t="n"/>
      <c r="L20" s="54" t="n"/>
      <c r="M20" s="54" t="n"/>
      <c r="N20" s="54" t="n"/>
      <c r="O20" s="54" t="n"/>
      <c r="P20" s="54" t="n"/>
      <c r="Q20" s="54" t="n"/>
      <c r="R20" s="54" t="n"/>
      <c r="S20" s="54" t="n"/>
      <c r="T20" s="54" t="n"/>
      <c r="U20" s="54" t="n"/>
      <c r="V20" s="54" t="n"/>
      <c r="W20" s="54" t="n"/>
      <c r="X20" s="54" t="n"/>
      <c r="Y20" s="54" t="n"/>
      <c r="Z20" s="54" t="n"/>
    </row>
    <row r="21" ht="15.75" customHeight="1" s="57">
      <c r="A21" s="54" t="n"/>
      <c r="B21" s="54" t="n"/>
      <c r="C21" s="54" t="n"/>
      <c r="D21" s="54" t="n"/>
      <c r="E21" s="54" t="n"/>
      <c r="F21" s="49" t="n">
        <v>45999</v>
      </c>
      <c r="G21" s="41" t="inlineStr">
        <is>
          <t>Inmaculada</t>
        </is>
      </c>
      <c r="H21" s="54" t="n"/>
      <c r="I21" s="54" t="n"/>
      <c r="J21" s="54" t="n"/>
      <c r="K21" s="54" t="n"/>
      <c r="L21" s="54" t="n"/>
      <c r="M21" s="54" t="n"/>
      <c r="N21" s="54" t="n"/>
      <c r="O21" s="54" t="n"/>
      <c r="P21" s="54" t="n"/>
      <c r="Q21" s="54" t="n"/>
      <c r="R21" s="54" t="n"/>
      <c r="S21" s="54" t="n"/>
      <c r="T21" s="54" t="n"/>
      <c r="U21" s="54" t="n"/>
      <c r="V21" s="54" t="n"/>
      <c r="W21" s="54" t="n"/>
      <c r="X21" s="54" t="n"/>
      <c r="Y21" s="54" t="n"/>
      <c r="Z21" s="54" t="n"/>
    </row>
    <row r="22" ht="15.75" customHeight="1" s="57">
      <c r="A22" s="54" t="n"/>
      <c r="B22" s="54" t="n"/>
      <c r="C22" s="54" t="n"/>
      <c r="D22" s="54" t="n"/>
      <c r="E22" s="54" t="n"/>
      <c r="F22" s="49" t="n">
        <v>46016</v>
      </c>
      <c r="G22" s="41" t="inlineStr">
        <is>
          <t>Navidad</t>
        </is>
      </c>
      <c r="H22" s="54" t="n"/>
      <c r="I22" s="54" t="n"/>
      <c r="J22" s="54" t="n"/>
      <c r="K22" s="54" t="n"/>
      <c r="L22" s="54" t="n"/>
      <c r="M22" s="54" t="n"/>
      <c r="N22" s="54" t="n"/>
      <c r="O22" s="54" t="n"/>
      <c r="P22" s="54" t="n"/>
      <c r="Q22" s="54" t="n"/>
      <c r="R22" s="54" t="n"/>
      <c r="S22" s="54" t="n"/>
      <c r="T22" s="54" t="n"/>
      <c r="U22" s="54" t="n"/>
      <c r="V22" s="54" t="n"/>
      <c r="W22" s="54" t="n"/>
      <c r="X22" s="54" t="n"/>
      <c r="Y22" s="54" t="n"/>
      <c r="Z22" s="54" t="n"/>
    </row>
    <row r="23" ht="15.75" customHeight="1" s="57">
      <c r="A23" s="54" t="n"/>
      <c r="B23" s="54" t="n"/>
      <c r="C23" s="54" t="n"/>
      <c r="D23" s="54" t="n"/>
      <c r="E23" s="54" t="n"/>
      <c r="F23" s="49" t="n">
        <v>46023</v>
      </c>
      <c r="G23" s="41" t="inlineStr">
        <is>
          <t>Año Nuevo</t>
        </is>
      </c>
      <c r="H23" s="54" t="n"/>
      <c r="I23" s="54" t="n"/>
      <c r="J23" s="54" t="n"/>
      <c r="K23" s="54" t="n"/>
      <c r="L23" s="54" t="n"/>
      <c r="M23" s="54" t="n"/>
      <c r="N23" s="54" t="n"/>
      <c r="O23" s="54" t="n"/>
      <c r="P23" s="54" t="n"/>
      <c r="Q23" s="54" t="n"/>
      <c r="R23" s="54" t="n"/>
      <c r="S23" s="54" t="n"/>
      <c r="T23" s="54" t="n"/>
      <c r="U23" s="54" t="n"/>
      <c r="V23" s="54" t="n"/>
      <c r="W23" s="54" t="n"/>
      <c r="X23" s="54" t="n"/>
      <c r="Y23" s="54" t="n"/>
      <c r="Z23" s="54" t="n"/>
    </row>
    <row r="24" ht="15.75" customHeight="1" s="57">
      <c r="A24" s="54" t="n"/>
      <c r="B24" s="54" t="n"/>
      <c r="C24" s="54" t="n"/>
      <c r="D24" s="54" t="n"/>
      <c r="E24" s="54" t="n"/>
      <c r="F24" s="49" t="n">
        <v>46034</v>
      </c>
      <c r="G24" s="41" t="inlineStr">
        <is>
          <t>Reyes</t>
        </is>
      </c>
      <c r="H24" s="54" t="n"/>
      <c r="I24" s="54" t="n"/>
      <c r="J24" s="54" t="n"/>
      <c r="K24" s="54" t="n"/>
      <c r="L24" s="54" t="n"/>
      <c r="M24" s="54" t="n"/>
      <c r="N24" s="54" t="n"/>
      <c r="O24" s="54" t="n"/>
      <c r="P24" s="54" t="n"/>
      <c r="Q24" s="54" t="n"/>
      <c r="R24" s="54" t="n"/>
      <c r="S24" s="54" t="n"/>
      <c r="T24" s="54" t="n"/>
      <c r="U24" s="54" t="n"/>
      <c r="V24" s="54" t="n"/>
      <c r="W24" s="54" t="n"/>
      <c r="X24" s="54" t="n"/>
      <c r="Y24" s="54" t="n"/>
      <c r="Z24" s="54" t="n"/>
    </row>
    <row r="25" ht="15.75" customHeight="1" s="57">
      <c r="A25" s="54" t="n"/>
      <c r="B25" s="54" t="n"/>
      <c r="C25" s="54" t="n"/>
      <c r="D25" s="54" t="n"/>
      <c r="E25" s="54" t="n"/>
      <c r="F25" s="49" t="n">
        <v>46104</v>
      </c>
      <c r="G25" s="41" t="inlineStr">
        <is>
          <t>San José</t>
        </is>
      </c>
      <c r="H25" s="54" t="n"/>
      <c r="I25" s="54" t="n"/>
      <c r="J25" s="54" t="n"/>
      <c r="K25" s="54" t="n"/>
      <c r="L25" s="54" t="n"/>
      <c r="M25" s="54" t="n"/>
      <c r="N25" s="54" t="n"/>
      <c r="O25" s="54" t="n"/>
      <c r="P25" s="54" t="n"/>
      <c r="Q25" s="54" t="n"/>
      <c r="R25" s="54" t="n"/>
      <c r="S25" s="54" t="n"/>
      <c r="T25" s="54" t="n"/>
      <c r="U25" s="54" t="n"/>
      <c r="V25" s="54" t="n"/>
      <c r="W25" s="54" t="n"/>
      <c r="X25" s="54" t="n"/>
      <c r="Y25" s="54" t="n"/>
      <c r="Z25" s="54" t="n"/>
    </row>
    <row r="26" ht="15.75" customHeight="1" s="57">
      <c r="A26" s="54" t="n"/>
      <c r="B26" s="54" t="n"/>
      <c r="C26" s="54" t="n"/>
      <c r="D26" s="54" t="n"/>
      <c r="E26" s="54" t="n"/>
      <c r="F26" s="49" t="n">
        <v>46114</v>
      </c>
      <c r="G26" s="41" t="inlineStr">
        <is>
          <t>Jueves Santo</t>
        </is>
      </c>
      <c r="H26" s="54" t="n"/>
      <c r="I26" s="54" t="n"/>
      <c r="J26" s="54" t="n"/>
      <c r="K26" s="54" t="n"/>
      <c r="L26" s="54" t="n"/>
      <c r="M26" s="54" t="n"/>
      <c r="N26" s="54" t="n"/>
      <c r="O26" s="54" t="n"/>
      <c r="P26" s="54" t="n"/>
      <c r="Q26" s="54" t="n"/>
      <c r="R26" s="54" t="n"/>
      <c r="S26" s="54" t="n"/>
      <c r="T26" s="54" t="n"/>
      <c r="U26" s="54" t="n"/>
      <c r="V26" s="54" t="n"/>
      <c r="W26" s="54" t="n"/>
      <c r="X26" s="54" t="n"/>
      <c r="Y26" s="54" t="n"/>
      <c r="Z26" s="54" t="n"/>
    </row>
    <row r="27" ht="15.75" customHeight="1" s="57">
      <c r="A27" s="54" t="n"/>
      <c r="B27" s="54" t="n"/>
      <c r="C27" s="54" t="n"/>
      <c r="D27" s="54" t="n"/>
      <c r="E27" s="54" t="n"/>
      <c r="F27" s="49" t="n">
        <v>46115</v>
      </c>
      <c r="G27" s="41" t="inlineStr">
        <is>
          <t>Viernes Santo</t>
        </is>
      </c>
      <c r="H27" s="54" t="n"/>
      <c r="I27" s="54" t="n"/>
      <c r="J27" s="54" t="n"/>
      <c r="K27" s="54" t="n"/>
      <c r="L27" s="54" t="n"/>
      <c r="M27" s="54" t="n"/>
      <c r="N27" s="54" t="n"/>
      <c r="O27" s="54" t="n"/>
      <c r="P27" s="54" t="n"/>
      <c r="Q27" s="54" t="n"/>
      <c r="R27" s="54" t="n"/>
      <c r="S27" s="54" t="n"/>
      <c r="T27" s="54" t="n"/>
      <c r="U27" s="54" t="n"/>
      <c r="V27" s="54" t="n"/>
      <c r="W27" s="54" t="n"/>
      <c r="X27" s="54" t="n"/>
      <c r="Y27" s="54" t="n"/>
      <c r="Z27" s="54" t="n"/>
    </row>
    <row r="28" ht="15.75" customHeight="1" s="57">
      <c r="A28" s="54" t="n"/>
      <c r="B28" s="54" t="n"/>
      <c r="C28" s="54" t="n"/>
      <c r="D28" s="54" t="n"/>
      <c r="E28" s="54" t="n"/>
      <c r="F28" s="49" t="n">
        <v>46143</v>
      </c>
      <c r="G28" s="41" t="inlineStr">
        <is>
          <t>Trabajo</t>
        </is>
      </c>
      <c r="H28" s="54" t="n"/>
      <c r="I28" s="54" t="n"/>
      <c r="J28" s="54" t="n"/>
      <c r="K28" s="54" t="n"/>
      <c r="L28" s="54" t="n"/>
      <c r="M28" s="54" t="n"/>
      <c r="N28" s="54" t="n"/>
      <c r="O28" s="54" t="n"/>
      <c r="P28" s="54" t="n"/>
      <c r="Q28" s="54" t="n"/>
      <c r="R28" s="54" t="n"/>
      <c r="S28" s="54" t="n"/>
      <c r="T28" s="54" t="n"/>
      <c r="U28" s="54" t="n"/>
      <c r="V28" s="54" t="n"/>
      <c r="W28" s="54" t="n"/>
      <c r="X28" s="54" t="n"/>
      <c r="Y28" s="54" t="n"/>
      <c r="Z28" s="54" t="n"/>
    </row>
    <row r="29" ht="15.75" customHeight="1" s="57">
      <c r="A29" s="54" t="n"/>
      <c r="B29" s="54" t="n"/>
      <c r="C29" s="54" t="n"/>
      <c r="D29" s="54" t="n"/>
      <c r="E29" s="54" t="n"/>
      <c r="F29" s="49" t="n">
        <v>46181</v>
      </c>
      <c r="G29" s="41" t="inlineStr">
        <is>
          <t>Corpus Christi</t>
        </is>
      </c>
      <c r="H29" s="54" t="n"/>
      <c r="I29" s="54" t="n"/>
      <c r="J29" s="54" t="n"/>
      <c r="K29" s="54" t="n"/>
      <c r="L29" s="54" t="n"/>
      <c r="M29" s="54" t="n"/>
      <c r="N29" s="54" t="n"/>
      <c r="O29" s="54" t="n"/>
      <c r="P29" s="54" t="n"/>
      <c r="Q29" s="54" t="n"/>
      <c r="R29" s="54" t="n"/>
      <c r="S29" s="54" t="n"/>
      <c r="T29" s="54" t="n"/>
      <c r="U29" s="54" t="n"/>
      <c r="V29" s="54" t="n"/>
      <c r="W29" s="54" t="n"/>
      <c r="X29" s="54" t="n"/>
      <c r="Y29" s="54" t="n"/>
      <c r="Z29" s="54" t="n"/>
    </row>
    <row r="30" ht="15.75" customHeight="1" s="57">
      <c r="A30" s="54" t="n"/>
      <c r="B30" s="54" t="n"/>
      <c r="C30" s="54" t="n"/>
      <c r="D30" s="54" t="n"/>
      <c r="E30" s="54" t="n"/>
      <c r="F30" s="49" t="n">
        <v>46188</v>
      </c>
      <c r="G30" s="41" t="inlineStr">
        <is>
          <t>Sagrado Corazón</t>
        </is>
      </c>
      <c r="H30" s="54" t="n"/>
      <c r="I30" s="54" t="n"/>
      <c r="J30" s="54" t="n"/>
      <c r="K30" s="54" t="n"/>
      <c r="L30" s="54" t="n"/>
      <c r="M30" s="54" t="n"/>
      <c r="N30" s="54" t="n"/>
      <c r="O30" s="54" t="n"/>
      <c r="P30" s="54" t="n"/>
      <c r="Q30" s="54" t="n"/>
      <c r="R30" s="54" t="n"/>
      <c r="S30" s="54" t="n"/>
      <c r="T30" s="54" t="n"/>
      <c r="U30" s="54" t="n"/>
      <c r="V30" s="54" t="n"/>
      <c r="W30" s="54" t="n"/>
      <c r="X30" s="54" t="n"/>
      <c r="Y30" s="54" t="n"/>
      <c r="Z30" s="54" t="n"/>
    </row>
    <row r="31" ht="15.75" customHeight="1" s="57">
      <c r="A31" s="54" t="n"/>
      <c r="B31" s="54" t="n"/>
      <c r="C31" s="54" t="n"/>
      <c r="D31" s="54" t="n"/>
      <c r="E31" s="54" t="n"/>
      <c r="F31" s="49" t="n">
        <v>46202</v>
      </c>
      <c r="G31" s="41" t="inlineStr">
        <is>
          <t>San Pedro</t>
        </is>
      </c>
      <c r="H31" s="54" t="n"/>
      <c r="I31" s="54" t="n"/>
      <c r="J31" s="54" t="n"/>
      <c r="K31" s="54" t="n"/>
      <c r="L31" s="54" t="n"/>
      <c r="M31" s="54" t="n"/>
      <c r="N31" s="54" t="n"/>
      <c r="O31" s="54" t="n"/>
      <c r="P31" s="54" t="n"/>
      <c r="Q31" s="54" t="n"/>
      <c r="R31" s="54" t="n"/>
      <c r="S31" s="54" t="n"/>
      <c r="T31" s="54" t="n"/>
      <c r="U31" s="54" t="n"/>
      <c r="V31" s="54" t="n"/>
      <c r="W31" s="54" t="n"/>
      <c r="X31" s="54" t="n"/>
      <c r="Y31" s="54" t="n"/>
      <c r="Z31" s="54" t="n"/>
    </row>
    <row r="32" ht="15.75" customHeight="1" s="57">
      <c r="A32" s="54" t="n"/>
      <c r="B32" s="54" t="n"/>
      <c r="C32" s="54" t="n"/>
      <c r="D32" s="54" t="n"/>
      <c r="E32" s="54" t="n"/>
      <c r="F32" s="49" t="n">
        <v>46223</v>
      </c>
      <c r="G32" s="41" t="inlineStr">
        <is>
          <t>Independencia</t>
        </is>
      </c>
      <c r="H32" s="54" t="n"/>
      <c r="I32" s="54" t="n"/>
      <c r="J32" s="54" t="n"/>
      <c r="K32" s="54" t="n"/>
      <c r="L32" s="54" t="n"/>
      <c r="M32" s="54" t="n"/>
      <c r="N32" s="54" t="n"/>
      <c r="O32" s="54" t="n"/>
      <c r="P32" s="54" t="n"/>
      <c r="Q32" s="54" t="n"/>
      <c r="R32" s="54" t="n"/>
      <c r="S32" s="54" t="n"/>
      <c r="T32" s="54" t="n"/>
      <c r="U32" s="54" t="n"/>
      <c r="V32" s="54" t="n"/>
      <c r="W32" s="54" t="n"/>
      <c r="X32" s="54" t="n"/>
      <c r="Y32" s="54" t="n"/>
      <c r="Z32" s="54" t="n"/>
    </row>
    <row r="33" ht="15.75" customHeight="1" s="57">
      <c r="A33" s="54" t="n"/>
      <c r="B33" s="54" t="n"/>
      <c r="C33" s="54" t="n"/>
      <c r="D33" s="54" t="n"/>
      <c r="E33" s="54" t="n"/>
      <c r="F33" s="49" t="n">
        <v>46241</v>
      </c>
      <c r="G33" s="41" t="inlineStr">
        <is>
          <t>Boyacá</t>
        </is>
      </c>
      <c r="H33" s="54" t="n"/>
      <c r="I33" s="54" t="n"/>
      <c r="J33" s="54" t="n"/>
      <c r="K33" s="54" t="n"/>
      <c r="L33" s="54" t="n"/>
      <c r="M33" s="54" t="n"/>
      <c r="N33" s="54" t="n"/>
      <c r="O33" s="54" t="n"/>
      <c r="P33" s="54" t="n"/>
      <c r="Q33" s="54" t="n"/>
      <c r="R33" s="54" t="n"/>
      <c r="S33" s="54" t="n"/>
      <c r="T33" s="54" t="n"/>
      <c r="U33" s="54" t="n"/>
      <c r="V33" s="54" t="n"/>
      <c r="W33" s="54" t="n"/>
      <c r="X33" s="54" t="n"/>
      <c r="Y33" s="54" t="n"/>
      <c r="Z33" s="54" t="n"/>
    </row>
    <row r="34" ht="15.75" customHeight="1" s="57">
      <c r="A34" s="54" t="n"/>
      <c r="B34" s="54" t="n"/>
      <c r="C34" s="54" t="n"/>
      <c r="D34" s="54" t="n"/>
      <c r="E34" s="54" t="n"/>
      <c r="F34" s="49" t="n">
        <v>46251</v>
      </c>
      <c r="G34" s="41" t="inlineStr">
        <is>
          <t>Asunción</t>
        </is>
      </c>
      <c r="H34" s="54" t="n"/>
      <c r="I34" s="54" t="n"/>
      <c r="J34" s="54" t="n"/>
      <c r="K34" s="54" t="n"/>
      <c r="L34" s="54" t="n"/>
      <c r="M34" s="54" t="n"/>
      <c r="N34" s="54" t="n"/>
      <c r="O34" s="54" t="n"/>
      <c r="P34" s="54" t="n"/>
      <c r="Q34" s="54" t="n"/>
      <c r="R34" s="54" t="n"/>
      <c r="S34" s="54" t="n"/>
      <c r="T34" s="54" t="n"/>
      <c r="U34" s="54" t="n"/>
      <c r="V34" s="54" t="n"/>
      <c r="W34" s="54" t="n"/>
      <c r="X34" s="54" t="n"/>
      <c r="Y34" s="54" t="n"/>
      <c r="Z34" s="54" t="n"/>
    </row>
    <row r="35" ht="15.75" customHeight="1" s="57">
      <c r="A35" s="54" t="n"/>
      <c r="B35" s="54" t="n"/>
      <c r="C35" s="54" t="n"/>
      <c r="D35" s="54" t="n"/>
      <c r="E35" s="54" t="n"/>
      <c r="F35" s="49" t="n">
        <v>46307</v>
      </c>
      <c r="G35" s="41" t="inlineStr">
        <is>
          <t>Raza</t>
        </is>
      </c>
      <c r="H35" s="54" t="n"/>
      <c r="I35" s="54" t="n"/>
      <c r="J35" s="54" t="n"/>
      <c r="K35" s="54" t="n"/>
      <c r="L35" s="54" t="n"/>
      <c r="M35" s="54" t="n"/>
      <c r="N35" s="54" t="n"/>
      <c r="O35" s="54" t="n"/>
      <c r="P35" s="54" t="n"/>
      <c r="Q35" s="54" t="n"/>
      <c r="R35" s="54" t="n"/>
      <c r="S35" s="54" t="n"/>
      <c r="T35" s="54" t="n"/>
      <c r="U35" s="54" t="n"/>
      <c r="V35" s="54" t="n"/>
      <c r="W35" s="54" t="n"/>
      <c r="X35" s="54" t="n"/>
      <c r="Y35" s="54" t="n"/>
      <c r="Z35" s="54" t="n"/>
    </row>
    <row r="36" ht="15.75" customHeight="1" s="57">
      <c r="A36" s="54" t="n"/>
      <c r="B36" s="54" t="n"/>
      <c r="C36" s="54" t="n"/>
      <c r="D36" s="54" t="n"/>
      <c r="E36" s="54" t="n"/>
      <c r="F36" s="49" t="n">
        <v>46328</v>
      </c>
      <c r="G36" s="41" t="inlineStr">
        <is>
          <t>Todos los Santos</t>
        </is>
      </c>
      <c r="H36" s="54" t="n"/>
      <c r="I36" s="54" t="n"/>
      <c r="J36" s="54" t="n"/>
      <c r="K36" s="54" t="n"/>
      <c r="L36" s="54" t="n"/>
      <c r="M36" s="54" t="n"/>
      <c r="N36" s="54" t="n"/>
      <c r="O36" s="54" t="n"/>
      <c r="P36" s="54" t="n"/>
      <c r="Q36" s="54" t="n"/>
      <c r="R36" s="54" t="n"/>
      <c r="S36" s="54" t="n"/>
      <c r="T36" s="54" t="n"/>
      <c r="U36" s="54" t="n"/>
      <c r="V36" s="54" t="n"/>
      <c r="W36" s="54" t="n"/>
      <c r="X36" s="54" t="n"/>
      <c r="Y36" s="54" t="n"/>
      <c r="Z36" s="54" t="n"/>
    </row>
    <row r="37" ht="15.75" customHeight="1" s="57">
      <c r="A37" s="54" t="n"/>
      <c r="B37" s="54" t="n"/>
      <c r="C37" s="54" t="n"/>
      <c r="D37" s="54" t="n"/>
      <c r="E37" s="54" t="n"/>
      <c r="F37" s="49" t="n">
        <v>46342</v>
      </c>
      <c r="G37" s="41" t="inlineStr">
        <is>
          <t>Indep. Cartagena</t>
        </is>
      </c>
      <c r="H37" s="54" t="n"/>
      <c r="I37" s="54" t="n"/>
      <c r="J37" s="54" t="n"/>
      <c r="K37" s="54" t="n"/>
      <c r="L37" s="54" t="n"/>
      <c r="M37" s="54" t="n"/>
      <c r="N37" s="54" t="n"/>
      <c r="O37" s="54" t="n"/>
      <c r="P37" s="54" t="n"/>
      <c r="Q37" s="54" t="n"/>
      <c r="R37" s="54" t="n"/>
      <c r="S37" s="54" t="n"/>
      <c r="T37" s="54" t="n"/>
      <c r="U37" s="54" t="n"/>
      <c r="V37" s="54" t="n"/>
      <c r="W37" s="54" t="n"/>
      <c r="X37" s="54" t="n"/>
      <c r="Y37" s="54" t="n"/>
      <c r="Z37" s="54" t="n"/>
    </row>
    <row r="38" ht="15.75" customHeight="1" s="57">
      <c r="A38" s="54" t="n"/>
      <c r="B38" s="54" t="n"/>
      <c r="C38" s="54" t="n"/>
      <c r="D38" s="54" t="n"/>
      <c r="E38" s="54" t="n"/>
      <c r="F38" s="49" t="n">
        <v>46364</v>
      </c>
      <c r="G38" s="41" t="inlineStr">
        <is>
          <t>Inmaculada</t>
        </is>
      </c>
      <c r="H38" s="54" t="n"/>
      <c r="I38" s="54" t="n"/>
      <c r="J38" s="54" t="n"/>
      <c r="K38" s="54" t="n"/>
      <c r="L38" s="54" t="n"/>
      <c r="M38" s="54" t="n"/>
      <c r="N38" s="54" t="n"/>
      <c r="O38" s="54" t="n"/>
      <c r="P38" s="54" t="n"/>
      <c r="Q38" s="54" t="n"/>
      <c r="R38" s="54" t="n"/>
      <c r="S38" s="54" t="n"/>
      <c r="T38" s="54" t="n"/>
      <c r="U38" s="54" t="n"/>
      <c r="V38" s="54" t="n"/>
      <c r="W38" s="54" t="n"/>
      <c r="X38" s="54" t="n"/>
      <c r="Y38" s="54" t="n"/>
      <c r="Z38" s="54" t="n"/>
    </row>
    <row r="39" ht="15.75" customHeight="1" s="57">
      <c r="A39" s="54" t="n"/>
      <c r="B39" s="54" t="n"/>
      <c r="C39" s="54" t="n"/>
      <c r="D39" s="54" t="n"/>
      <c r="E39" s="54" t="n"/>
      <c r="F39" s="49" t="n">
        <v>46381</v>
      </c>
      <c r="G39" s="41" t="inlineStr">
        <is>
          <t>Navidad</t>
        </is>
      </c>
      <c r="H39" s="54" t="n"/>
      <c r="I39" s="54" t="n"/>
      <c r="J39" s="54" t="n"/>
      <c r="K39" s="54" t="n"/>
      <c r="L39" s="54" t="n"/>
      <c r="M39" s="54" t="n"/>
      <c r="N39" s="54" t="n"/>
      <c r="O39" s="54" t="n"/>
      <c r="P39" s="54" t="n"/>
      <c r="Q39" s="54" t="n"/>
      <c r="R39" s="54" t="n"/>
      <c r="S39" s="54" t="n"/>
      <c r="T39" s="54" t="n"/>
      <c r="U39" s="54" t="n"/>
      <c r="V39" s="54" t="n"/>
      <c r="W39" s="54" t="n"/>
      <c r="X39" s="54" t="n"/>
      <c r="Y39" s="54" t="n"/>
      <c r="Z39" s="54" t="n"/>
    </row>
    <row r="40" ht="15.75" customHeight="1" s="57">
      <c r="A40" s="54" t="n"/>
      <c r="B40" s="54" t="n"/>
      <c r="C40" s="54" t="n"/>
      <c r="D40" s="54" t="n"/>
      <c r="E40" s="54" t="n"/>
      <c r="F40" s="54" t="n"/>
      <c r="G40" s="54" t="n"/>
      <c r="H40" s="54" t="n"/>
      <c r="I40" s="54" t="n"/>
      <c r="J40" s="54" t="n"/>
      <c r="K40" s="54" t="n"/>
      <c r="L40" s="54" t="n"/>
      <c r="M40" s="54" t="n"/>
      <c r="N40" s="54" t="n"/>
      <c r="O40" s="54" t="n"/>
      <c r="P40" s="54" t="n"/>
      <c r="Q40" s="54" t="n"/>
      <c r="R40" s="54" t="n"/>
      <c r="S40" s="54" t="n"/>
      <c r="T40" s="54" t="n"/>
      <c r="U40" s="54" t="n"/>
      <c r="V40" s="54" t="n"/>
      <c r="W40" s="54" t="n"/>
      <c r="X40" s="54" t="n"/>
      <c r="Y40" s="54" t="n"/>
      <c r="Z40" s="54" t="n"/>
    </row>
    <row r="41" ht="15.75" customHeight="1" s="57">
      <c r="A41" s="54" t="n"/>
      <c r="B41" s="54" t="n"/>
      <c r="C41" s="54" t="n"/>
      <c r="D41" s="54" t="n"/>
      <c r="E41" s="54" t="n"/>
      <c r="F41" s="54" t="n"/>
      <c r="G41" s="54" t="n"/>
      <c r="H41" s="54" t="n"/>
      <c r="I41" s="54" t="n"/>
      <c r="J41" s="54" t="n"/>
      <c r="K41" s="54" t="n"/>
      <c r="L41" s="54" t="n"/>
      <c r="M41" s="54" t="n"/>
      <c r="N41" s="54" t="n"/>
      <c r="O41" s="54" t="n"/>
      <c r="P41" s="54" t="n"/>
      <c r="Q41" s="54" t="n"/>
      <c r="R41" s="54" t="n"/>
      <c r="S41" s="54" t="n"/>
      <c r="T41" s="54" t="n"/>
      <c r="U41" s="54" t="n"/>
      <c r="V41" s="54" t="n"/>
      <c r="W41" s="54" t="n"/>
      <c r="X41" s="54" t="n"/>
      <c r="Y41" s="54" t="n"/>
      <c r="Z41" s="54" t="n"/>
    </row>
    <row r="42" ht="15.75" customHeight="1" s="57">
      <c r="A42" s="69" t="inlineStr">
        <is>
          <t>LISTAS DESPLEGABLES (la plataforma las carga desde aquí)</t>
        </is>
      </c>
      <c r="M42" s="54" t="n"/>
      <c r="N42" s="54" t="n"/>
      <c r="O42" s="54" t="n"/>
      <c r="P42" s="54" t="n"/>
      <c r="Q42" s="54" t="n"/>
      <c r="R42" s="54" t="n"/>
      <c r="S42" s="54" t="n"/>
      <c r="T42" s="54" t="n"/>
      <c r="U42" s="54" t="n"/>
      <c r="V42" s="54" t="n"/>
      <c r="W42" s="54" t="n"/>
      <c r="X42" s="54" t="n"/>
      <c r="Y42" s="54" t="n"/>
      <c r="Z42" s="54" t="n"/>
    </row>
    <row r="43" ht="15.75" customHeight="1" s="57">
      <c r="A43" s="47" t="inlineStr">
        <is>
          <t>SEDE</t>
        </is>
      </c>
      <c r="B43" s="47" t="inlineStr">
        <is>
          <t>SERVICIO</t>
        </is>
      </c>
      <c r="C43" s="47" t="inlineStr">
        <is>
          <t>EPS / PRESTADOR</t>
        </is>
      </c>
      <c r="D43" s="47" t="inlineStr">
        <is>
          <t>CANAL</t>
        </is>
      </c>
      <c r="E43" s="47" t="inlineStr">
        <is>
          <t>TIPO DE PQRS</t>
        </is>
      </c>
      <c r="F43" s="47" t="inlineStr">
        <is>
          <t>TIPO SOLICITANTE</t>
        </is>
      </c>
      <c r="G43" s="47" t="inlineStr">
        <is>
          <t>TIPO DOCUMENTO</t>
        </is>
      </c>
      <c r="H43" s="47" t="inlineStr">
        <is>
          <t>ENTIDAD PRESENTADA</t>
        </is>
      </c>
      <c r="I43" s="47" t="inlineStr">
        <is>
          <t>ESTADO</t>
        </is>
      </c>
      <c r="J43" s="47" t="inlineStr">
        <is>
          <t>SEXO</t>
        </is>
      </c>
      <c r="K43" s="47" t="inlineStr">
        <is>
          <t>RÉGIMEN</t>
        </is>
      </c>
      <c r="L43" s="47" t="inlineStr">
        <is>
          <t>POBLACIÓN DIFERENCIAL</t>
        </is>
      </c>
      <c r="M43" s="47" t="inlineStr">
        <is>
          <t>MODALIDAD DE ATENCIÓN</t>
        </is>
      </c>
      <c r="N43" s="47" t="inlineStr">
        <is>
          <t>TIPOLOGÍA</t>
        </is>
      </c>
      <c r="O43" s="54" t="n"/>
      <c r="P43" s="54" t="n"/>
      <c r="Q43" s="54" t="n"/>
      <c r="R43" s="54" t="n"/>
      <c r="S43" s="54" t="n"/>
      <c r="T43" s="54" t="n"/>
      <c r="U43" s="54" t="n"/>
      <c r="V43" s="54" t="n"/>
      <c r="W43" s="54" t="n"/>
      <c r="X43" s="54" t="n"/>
      <c r="Y43" s="54" t="n"/>
      <c r="Z43" s="54" t="n"/>
    </row>
    <row r="44" ht="15.75" customHeight="1" s="57">
      <c r="A44" s="55" t="inlineStr">
        <is>
          <t>C. ADELITA DE CHAR</t>
        </is>
      </c>
      <c r="B44" s="54" t="inlineStr">
        <is>
          <t>ADMISIONES</t>
        </is>
      </c>
      <c r="C44" s="55" t="inlineStr">
        <is>
          <t>NUEVA EPS</t>
        </is>
      </c>
      <c r="D44" s="55" t="inlineStr">
        <is>
          <t>Presencial - Buzón de sugerencias</t>
        </is>
      </c>
      <c r="E44" s="55" t="inlineStr">
        <is>
          <t>DENUNCIA</t>
        </is>
      </c>
      <c r="F44" s="55" t="inlineStr">
        <is>
          <t>USUARIO</t>
        </is>
      </c>
      <c r="G44" s="55" t="inlineStr">
        <is>
          <t>CEDULA DE CIUDADANIA</t>
        </is>
      </c>
      <c r="H44" s="55" t="inlineStr">
        <is>
          <t>SEDE</t>
        </is>
      </c>
      <c r="I44" s="55" t="inlineStr">
        <is>
          <t>Recibida</t>
        </is>
      </c>
      <c r="J44" s="55" t="inlineStr">
        <is>
          <t>FEMENINO</t>
        </is>
      </c>
      <c r="K44" s="55" t="inlineStr">
        <is>
          <t>SUBSIDIADO</t>
        </is>
      </c>
      <c r="L44" s="55" t="inlineStr">
        <is>
          <t>No aplica</t>
        </is>
      </c>
      <c r="M44" s="55" t="inlineStr">
        <is>
          <t>Presencial</t>
        </is>
      </c>
      <c r="N44" s="55" t="inlineStr">
        <is>
          <t>T1 Oportunidad en citas</t>
        </is>
      </c>
      <c r="O44" s="54" t="n"/>
      <c r="P44" s="54" t="n"/>
      <c r="Q44" s="54" t="n"/>
      <c r="R44" s="54" t="n"/>
      <c r="S44" s="54" t="n"/>
      <c r="T44" s="54" t="n"/>
      <c r="U44" s="54" t="n"/>
      <c r="V44" s="54" t="n"/>
      <c r="W44" s="54" t="n"/>
      <c r="X44" s="54" t="n"/>
      <c r="Y44" s="54" t="n"/>
      <c r="Z44" s="54" t="n"/>
    </row>
    <row r="45" ht="15.75" customHeight="1" s="57">
      <c r="A45" s="55" t="inlineStr">
        <is>
          <t>C. BOSQUES DE MARIA</t>
        </is>
      </c>
      <c r="B45" s="55" t="inlineStr">
        <is>
          <t>ALIMENTACIÓN</t>
        </is>
      </c>
      <c r="C45" s="55" t="inlineStr">
        <is>
          <t>MUTUAL SER EPS</t>
        </is>
      </c>
      <c r="D45" s="55" t="inlineStr">
        <is>
          <t>QR - Formulario</t>
        </is>
      </c>
      <c r="E45" s="55" t="inlineStr">
        <is>
          <t>FELICITACION</t>
        </is>
      </c>
      <c r="F45" s="55" t="inlineStr">
        <is>
          <t>COLABORADOR</t>
        </is>
      </c>
      <c r="G45" s="55" t="inlineStr">
        <is>
          <t>CEDULA DE EXTRANJERIA</t>
        </is>
      </c>
      <c r="H45" s="55" t="inlineStr">
        <is>
          <t>SUPERSALUD</t>
        </is>
      </c>
      <c r="I45" s="55" t="inlineStr">
        <is>
          <t>En análisis</t>
        </is>
      </c>
      <c r="J45" s="55" t="inlineStr">
        <is>
          <t>MASCULINO</t>
        </is>
      </c>
      <c r="K45" s="55" t="inlineStr">
        <is>
          <t>CONTRIBUTIVO</t>
        </is>
      </c>
      <c r="L45" s="55" t="inlineStr">
        <is>
          <t>Gestante</t>
        </is>
      </c>
      <c r="M45" s="55" t="inlineStr">
        <is>
          <t>Telemedicina</t>
        </is>
      </c>
      <c r="N45" s="55" t="inlineStr">
        <is>
          <t>T2 Entrega de medicamentos</t>
        </is>
      </c>
      <c r="O45" s="54" t="n"/>
      <c r="P45" s="54" t="n"/>
      <c r="Q45" s="54" t="n"/>
      <c r="R45" s="54" t="n"/>
      <c r="S45" s="54" t="n"/>
      <c r="T45" s="54" t="n"/>
      <c r="U45" s="54" t="n"/>
      <c r="V45" s="54" t="n"/>
      <c r="W45" s="54" t="n"/>
      <c r="X45" s="54" t="n"/>
      <c r="Y45" s="54" t="n"/>
      <c r="Z45" s="54" t="n"/>
    </row>
    <row r="46" ht="15.75" customHeight="1" s="57">
      <c r="A46" s="55" t="inlineStr">
        <is>
          <t xml:space="preserve">C. CIUDADELA </t>
        </is>
      </c>
      <c r="B46" s="7" t="inlineStr">
        <is>
          <t>APOYO DIAGNOSTICO</t>
        </is>
      </c>
      <c r="C46" s="55" t="inlineStr">
        <is>
          <t>COOSALUD EPS</t>
        </is>
      </c>
      <c r="D46" s="55" t="inlineStr">
        <is>
          <t>Correo electrónico</t>
        </is>
      </c>
      <c r="E46" s="55" t="inlineStr">
        <is>
          <t>PETICIÓN</t>
        </is>
      </c>
      <c r="F46" s="55" t="inlineStr">
        <is>
          <t>ACUDIENTE</t>
        </is>
      </c>
      <c r="G46" s="55" t="inlineStr">
        <is>
          <t>TARJETA DE IDENTIDAD</t>
        </is>
      </c>
      <c r="H46" s="55" t="inlineStr">
        <is>
          <t>SECRETARIA DE SALUD</t>
        </is>
      </c>
      <c r="I46" s="55" t="inlineStr">
        <is>
          <t>En gestión</t>
        </is>
      </c>
      <c r="J46" s="55" t="inlineStr">
        <is>
          <t>OTRO</t>
        </is>
      </c>
      <c r="K46" s="55" t="inlineStr">
        <is>
          <t>PARTICULAR</t>
        </is>
      </c>
      <c r="L46" s="55" t="inlineStr">
        <is>
          <t>Discapacidad</t>
        </is>
      </c>
      <c r="M46" s="55" t="inlineStr">
        <is>
          <t>Extramural</t>
        </is>
      </c>
      <c r="N46" s="55" t="inlineStr">
        <is>
          <t>T3 Programación de cirugías</t>
        </is>
      </c>
      <c r="O46" s="54" t="n"/>
      <c r="P46" s="54" t="n"/>
      <c r="Q46" s="54" t="n"/>
      <c r="R46" s="54" t="n"/>
      <c r="S46" s="54" t="n"/>
      <c r="T46" s="54" t="n"/>
      <c r="U46" s="54" t="n"/>
      <c r="V46" s="54" t="n"/>
      <c r="W46" s="54" t="n"/>
      <c r="X46" s="54" t="n"/>
      <c r="Y46" s="54" t="n"/>
      <c r="Z46" s="54" t="n"/>
    </row>
    <row r="47" ht="15.75" customHeight="1" s="57">
      <c r="A47" s="55" t="inlineStr">
        <is>
          <t>C. LA MANGA</t>
        </is>
      </c>
      <c r="B47" s="54" t="inlineStr">
        <is>
          <t>ASIGNACIÓN DE CITAS</t>
        </is>
      </c>
      <c r="C47" s="55" t="inlineStr">
        <is>
          <t>PROTEGER EPS</t>
        </is>
      </c>
      <c r="D47" s="55" t="inlineStr">
        <is>
          <t>Telefónico</t>
        </is>
      </c>
      <c r="E47" s="55" t="inlineStr">
        <is>
          <t>QUEJA</t>
        </is>
      </c>
      <c r="F47" s="55" t="inlineStr">
        <is>
          <t>FAMILIAR</t>
        </is>
      </c>
      <c r="G47" s="55" t="inlineStr">
        <is>
          <t>REGISTRO CIVIL</t>
        </is>
      </c>
      <c r="H47" s="54" t="inlineStr">
        <is>
          <t>EPS</t>
        </is>
      </c>
      <c r="I47" s="55" t="inlineStr">
        <is>
          <t>Respondida - Cerrada</t>
        </is>
      </c>
      <c r="J47" s="54" t="n"/>
      <c r="K47" s="55" t="inlineStr">
        <is>
          <t>BENEFICIARIO</t>
        </is>
      </c>
      <c r="L47" s="55" t="inlineStr">
        <is>
          <t>Víctima del conflicto</t>
        </is>
      </c>
      <c r="N47" s="55" t="inlineStr">
        <is>
          <t>T4 Trato del personal</t>
        </is>
      </c>
      <c r="O47" s="54" t="n"/>
      <c r="P47" s="54" t="n"/>
      <c r="Q47" s="54" t="n"/>
      <c r="R47" s="54" t="n"/>
      <c r="S47" s="54" t="n"/>
      <c r="T47" s="54" t="n"/>
      <c r="U47" s="54" t="n"/>
      <c r="V47" s="54" t="n"/>
      <c r="W47" s="54" t="n"/>
      <c r="X47" s="54" t="n"/>
      <c r="Y47" s="54" t="n"/>
      <c r="Z47" s="54" t="n"/>
    </row>
    <row r="48" ht="15.75" customHeight="1" s="57">
      <c r="A48" s="55" t="inlineStr">
        <is>
          <t>C. LA PLAYA</t>
        </is>
      </c>
      <c r="B48" s="54" t="inlineStr">
        <is>
          <t>ATENCIÓN AL USUARIO</t>
        </is>
      </c>
      <c r="C48" s="55" t="inlineStr">
        <is>
          <t>SALUD TOTAL EPS</t>
        </is>
      </c>
      <c r="D48" s="55" t="inlineStr">
        <is>
          <t>Redes sociales</t>
        </is>
      </c>
      <c r="E48" s="55" t="inlineStr">
        <is>
          <t>RECLAMO</t>
        </is>
      </c>
      <c r="F48" s="55" t="inlineStr">
        <is>
          <t>OTRO</t>
        </is>
      </c>
      <c r="G48" s="55" t="inlineStr">
        <is>
          <t>SALVACONDUCTO</t>
        </is>
      </c>
      <c r="H48" s="54" t="n"/>
      <c r="I48" s="54" t="n"/>
      <c r="J48" s="54" t="n"/>
      <c r="K48" s="55" t="inlineStr">
        <is>
          <t>OTRO</t>
        </is>
      </c>
      <c r="L48" s="55" t="inlineStr">
        <is>
          <t>Indígena</t>
        </is>
      </c>
      <c r="M48" s="54" t="n"/>
      <c r="N48" s="55" t="inlineStr">
        <is>
          <t>T5 Autorizaciones y trámites</t>
        </is>
      </c>
      <c r="O48" s="54" t="n"/>
      <c r="P48" s="54" t="n"/>
      <c r="Q48" s="54" t="n"/>
      <c r="R48" s="54" t="n"/>
      <c r="S48" s="54" t="n"/>
      <c r="T48" s="54" t="n"/>
      <c r="U48" s="54" t="n"/>
      <c r="V48" s="54" t="n"/>
      <c r="W48" s="54" t="n"/>
      <c r="X48" s="54" t="n"/>
      <c r="Y48" s="54" t="n"/>
      <c r="Z48" s="54" t="n"/>
    </row>
    <row r="49" ht="15.75" customHeight="1" s="57">
      <c r="A49" s="55" t="inlineStr">
        <is>
          <t>C. LUZ CHINITA</t>
        </is>
      </c>
      <c r="B49" s="55" t="inlineStr">
        <is>
          <t>AUTORIZACIONES</t>
        </is>
      </c>
      <c r="C49" s="55" t="inlineStr">
        <is>
          <t>EPS SANITAS</t>
        </is>
      </c>
      <c r="E49" s="54" t="inlineStr">
        <is>
          <t>SOLICITUD</t>
        </is>
      </c>
      <c r="F49" s="55" t="n"/>
      <c r="G49" s="7" t="inlineStr">
        <is>
          <t>PASAPORTE</t>
        </is>
      </c>
      <c r="H49" s="54" t="n"/>
      <c r="I49" s="54" t="n"/>
      <c r="J49" s="54" t="n"/>
      <c r="K49" s="54" t="n"/>
      <c r="L49" s="55" t="inlineStr">
        <is>
          <t>Afrodescendiente</t>
        </is>
      </c>
      <c r="M49" s="54" t="n"/>
      <c r="N49" s="55" t="inlineStr">
        <is>
          <t>T6 Infraestructura y aseo</t>
        </is>
      </c>
      <c r="O49" s="54" t="n"/>
      <c r="P49" s="54" t="n"/>
      <c r="Q49" s="54" t="n"/>
      <c r="R49" s="54" t="n"/>
      <c r="S49" s="54" t="n"/>
      <c r="T49" s="54" t="n"/>
      <c r="U49" s="54" t="n"/>
      <c r="V49" s="54" t="n"/>
      <c r="W49" s="54" t="n"/>
      <c r="X49" s="54" t="n"/>
      <c r="Y49" s="54" t="n"/>
      <c r="Z49" s="54" t="n"/>
    </row>
    <row r="50" ht="15.75" customHeight="1" s="57">
      <c r="A50" s="55" t="inlineStr">
        <is>
          <t>C. MURILLO</t>
        </is>
      </c>
      <c r="B50" s="54" t="inlineStr">
        <is>
          <t>CALL CENTER</t>
        </is>
      </c>
      <c r="C50" s="55" t="inlineStr">
        <is>
          <t>EPS SURA</t>
        </is>
      </c>
      <c r="D50" s="54" t="n"/>
      <c r="E50" s="55" t="inlineStr">
        <is>
          <t>SUGERENCIA</t>
        </is>
      </c>
      <c r="F50" s="54" t="n"/>
      <c r="G50" s="55" t="inlineStr">
        <is>
          <t>PERMISO POR PROTECCION TEMPORAL</t>
        </is>
      </c>
      <c r="H50" s="54" t="n"/>
      <c r="I50" s="54" t="n"/>
      <c r="J50" s="54" t="n"/>
      <c r="K50" s="54" t="n"/>
      <c r="L50" s="55" t="inlineStr">
        <is>
          <t>Adulto mayor</t>
        </is>
      </c>
      <c r="M50" s="54" t="n"/>
      <c r="N50" s="55" t="inlineStr">
        <is>
          <t>T7 Facturación</t>
        </is>
      </c>
      <c r="O50" s="54" t="n"/>
      <c r="P50" s="54" t="n"/>
      <c r="Q50" s="54" t="n"/>
      <c r="R50" s="54" t="n"/>
      <c r="S50" s="54" t="n"/>
      <c r="T50" s="54" t="n"/>
      <c r="U50" s="54" t="n"/>
      <c r="V50" s="54" t="n"/>
      <c r="W50" s="54" t="n"/>
      <c r="X50" s="54" t="n"/>
      <c r="Y50" s="54" t="n"/>
      <c r="Z50" s="54" t="n"/>
    </row>
    <row r="51" ht="15.75" customHeight="1" s="57">
      <c r="A51" s="55" t="inlineStr">
        <is>
          <t>C. NAZARETH</t>
        </is>
      </c>
      <c r="B51" s="55" t="inlineStr">
        <is>
          <t>CIRUGÍA</t>
        </is>
      </c>
      <c r="C51" s="55" t="inlineStr">
        <is>
          <t>FAMISANAR EPS</t>
        </is>
      </c>
      <c r="D51" s="54" t="n"/>
      <c r="E51" s="55" t="inlineStr">
        <is>
          <t>TUTELA</t>
        </is>
      </c>
      <c r="F51" s="54" t="n"/>
      <c r="G51" s="55" t="inlineStr">
        <is>
          <t>PERMISO ESPECIAL DE PERMANENCIA</t>
        </is>
      </c>
      <c r="H51" s="54" t="n"/>
      <c r="I51" s="54" t="n"/>
      <c r="J51" s="54" t="n"/>
      <c r="K51" s="54" t="n"/>
      <c r="L51" s="55" t="inlineStr">
        <is>
          <t>Menor de edad</t>
        </is>
      </c>
      <c r="M51" s="54" t="n"/>
      <c r="N51" s="55" t="inlineStr">
        <is>
          <t>T8 Otra</t>
        </is>
      </c>
      <c r="O51" s="54" t="n"/>
      <c r="P51" s="54" t="n"/>
      <c r="Q51" s="54" t="n"/>
      <c r="R51" s="54" t="n"/>
      <c r="S51" s="54" t="n"/>
      <c r="T51" s="54" t="n"/>
      <c r="U51" s="54" t="n"/>
      <c r="V51" s="54" t="n"/>
      <c r="W51" s="54" t="n"/>
      <c r="X51" s="54" t="n"/>
      <c r="Y51" s="54" t="n"/>
      <c r="Z51" s="54" t="n"/>
    </row>
    <row r="52" ht="15.75" customHeight="1" s="57">
      <c r="A52" s="55" t="inlineStr">
        <is>
          <t>C. NUEVO BARRANQUILLA</t>
        </is>
      </c>
      <c r="B52" s="55" t="inlineStr">
        <is>
          <t>CONSULTA EXTERNA - MEDICINA GENERAL</t>
        </is>
      </c>
      <c r="C52" s="55" t="inlineStr">
        <is>
          <t>EPS FAMILIAR DE COLOMBIA</t>
        </is>
      </c>
      <c r="D52" s="54" t="n"/>
      <c r="E52" s="54" t="n"/>
      <c r="F52" s="54" t="n"/>
      <c r="G52" s="54" t="inlineStr">
        <is>
          <t>OTRO</t>
        </is>
      </c>
      <c r="H52" s="54" t="n"/>
      <c r="I52" s="54" t="n"/>
      <c r="J52" s="54" t="n"/>
      <c r="K52" s="54" t="n"/>
      <c r="L52" s="55" t="inlineStr">
        <is>
          <t>Migrante</t>
        </is>
      </c>
      <c r="M52" s="54" t="n"/>
      <c r="N52" s="54" t="n"/>
      <c r="O52" s="54" t="n"/>
      <c r="P52" s="54" t="n"/>
      <c r="Q52" s="54" t="n"/>
      <c r="R52" s="54" t="n"/>
      <c r="S52" s="54" t="n"/>
      <c r="T52" s="54" t="n"/>
      <c r="U52" s="54" t="n"/>
      <c r="V52" s="54" t="n"/>
      <c r="W52" s="54" t="n"/>
      <c r="X52" s="54" t="n"/>
      <c r="Y52" s="54" t="n"/>
      <c r="Z52" s="54" t="n"/>
    </row>
    <row r="53" ht="15.75" customHeight="1" s="57">
      <c r="A53" s="55" t="inlineStr">
        <is>
          <t>C. SALUDMETROPOLITANA</t>
        </is>
      </c>
      <c r="B53" s="55" t="inlineStr">
        <is>
          <t>CONSULTA EXTERNA - NUTRICION</t>
        </is>
      </c>
      <c r="C53" s="55" t="inlineStr">
        <is>
          <t>SECRETARÍA DISTRITAL DE SALUD DE BARRANQUILLA</t>
        </is>
      </c>
      <c r="D53" s="54" t="n"/>
      <c r="E53" s="54" t="n"/>
      <c r="F53" s="54" t="n"/>
      <c r="G53" s="54" t="n"/>
      <c r="H53" s="54" t="n"/>
      <c r="I53" s="54" t="n"/>
      <c r="J53" s="54" t="n"/>
      <c r="K53" s="54" t="n"/>
      <c r="L53" s="55" t="inlineStr">
        <is>
          <t>Otro</t>
        </is>
      </c>
      <c r="M53" s="54" t="n"/>
      <c r="N53" s="54" t="n"/>
      <c r="O53" s="54" t="n"/>
      <c r="P53" s="54" t="n"/>
      <c r="Q53" s="54" t="n"/>
      <c r="R53" s="54" t="n"/>
      <c r="S53" s="54" t="n"/>
      <c r="T53" s="54" t="n"/>
      <c r="U53" s="54" t="n"/>
      <c r="V53" s="54" t="n"/>
      <c r="W53" s="54" t="n"/>
      <c r="X53" s="54" t="n"/>
      <c r="Y53" s="54" t="n"/>
      <c r="Z53" s="54" t="n"/>
    </row>
    <row r="54" ht="15.75" customHeight="1" s="57">
      <c r="A54" s="55" t="inlineStr">
        <is>
          <t>C. SIMON BOLIVAR</t>
        </is>
      </c>
      <c r="B54" s="55" t="inlineStr">
        <is>
          <t>CONSULTA EXTERNA - ODONTOLOGIA</t>
        </is>
      </c>
      <c r="C54" s="55" t="inlineStr">
        <is>
          <t>SECRETARÍA DISTRITAL DE GESTIÓN SOCIAL DE BARRANQUILLA</t>
        </is>
      </c>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row>
    <row r="55" ht="15.75" customHeight="1" s="57">
      <c r="A55" s="55" t="inlineStr">
        <is>
          <t>C. SUROCCIDENTE</t>
        </is>
      </c>
      <c r="B55" s="55" t="inlineStr">
        <is>
          <t>CONSULTA EXTERNA - PSICOLOGIA</t>
        </is>
      </c>
      <c r="C55" s="55" t="inlineStr">
        <is>
          <t>ICBF – INSTITUTO COLOMBIANO DE BIENESTAR FAMILIAR</t>
        </is>
      </c>
      <c r="D55" s="54" t="n"/>
      <c r="E55" s="54" t="n"/>
      <c r="F55" s="54" t="n"/>
      <c r="G55" s="54" t="n"/>
      <c r="H55" s="54" t="n"/>
      <c r="I55" s="54" t="n"/>
      <c r="J55" s="54" t="n"/>
      <c r="K55" s="54" t="n"/>
      <c r="L55" s="54" t="n"/>
      <c r="M55" s="54" t="n"/>
      <c r="N55" s="54" t="n"/>
      <c r="O55" s="54" t="n"/>
      <c r="P55" s="54" t="n"/>
      <c r="Q55" s="54" t="n"/>
      <c r="R55" s="54" t="n"/>
      <c r="S55" s="54" t="n"/>
      <c r="T55" s="54" t="n"/>
      <c r="U55" s="54" t="n"/>
      <c r="V55" s="54" t="n"/>
      <c r="W55" s="54" t="n"/>
      <c r="X55" s="54" t="n"/>
      <c r="Y55" s="54" t="n"/>
      <c r="Z55" s="54" t="n"/>
    </row>
    <row r="56" ht="15.75" customHeight="1" s="57">
      <c r="A56" s="55" t="inlineStr">
        <is>
          <t>INTERPRETE</t>
        </is>
      </c>
      <c r="B56" s="55" t="inlineStr">
        <is>
          <t>CUIDADO INTENSIVO ADULTOS</t>
        </is>
      </c>
      <c r="C56" s="54" t="inlineStr">
        <is>
          <t>PERSONERÍA DISTRITAL DE BARRANQUILLA</t>
        </is>
      </c>
      <c r="D56" s="54" t="n"/>
      <c r="E56" s="54" t="n"/>
      <c r="F56" s="54" t="n"/>
      <c r="G56" s="54" t="n"/>
      <c r="H56" s="54" t="n"/>
      <c r="I56" s="54" t="n"/>
      <c r="J56" s="54" t="n"/>
      <c r="K56" s="54" t="n"/>
      <c r="L56" s="54" t="n"/>
      <c r="M56" s="54" t="n"/>
      <c r="N56" s="54" t="n"/>
      <c r="O56" s="54" t="n"/>
      <c r="P56" s="54" t="n"/>
      <c r="Q56" s="54" t="n"/>
      <c r="R56" s="54" t="n"/>
      <c r="S56" s="54" t="n"/>
      <c r="T56" s="54" t="n"/>
      <c r="U56" s="54" t="n"/>
      <c r="V56" s="54" t="n"/>
      <c r="W56" s="54" t="n"/>
      <c r="X56" s="54" t="n"/>
      <c r="Y56" s="54" t="n"/>
      <c r="Z56" s="54" t="n"/>
    </row>
    <row r="57" ht="15.75" customHeight="1" s="57">
      <c r="A57" s="55" t="inlineStr">
        <is>
          <t>P. BARLOVENTO</t>
        </is>
      </c>
      <c r="B57" s="55" t="inlineStr">
        <is>
          <t>CUIDADO INTENSIVO NEONATAL</t>
        </is>
      </c>
      <c r="C57" s="54" t="inlineStr">
        <is>
          <t>DEFENSORÍA DEL PUEBLO</t>
        </is>
      </c>
      <c r="D57" s="54" t="n"/>
      <c r="E57" s="54" t="n"/>
      <c r="F57" s="54" t="n"/>
      <c r="G57" s="54" t="n"/>
      <c r="H57" s="54" t="n"/>
      <c r="I57" s="54" t="n"/>
      <c r="J57" s="54" t="n"/>
      <c r="K57" s="54" t="n"/>
      <c r="L57" s="54" t="n"/>
      <c r="M57" s="54" t="n"/>
      <c r="N57" s="54" t="n"/>
      <c r="O57" s="54" t="n"/>
      <c r="P57" s="54" t="n"/>
      <c r="Q57" s="54" t="n"/>
      <c r="R57" s="54" t="n"/>
      <c r="S57" s="54" t="n"/>
      <c r="T57" s="54" t="n"/>
      <c r="U57" s="54" t="n"/>
      <c r="V57" s="54" t="n"/>
      <c r="W57" s="54" t="n"/>
      <c r="X57" s="54" t="n"/>
      <c r="Y57" s="54" t="n"/>
      <c r="Z57" s="54" t="n"/>
    </row>
    <row r="58" ht="15.75" customHeight="1" s="57">
      <c r="A58" s="55" t="inlineStr">
        <is>
          <t>P. BUENA ESPERANZA</t>
        </is>
      </c>
      <c r="B58" s="55" t="inlineStr">
        <is>
          <t>CUIDADO INTENSIVO PEDIÁTRICO</t>
        </is>
      </c>
      <c r="C58" s="54" t="inlineStr">
        <is>
          <t>SUPERINTENDENCIA NACIONAL DE SALUD – SUPERSALUD</t>
        </is>
      </c>
      <c r="D58" s="54" t="n"/>
      <c r="E58" s="54" t="n"/>
      <c r="F58" s="54" t="n"/>
      <c r="G58" s="54" t="n"/>
      <c r="H58" s="54" t="n"/>
      <c r="I58" s="54" t="n"/>
      <c r="J58" s="54" t="n"/>
      <c r="K58" s="54" t="n"/>
      <c r="L58" s="54" t="n"/>
      <c r="M58" s="54" t="n"/>
      <c r="N58" s="54" t="n"/>
      <c r="O58" s="54" t="n"/>
      <c r="P58" s="54" t="n"/>
      <c r="Q58" s="54" t="n"/>
      <c r="R58" s="54" t="n"/>
      <c r="S58" s="54" t="n"/>
      <c r="T58" s="54" t="n"/>
      <c r="U58" s="54" t="n"/>
      <c r="V58" s="54" t="n"/>
      <c r="W58" s="54" t="n"/>
      <c r="X58" s="54" t="n"/>
      <c r="Y58" s="54" t="n"/>
      <c r="Z58" s="54" t="n"/>
    </row>
    <row r="59" ht="15.75" customHeight="1" s="57">
      <c r="A59" s="55" t="inlineStr">
        <is>
          <t>P. CARLOS MEISEL</t>
        </is>
      </c>
      <c r="B59" s="55" t="inlineStr">
        <is>
          <t>CUIDADO INTERMEDIO ADULTOS</t>
        </is>
      </c>
      <c r="C59" s="54" t="inlineStr">
        <is>
          <t>UNIDAD PARA LAS VÍCTIMAS – UARIV</t>
        </is>
      </c>
      <c r="D59" s="54" t="n"/>
      <c r="E59" s="54" t="n"/>
      <c r="F59" s="54" t="n"/>
      <c r="G59" s="54" t="n"/>
      <c r="H59" s="54" t="n"/>
      <c r="I59" s="54" t="n"/>
      <c r="J59" s="54" t="n"/>
      <c r="K59" s="54" t="n"/>
      <c r="L59" s="54" t="n"/>
      <c r="M59" s="54" t="n"/>
      <c r="N59" s="54" t="n"/>
      <c r="O59" s="54" t="n"/>
      <c r="P59" s="54" t="n"/>
      <c r="Q59" s="54" t="n"/>
      <c r="R59" s="54" t="n"/>
      <c r="S59" s="54" t="n"/>
      <c r="T59" s="54" t="n"/>
      <c r="U59" s="54" t="n"/>
      <c r="V59" s="54" t="n"/>
      <c r="W59" s="54" t="n"/>
      <c r="X59" s="54" t="n"/>
      <c r="Y59" s="54" t="n"/>
      <c r="Z59" s="54" t="n"/>
    </row>
    <row r="60" ht="15.75" customHeight="1" s="57">
      <c r="A60" s="55" t="inlineStr">
        <is>
          <t>P. CARRIZAL</t>
        </is>
      </c>
      <c r="B60" s="55" t="inlineStr">
        <is>
          <t>CUIDADO INTERMEDIO NEONATAL</t>
        </is>
      </c>
      <c r="C60" s="54" t="inlineStr">
        <is>
          <t>SISBÉN</t>
        </is>
      </c>
      <c r="D60" s="54" t="n"/>
      <c r="E60" s="54" t="n"/>
      <c r="F60" s="54" t="n"/>
      <c r="G60" s="54" t="n"/>
      <c r="H60" s="54" t="n"/>
      <c r="I60" s="54" t="n"/>
      <c r="J60" s="54" t="n"/>
      <c r="K60" s="54" t="n"/>
      <c r="L60" s="54" t="n"/>
      <c r="M60" s="54" t="n"/>
      <c r="N60" s="54" t="n"/>
      <c r="O60" s="54" t="n"/>
      <c r="P60" s="54" t="n"/>
      <c r="Q60" s="54" t="n"/>
      <c r="R60" s="54" t="n"/>
      <c r="S60" s="54" t="n"/>
      <c r="T60" s="54" t="n"/>
      <c r="U60" s="54" t="n"/>
      <c r="V60" s="54" t="n"/>
      <c r="W60" s="54" t="n"/>
      <c r="X60" s="54" t="n"/>
      <c r="Y60" s="54" t="n"/>
      <c r="Z60" s="54" t="n"/>
    </row>
    <row r="61" ht="15.75" customHeight="1" s="57">
      <c r="A61" s="55" t="inlineStr">
        <is>
          <t>P. ESMERALDA LIPAYA</t>
        </is>
      </c>
      <c r="B61" s="55" t="inlineStr">
        <is>
          <t>CUIDADO INTERMEDIO PEDIÁTRICO</t>
        </is>
      </c>
      <c r="C61" s="54" t="inlineStr">
        <is>
          <t>COMISARÍAS DE FAMILIA</t>
        </is>
      </c>
      <c r="D61" s="54" t="n"/>
      <c r="E61" s="54" t="n"/>
      <c r="F61" s="54" t="n"/>
      <c r="G61" s="54" t="n"/>
      <c r="H61" s="54" t="n"/>
      <c r="I61" s="54" t="n"/>
      <c r="J61" s="54" t="n"/>
      <c r="K61" s="54" t="n"/>
      <c r="L61" s="54" t="n"/>
      <c r="M61" s="54" t="n"/>
      <c r="N61" s="54" t="n"/>
      <c r="O61" s="54" t="n"/>
      <c r="P61" s="54" t="n"/>
      <c r="Q61" s="54" t="n"/>
      <c r="R61" s="54" t="n"/>
      <c r="S61" s="54" t="n"/>
      <c r="T61" s="54" t="n"/>
      <c r="U61" s="54" t="n"/>
      <c r="V61" s="54" t="n"/>
      <c r="W61" s="54" t="n"/>
      <c r="X61" s="54" t="n"/>
      <c r="Y61" s="54" t="n"/>
      <c r="Z61" s="54" t="n"/>
    </row>
    <row r="62" ht="15.75" customHeight="1" s="57">
      <c r="A62" s="55" t="inlineStr">
        <is>
          <t>P. FERRY</t>
        </is>
      </c>
      <c r="B62" s="55" t="inlineStr">
        <is>
          <t>DOCENCIA</t>
        </is>
      </c>
      <c r="C62" s="54" t="n"/>
      <c r="D62" s="54" t="n"/>
      <c r="E62" s="54" t="n"/>
      <c r="F62" s="54" t="n"/>
      <c r="G62" s="54" t="n"/>
      <c r="H62" s="54" t="n"/>
      <c r="I62" s="54" t="n"/>
      <c r="J62" s="54" t="n"/>
      <c r="K62" s="54" t="n"/>
      <c r="L62" s="54" t="n"/>
      <c r="M62" s="54" t="n"/>
      <c r="N62" s="54" t="n"/>
      <c r="O62" s="54" t="n"/>
      <c r="P62" s="54" t="n"/>
      <c r="Q62" s="54" t="n"/>
      <c r="R62" s="54" t="n"/>
      <c r="S62" s="54" t="n"/>
      <c r="T62" s="54" t="n"/>
      <c r="U62" s="54" t="n"/>
      <c r="V62" s="54" t="n"/>
      <c r="W62" s="54" t="n"/>
      <c r="X62" s="54" t="n"/>
      <c r="Y62" s="54" t="n"/>
      <c r="Z62" s="54" t="n"/>
    </row>
    <row r="63" ht="15.75" customHeight="1" s="57">
      <c r="A63" s="55" t="inlineStr">
        <is>
          <t>P. GALAN</t>
        </is>
      </c>
      <c r="B63" s="55" t="inlineStr">
        <is>
          <t>FARMACIA</t>
        </is>
      </c>
      <c r="C63" s="54" t="n"/>
      <c r="D63" s="54" t="n"/>
      <c r="E63" s="54" t="n"/>
      <c r="F63" s="54" t="n"/>
      <c r="G63" s="54" t="n"/>
      <c r="H63" s="54" t="n"/>
      <c r="I63" s="54" t="n"/>
      <c r="J63" s="54" t="n"/>
      <c r="K63" s="54" t="n"/>
      <c r="L63" s="54" t="n"/>
      <c r="M63" s="54" t="n"/>
      <c r="N63" s="54" t="n"/>
      <c r="O63" s="54" t="n"/>
      <c r="P63" s="54" t="n"/>
      <c r="Q63" s="54" t="n"/>
      <c r="R63" s="54" t="n"/>
      <c r="S63" s="54" t="n"/>
      <c r="T63" s="54" t="n"/>
      <c r="U63" s="54" t="n"/>
      <c r="V63" s="54" t="n"/>
      <c r="W63" s="54" t="n"/>
      <c r="X63" s="54" t="n"/>
      <c r="Y63" s="54" t="n"/>
      <c r="Z63" s="54" t="n"/>
    </row>
    <row r="64" ht="15.75" customHeight="1" s="57">
      <c r="A64" s="55" t="inlineStr">
        <is>
          <t>P. JUAN MINA</t>
        </is>
      </c>
      <c r="B64" s="55" t="inlineStr">
        <is>
          <t>HOSPITALIZACIÓN ADULTOS</t>
        </is>
      </c>
      <c r="C64" s="54" t="n"/>
      <c r="D64" s="54" t="n"/>
      <c r="E64" s="54" t="n"/>
      <c r="F64" s="54" t="n"/>
      <c r="G64" s="54" t="n"/>
      <c r="H64" s="54" t="n"/>
      <c r="I64" s="54" t="n"/>
      <c r="J64" s="54" t="n"/>
      <c r="K64" s="54" t="n"/>
      <c r="L64" s="54" t="n"/>
      <c r="M64" s="54" t="n"/>
      <c r="N64" s="54" t="n"/>
      <c r="O64" s="54" t="n"/>
      <c r="P64" s="54" t="n"/>
      <c r="Q64" s="54" t="n"/>
      <c r="R64" s="54" t="n"/>
      <c r="S64" s="54" t="n"/>
      <c r="T64" s="54" t="n"/>
      <c r="U64" s="54" t="n"/>
      <c r="V64" s="54" t="n"/>
      <c r="W64" s="54" t="n"/>
      <c r="X64" s="54" t="n"/>
      <c r="Y64" s="54" t="n"/>
      <c r="Z64" s="54" t="n"/>
    </row>
    <row r="65" ht="15.75" customHeight="1" s="57">
      <c r="A65" s="55" t="inlineStr">
        <is>
          <t>P. JULIO MONTES</t>
        </is>
      </c>
      <c r="B65" s="55" t="inlineStr">
        <is>
          <t>HOSPITALIZACIÓN GINECOLÓGICA</t>
        </is>
      </c>
      <c r="C65" s="54" t="n"/>
      <c r="D65" s="54" t="n"/>
      <c r="E65" s="54" t="n"/>
      <c r="F65" s="54" t="n"/>
      <c r="G65" s="54" t="n"/>
      <c r="H65" s="54" t="n"/>
      <c r="I65" s="54" t="n"/>
      <c r="J65" s="54" t="n"/>
      <c r="K65" s="54" t="n"/>
      <c r="L65" s="54" t="n"/>
      <c r="M65" s="54" t="n"/>
      <c r="N65" s="54" t="n"/>
      <c r="O65" s="54" t="n"/>
      <c r="P65" s="54" t="n"/>
      <c r="Q65" s="54" t="n"/>
      <c r="R65" s="54" t="n"/>
      <c r="S65" s="54" t="n"/>
      <c r="T65" s="54" t="n"/>
      <c r="U65" s="54" t="n"/>
      <c r="V65" s="54" t="n"/>
      <c r="W65" s="54" t="n"/>
      <c r="X65" s="54" t="n"/>
      <c r="Y65" s="54" t="n"/>
      <c r="Z65" s="54" t="n"/>
    </row>
    <row r="66" ht="15.75" customHeight="1" s="57">
      <c r="A66" s="55" t="inlineStr">
        <is>
          <t>P. LA 21</t>
        </is>
      </c>
      <c r="B66" s="55" t="inlineStr">
        <is>
          <t>HOSPITALIZACIÓN PEDIATRÍA</t>
        </is>
      </c>
      <c r="C66" s="54" t="n"/>
      <c r="D66" s="54" t="n"/>
      <c r="E66" s="54" t="n"/>
      <c r="F66" s="54" t="n"/>
      <c r="G66" s="54" t="n"/>
      <c r="H66" s="54" t="n"/>
      <c r="I66" s="54" t="n"/>
      <c r="J66" s="54" t="n"/>
      <c r="K66" s="54" t="n"/>
      <c r="L66" s="54" t="n"/>
      <c r="M66" s="54" t="n"/>
      <c r="N66" s="54" t="n"/>
      <c r="O66" s="54" t="n"/>
      <c r="P66" s="54" t="n"/>
      <c r="Q66" s="54" t="n"/>
      <c r="R66" s="54" t="n"/>
      <c r="S66" s="54" t="n"/>
      <c r="T66" s="54" t="n"/>
      <c r="U66" s="54" t="n"/>
      <c r="V66" s="54" t="n"/>
      <c r="W66" s="54" t="n"/>
      <c r="X66" s="54" t="n"/>
      <c r="Y66" s="54" t="n"/>
      <c r="Z66" s="54" t="n"/>
    </row>
    <row r="67" ht="15.75" customHeight="1" s="57">
      <c r="A67" s="55" t="inlineStr">
        <is>
          <t>P. LA PRADERA</t>
        </is>
      </c>
      <c r="B67" s="55" t="inlineStr">
        <is>
          <t>LABORATORIO CLINICO</t>
        </is>
      </c>
      <c r="C67" s="54" t="n"/>
      <c r="D67" s="54" t="n"/>
      <c r="E67" s="54" t="n"/>
      <c r="F67" s="54" t="n"/>
      <c r="G67" s="54" t="n"/>
      <c r="H67" s="54" t="n"/>
      <c r="I67" s="54" t="n"/>
      <c r="J67" s="54" t="n"/>
      <c r="K67" s="54" t="n"/>
      <c r="L67" s="54" t="n"/>
      <c r="M67" s="54" t="n"/>
      <c r="N67" s="54" t="n"/>
      <c r="O67" s="54" t="n"/>
      <c r="P67" s="54" t="n"/>
      <c r="Q67" s="54" t="n"/>
      <c r="R67" s="54" t="n"/>
      <c r="S67" s="54" t="n"/>
      <c r="T67" s="54" t="n"/>
      <c r="U67" s="54" t="n"/>
      <c r="V67" s="54" t="n"/>
      <c r="W67" s="54" t="n"/>
      <c r="X67" s="54" t="n"/>
      <c r="Y67" s="54" t="n"/>
      <c r="Z67" s="54" t="n"/>
    </row>
    <row r="68" ht="15.75" customHeight="1" s="57">
      <c r="A68" s="55" t="inlineStr">
        <is>
          <t xml:space="preserve">P. LA VILLA </t>
        </is>
      </c>
      <c r="B68" s="54" t="inlineStr">
        <is>
          <t>ORIENTADOR</t>
        </is>
      </c>
      <c r="C68" s="54" t="n"/>
      <c r="D68" s="54" t="n"/>
      <c r="E68" s="54" t="n"/>
      <c r="F68" s="54" t="n"/>
      <c r="G68" s="54" t="n"/>
      <c r="H68" s="54" t="n"/>
      <c r="I68" s="54" t="n"/>
      <c r="J68" s="54" t="n"/>
      <c r="K68" s="54" t="n"/>
      <c r="L68" s="54" t="n"/>
      <c r="M68" s="54" t="n"/>
      <c r="N68" s="54" t="n"/>
      <c r="O68" s="54" t="n"/>
      <c r="P68" s="54" t="n"/>
      <c r="Q68" s="54" t="n"/>
      <c r="R68" s="54" t="n"/>
      <c r="S68" s="54" t="n"/>
      <c r="T68" s="54" t="n"/>
      <c r="U68" s="54" t="n"/>
      <c r="V68" s="54" t="n"/>
      <c r="W68" s="54" t="n"/>
      <c r="X68" s="54" t="n"/>
      <c r="Y68" s="54" t="n"/>
      <c r="Z68" s="54" t="n"/>
    </row>
    <row r="69" ht="15.75" customHeight="1" s="57">
      <c r="A69" s="55" t="inlineStr">
        <is>
          <t>P. LAS FLORES</t>
        </is>
      </c>
      <c r="B69" s="55" t="inlineStr">
        <is>
          <t>RADIOLOGÍA E IMÁGENES DIAGNÓSTICAS</t>
        </is>
      </c>
      <c r="C69" s="54" t="n"/>
      <c r="D69" s="54" t="n"/>
      <c r="E69" s="54" t="n"/>
      <c r="F69" s="54" t="n"/>
      <c r="G69" s="54" t="n"/>
      <c r="H69" s="54" t="n"/>
      <c r="I69" s="54" t="n"/>
      <c r="J69" s="54" t="n"/>
      <c r="K69" s="54" t="n"/>
      <c r="L69" s="54" t="n"/>
      <c r="M69" s="54" t="n"/>
      <c r="N69" s="54" t="n"/>
      <c r="O69" s="54" t="n"/>
      <c r="P69" s="54" t="n"/>
      <c r="Q69" s="54" t="n"/>
      <c r="R69" s="54" t="n"/>
      <c r="S69" s="54" t="n"/>
      <c r="T69" s="54" t="n"/>
      <c r="U69" s="54" t="n"/>
      <c r="V69" s="54" t="n"/>
      <c r="W69" s="54" t="n"/>
      <c r="X69" s="54" t="n"/>
      <c r="Y69" s="54" t="n"/>
      <c r="Z69" s="54" t="n"/>
    </row>
    <row r="70" ht="15.75" customHeight="1" s="57">
      <c r="A70" s="55" t="inlineStr">
        <is>
          <t>P. LAS MALVINAS</t>
        </is>
      </c>
      <c r="B70" s="55" t="inlineStr">
        <is>
          <t>TELEMEDICINA</t>
        </is>
      </c>
      <c r="C70" s="54" t="n"/>
      <c r="D70" s="54" t="n"/>
      <c r="E70" s="54" t="n"/>
      <c r="F70" s="54" t="n"/>
      <c r="G70" s="54" t="n"/>
      <c r="H70" s="54" t="n"/>
      <c r="I70" s="54" t="n"/>
      <c r="J70" s="54" t="n"/>
      <c r="K70" s="54" t="n"/>
      <c r="L70" s="54" t="n"/>
      <c r="M70" s="54" t="n"/>
      <c r="N70" s="54" t="n"/>
      <c r="O70" s="54" t="n"/>
      <c r="P70" s="54" t="n"/>
      <c r="Q70" s="54" t="n"/>
      <c r="R70" s="54" t="n"/>
      <c r="S70" s="54" t="n"/>
      <c r="T70" s="54" t="n"/>
      <c r="U70" s="54" t="n"/>
      <c r="V70" s="54" t="n"/>
      <c r="W70" s="54" t="n"/>
      <c r="X70" s="54" t="n"/>
      <c r="Y70" s="54" t="n"/>
      <c r="Z70" s="54" t="n"/>
    </row>
    <row r="71" ht="15.75" customHeight="1" s="57">
      <c r="A71" s="55" t="inlineStr">
        <is>
          <t>P. LAS NIEVES</t>
        </is>
      </c>
      <c r="B71" s="55" t="inlineStr">
        <is>
          <t>UNIDAD TRANSFUSIONAL</t>
        </is>
      </c>
      <c r="C71" s="54" t="n"/>
      <c r="D71" s="54" t="n"/>
      <c r="E71" s="54" t="n"/>
      <c r="F71" s="54" t="n"/>
      <c r="G71" s="54" t="n"/>
      <c r="H71" s="54" t="n"/>
      <c r="I71" s="54" t="n"/>
      <c r="J71" s="54" t="n"/>
      <c r="K71" s="54" t="n"/>
      <c r="L71" s="54" t="n"/>
      <c r="M71" s="54" t="n"/>
      <c r="N71" s="54" t="n"/>
      <c r="O71" s="54" t="n"/>
      <c r="P71" s="54" t="n"/>
      <c r="Q71" s="54" t="n"/>
      <c r="R71" s="54" t="n"/>
      <c r="S71" s="54" t="n"/>
      <c r="T71" s="54" t="n"/>
      <c r="U71" s="54" t="n"/>
      <c r="V71" s="54" t="n"/>
      <c r="W71" s="54" t="n"/>
      <c r="X71" s="54" t="n"/>
      <c r="Y71" s="54" t="n"/>
      <c r="Z71" s="54" t="n"/>
    </row>
    <row r="72" ht="15.75" customHeight="1" s="57">
      <c r="A72" s="55" t="inlineStr">
        <is>
          <t>P. LAS PALMAS</t>
        </is>
      </c>
      <c r="B72" s="55" t="inlineStr">
        <is>
          <t>URGENCIAS</t>
        </is>
      </c>
      <c r="C72" s="54" t="n"/>
      <c r="D72" s="54" t="n"/>
      <c r="E72" s="54" t="n"/>
      <c r="F72" s="54" t="n"/>
      <c r="G72" s="54" t="n"/>
      <c r="H72" s="54" t="n"/>
      <c r="I72" s="54" t="n"/>
      <c r="J72" s="54" t="n"/>
      <c r="K72" s="54" t="n"/>
      <c r="L72" s="54" t="n"/>
      <c r="M72" s="54" t="n"/>
      <c r="N72" s="54" t="n"/>
      <c r="O72" s="54" t="n"/>
      <c r="P72" s="54" t="n"/>
      <c r="Q72" s="54" t="n"/>
      <c r="R72" s="54" t="n"/>
      <c r="S72" s="54" t="n"/>
      <c r="T72" s="54" t="n"/>
      <c r="U72" s="54" t="n"/>
      <c r="V72" s="54" t="n"/>
      <c r="W72" s="54" t="n"/>
      <c r="X72" s="54" t="n"/>
      <c r="Y72" s="54" t="n"/>
      <c r="Z72" s="54" t="n"/>
    </row>
    <row r="73" ht="15.75" customHeight="1" s="57">
      <c r="A73" s="55" t="inlineStr">
        <is>
          <t>P. NUEVA ERA</t>
        </is>
      </c>
      <c r="B73" s="55" t="inlineStr">
        <is>
          <t>VACUNACIÓN</t>
        </is>
      </c>
      <c r="C73" s="54" t="n"/>
      <c r="D73" s="54" t="n"/>
      <c r="E73" s="54" t="n"/>
      <c r="F73" s="54" t="n"/>
      <c r="G73" s="54" t="n"/>
      <c r="H73" s="54" t="n"/>
      <c r="I73" s="54" t="n"/>
      <c r="J73" s="54" t="n"/>
      <c r="K73" s="54" t="n"/>
      <c r="L73" s="54" t="n"/>
      <c r="M73" s="54" t="n"/>
      <c r="N73" s="54" t="n"/>
      <c r="O73" s="54" t="n"/>
      <c r="P73" s="54" t="n"/>
      <c r="Q73" s="54" t="n"/>
      <c r="R73" s="54" t="n"/>
      <c r="S73" s="54" t="n"/>
      <c r="T73" s="54" t="n"/>
      <c r="U73" s="54" t="n"/>
      <c r="V73" s="54" t="n"/>
      <c r="W73" s="54" t="n"/>
      <c r="X73" s="54" t="n"/>
      <c r="Y73" s="54" t="n"/>
      <c r="Z73" s="54" t="n"/>
    </row>
    <row r="74" ht="15.75" customHeight="1" s="57">
      <c r="A74" s="55" t="inlineStr">
        <is>
          <t>P. NUEVA VIDA</t>
        </is>
      </c>
      <c r="B74" s="54" t="inlineStr">
        <is>
          <t>WHATSAPP</t>
        </is>
      </c>
      <c r="C74" s="54" t="n"/>
      <c r="D74" s="54" t="n"/>
      <c r="E74" s="54" t="n"/>
      <c r="F74" s="54" t="n"/>
      <c r="G74" s="54" t="n"/>
      <c r="H74" s="54" t="n"/>
      <c r="I74" s="54" t="n"/>
      <c r="J74" s="54" t="n"/>
      <c r="K74" s="54" t="n"/>
      <c r="L74" s="54" t="n"/>
      <c r="M74" s="54" t="n"/>
      <c r="N74" s="54" t="n"/>
      <c r="O74" s="54" t="n"/>
      <c r="P74" s="54" t="n"/>
      <c r="Q74" s="54" t="n"/>
      <c r="R74" s="54" t="n"/>
      <c r="S74" s="54" t="n"/>
      <c r="T74" s="54" t="n"/>
      <c r="U74" s="54" t="n"/>
      <c r="V74" s="54" t="n"/>
      <c r="W74" s="54" t="n"/>
      <c r="X74" s="54" t="n"/>
      <c r="Y74" s="54" t="n"/>
      <c r="Z74" s="54" t="n"/>
    </row>
    <row r="75" ht="15.75" customHeight="1" s="57">
      <c r="A75" s="55" t="inlineStr">
        <is>
          <t>P. REBOLO</t>
        </is>
      </c>
      <c r="C75" s="54" t="n"/>
      <c r="D75" s="54" t="n"/>
      <c r="E75" s="54" t="n"/>
      <c r="F75" s="54" t="n"/>
      <c r="G75" s="54" t="n"/>
      <c r="H75" s="54" t="n"/>
      <c r="I75" s="54" t="n"/>
      <c r="J75" s="54" t="n"/>
      <c r="K75" s="54" t="n"/>
      <c r="L75" s="54" t="n"/>
      <c r="M75" s="54" t="n"/>
      <c r="N75" s="54" t="n"/>
      <c r="O75" s="54" t="n"/>
      <c r="P75" s="54" t="n"/>
      <c r="Q75" s="54" t="n"/>
      <c r="R75" s="54" t="n"/>
      <c r="S75" s="54" t="n"/>
      <c r="T75" s="54" t="n"/>
      <c r="U75" s="54" t="n"/>
      <c r="V75" s="54" t="n"/>
      <c r="W75" s="54" t="n"/>
      <c r="X75" s="54" t="n"/>
      <c r="Y75" s="54" t="n"/>
      <c r="Z75" s="54" t="n"/>
    </row>
    <row r="76" ht="15.75" customHeight="1" s="57">
      <c r="A76" s="55" t="inlineStr">
        <is>
          <t>P. ROSOUR</t>
        </is>
      </c>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row>
    <row r="77" ht="15.75" customHeight="1" s="57">
      <c r="A77" s="55" t="inlineStr">
        <is>
          <t>P. SAN CAMILO</t>
        </is>
      </c>
      <c r="B77" s="54" t="n"/>
      <c r="C77" s="54" t="n"/>
      <c r="D77" s="54" t="n"/>
      <c r="E77" s="54" t="n"/>
      <c r="F77" s="54" t="n"/>
      <c r="G77" s="54" t="n"/>
      <c r="H77" s="54" t="n"/>
      <c r="I77" s="54" t="n"/>
      <c r="J77" s="54" t="n"/>
      <c r="K77" s="54" t="n"/>
      <c r="L77" s="54" t="n"/>
      <c r="M77" s="54" t="n"/>
      <c r="N77" s="54" t="n"/>
      <c r="O77" s="54" t="n"/>
      <c r="P77" s="54" t="n"/>
      <c r="Q77" s="54" t="n"/>
      <c r="R77" s="54" t="n"/>
      <c r="S77" s="54" t="n"/>
      <c r="T77" s="54" t="n"/>
      <c r="U77" s="54" t="n"/>
      <c r="V77" s="54" t="n"/>
      <c r="W77" s="54" t="n"/>
      <c r="X77" s="54" t="n"/>
      <c r="Y77" s="54" t="n"/>
      <c r="Z77" s="54" t="n"/>
    </row>
    <row r="78" ht="15.75" customHeight="1" s="57">
      <c r="A78" s="55" t="inlineStr">
        <is>
          <t>P. SAN JOSE</t>
        </is>
      </c>
      <c r="B78" s="54" t="n"/>
      <c r="C78" s="54" t="n"/>
      <c r="D78" s="54" t="n"/>
      <c r="E78" s="54" t="n"/>
      <c r="F78" s="54" t="n"/>
      <c r="G78" s="54" t="n"/>
      <c r="H78" s="54" t="n"/>
      <c r="I78" s="54" t="n"/>
      <c r="J78" s="54" t="n"/>
      <c r="K78" s="54" t="n"/>
      <c r="L78" s="54" t="n"/>
      <c r="M78" s="54" t="n"/>
      <c r="N78" s="54" t="n"/>
      <c r="O78" s="54" t="n"/>
      <c r="P78" s="54" t="n"/>
      <c r="Q78" s="54" t="n"/>
      <c r="R78" s="54" t="n"/>
      <c r="S78" s="54" t="n"/>
      <c r="T78" s="54" t="n"/>
      <c r="U78" s="54" t="n"/>
      <c r="V78" s="54" t="n"/>
      <c r="W78" s="54" t="n"/>
      <c r="X78" s="54" t="n"/>
      <c r="Y78" s="54" t="n"/>
      <c r="Z78" s="54" t="n"/>
    </row>
    <row r="79" ht="15.75" customHeight="1" s="57">
      <c r="A79" s="55" t="inlineStr">
        <is>
          <t>P. SAN SALVADOR</t>
        </is>
      </c>
      <c r="B79" s="54" t="n"/>
      <c r="C79" s="54" t="n"/>
      <c r="D79" s="54" t="n"/>
      <c r="E79" s="54" t="n"/>
      <c r="F79" s="54" t="n"/>
      <c r="G79" s="54" t="n"/>
      <c r="H79" s="54" t="n"/>
      <c r="I79" s="54" t="n"/>
      <c r="J79" s="54" t="n"/>
      <c r="K79" s="54" t="n"/>
      <c r="L79" s="54" t="n"/>
      <c r="M79" s="54" t="n"/>
      <c r="N79" s="54" t="n"/>
      <c r="O79" s="54" t="n"/>
      <c r="P79" s="54" t="n"/>
      <c r="Q79" s="54" t="n"/>
      <c r="R79" s="54" t="n"/>
      <c r="S79" s="54" t="n"/>
      <c r="T79" s="54" t="n"/>
      <c r="U79" s="54" t="n"/>
      <c r="V79" s="54" t="n"/>
      <c r="W79" s="54" t="n"/>
      <c r="X79" s="54" t="n"/>
      <c r="Y79" s="54" t="n"/>
      <c r="Z79" s="54" t="n"/>
    </row>
    <row r="80" ht="15.75" customHeight="1" s="57">
      <c r="A80" s="55" t="inlineStr">
        <is>
          <t>P. SANTO DOMINGO</t>
        </is>
      </c>
      <c r="B80" s="54" t="n"/>
      <c r="C80" s="54" t="n"/>
      <c r="D80" s="54" t="n"/>
      <c r="E80" s="54" t="n"/>
      <c r="F80" s="54" t="n"/>
      <c r="G80" s="54" t="n"/>
      <c r="H80" s="54" t="n"/>
      <c r="I80" s="54" t="n"/>
      <c r="J80" s="54" t="n"/>
      <c r="K80" s="54" t="n"/>
      <c r="L80" s="54" t="n"/>
      <c r="M80" s="54" t="n"/>
      <c r="N80" s="54" t="n"/>
      <c r="O80" s="54" t="n"/>
      <c r="P80" s="54" t="n"/>
      <c r="Q80" s="54" t="n"/>
      <c r="R80" s="54" t="n"/>
      <c r="S80" s="54" t="n"/>
      <c r="T80" s="54" t="n"/>
      <c r="U80" s="54" t="n"/>
      <c r="V80" s="54" t="n"/>
      <c r="W80" s="54" t="n"/>
      <c r="X80" s="54" t="n"/>
      <c r="Y80" s="54" t="n"/>
      <c r="Z80" s="54" t="n"/>
    </row>
    <row r="81" ht="15.75" customHeight="1" s="57">
      <c r="A81" s="55" t="inlineStr">
        <is>
          <t>P. SIERRITA</t>
        </is>
      </c>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row>
    <row r="82" ht="15.75" customHeight="1" s="57">
      <c r="A82" s="55" t="inlineStr">
        <is>
          <t>P. UNIVERSAL</t>
        </is>
      </c>
      <c r="B82" s="54" t="n"/>
      <c r="C82" s="54" t="n"/>
      <c r="D82" s="54" t="n"/>
      <c r="E82" s="54" t="n"/>
      <c r="F82" s="54" t="n"/>
      <c r="G82" s="54" t="n"/>
      <c r="H82" s="54" t="n"/>
      <c r="I82" s="54" t="n"/>
      <c r="J82" s="54" t="n"/>
      <c r="K82" s="54" t="n"/>
      <c r="L82" s="54" t="n"/>
      <c r="M82" s="54" t="n"/>
      <c r="N82" s="54" t="n"/>
      <c r="O82" s="54" t="n"/>
      <c r="P82" s="54" t="n"/>
      <c r="Q82" s="54" t="n"/>
      <c r="R82" s="54" t="n"/>
      <c r="S82" s="54" t="n"/>
      <c r="T82" s="54" t="n"/>
      <c r="U82" s="54" t="n"/>
      <c r="V82" s="54" t="n"/>
      <c r="W82" s="54" t="n"/>
      <c r="X82" s="54" t="n"/>
      <c r="Y82" s="54" t="n"/>
      <c r="Z82" s="54" t="n"/>
    </row>
    <row r="83" ht="15.75" customHeight="1" s="57">
      <c r="A83" s="55" t="inlineStr">
        <is>
          <t>P. VILLA NUEVA</t>
        </is>
      </c>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row>
    <row r="84" ht="15.75" customHeight="1" s="57">
      <c r="A84" s="55" t="inlineStr">
        <is>
          <t>P. VILLA SAN PABLO</t>
        </is>
      </c>
      <c r="B84" s="54" t="n"/>
      <c r="C84" s="54" t="n"/>
      <c r="D84" s="54" t="n"/>
      <c r="E84" s="54" t="n"/>
      <c r="F84" s="54" t="n"/>
      <c r="G84" s="54" t="n"/>
      <c r="H84" s="54" t="n"/>
      <c r="I84" s="54" t="n"/>
      <c r="J84" s="54" t="n"/>
      <c r="K84" s="54" t="n"/>
      <c r="L84" s="54" t="n"/>
      <c r="M84" s="54" t="n"/>
      <c r="N84" s="54" t="n"/>
      <c r="O84" s="54" t="n"/>
      <c r="P84" s="54" t="n"/>
      <c r="Q84" s="54" t="n"/>
      <c r="R84" s="54" t="n"/>
      <c r="S84" s="54" t="n"/>
      <c r="T84" s="54" t="n"/>
      <c r="U84" s="54" t="n"/>
      <c r="V84" s="54" t="n"/>
      <c r="W84" s="54" t="n"/>
      <c r="X84" s="54" t="n"/>
      <c r="Y84" s="54" t="n"/>
      <c r="Z84" s="54" t="n"/>
    </row>
    <row r="85" ht="15.75" customHeight="1" s="57">
      <c r="A85" s="54" t="n"/>
      <c r="B85" s="54" t="n"/>
      <c r="C85" s="54" t="n"/>
      <c r="D85" s="54" t="n"/>
      <c r="E85" s="54" t="n"/>
      <c r="F85" s="54" t="n"/>
      <c r="G85" s="54" t="n"/>
      <c r="H85" s="54" t="n"/>
      <c r="I85" s="54" t="n"/>
      <c r="J85" s="54" t="n"/>
      <c r="K85" s="54" t="n"/>
      <c r="L85" s="54" t="n"/>
      <c r="M85" s="54" t="n"/>
      <c r="N85" s="54" t="n"/>
      <c r="O85" s="54" t="n"/>
      <c r="P85" s="54" t="n"/>
      <c r="Q85" s="54" t="n"/>
      <c r="R85" s="54" t="n"/>
      <c r="S85" s="54" t="n"/>
      <c r="T85" s="54" t="n"/>
      <c r="U85" s="54" t="n"/>
      <c r="V85" s="54" t="n"/>
      <c r="W85" s="54" t="n"/>
      <c r="X85" s="54" t="n"/>
      <c r="Y85" s="54" t="n"/>
      <c r="Z85" s="54" t="n"/>
    </row>
    <row r="86" ht="15.75" customHeight="1" s="57">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row>
    <row r="87" ht="15.75" customHeight="1" s="57">
      <c r="A87" s="54" t="n"/>
      <c r="B87" s="54" t="n"/>
      <c r="C87" s="54" t="n"/>
      <c r="D87" s="54" t="n"/>
      <c r="E87" s="54" t="n"/>
      <c r="F87" s="54" t="n"/>
      <c r="G87" s="54" t="n"/>
      <c r="H87" s="54" t="n"/>
      <c r="I87" s="54" t="n"/>
      <c r="J87" s="54" t="n"/>
      <c r="K87" s="54" t="n"/>
      <c r="L87" s="54" t="n"/>
      <c r="M87" s="54" t="n"/>
      <c r="N87" s="54" t="n"/>
      <c r="O87" s="54" t="n"/>
      <c r="P87" s="54" t="n"/>
      <c r="Q87" s="54" t="n"/>
      <c r="R87" s="54" t="n"/>
      <c r="S87" s="54" t="n"/>
      <c r="T87" s="54" t="n"/>
      <c r="U87" s="54" t="n"/>
      <c r="V87" s="54" t="n"/>
      <c r="W87" s="54" t="n"/>
      <c r="X87" s="54" t="n"/>
      <c r="Y87" s="54" t="n"/>
      <c r="Z87" s="54" t="n"/>
    </row>
    <row r="88" ht="15.75" customHeight="1" s="57">
      <c r="A88" s="54" t="n"/>
      <c r="B88" s="54" t="n"/>
      <c r="C88" s="54" t="n"/>
      <c r="D88" s="54" t="n"/>
      <c r="E88" s="54" t="n"/>
      <c r="F88" s="54" t="n"/>
      <c r="G88" s="54" t="n"/>
      <c r="H88" s="54" t="n"/>
      <c r="I88" s="54" t="n"/>
      <c r="J88" s="54" t="n"/>
      <c r="K88" s="54" t="n"/>
      <c r="L88" s="54" t="n"/>
      <c r="M88" s="54" t="n"/>
      <c r="N88" s="54" t="n"/>
      <c r="O88" s="54" t="n"/>
      <c r="P88" s="54" t="n"/>
      <c r="Q88" s="54" t="n"/>
      <c r="R88" s="54" t="n"/>
      <c r="S88" s="54" t="n"/>
      <c r="T88" s="54" t="n"/>
      <c r="U88" s="54" t="n"/>
      <c r="V88" s="54" t="n"/>
      <c r="W88" s="54" t="n"/>
      <c r="X88" s="54" t="n"/>
      <c r="Y88" s="54" t="n"/>
      <c r="Z88" s="54" t="n"/>
    </row>
    <row r="89" ht="15.75" customHeight="1" s="57">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row>
    <row r="90" ht="15.75" customHeight="1" s="57">
      <c r="A90" s="54" t="n"/>
      <c r="B90" s="54" t="n"/>
      <c r="C90" s="54" t="n"/>
      <c r="D90" s="54" t="n"/>
      <c r="E90" s="54" t="n"/>
      <c r="F90" s="54" t="n"/>
      <c r="G90" s="54" t="n"/>
      <c r="H90" s="54" t="n"/>
      <c r="I90" s="54" t="n"/>
      <c r="J90" s="54" t="n"/>
      <c r="K90" s="54" t="n"/>
      <c r="L90" s="54" t="n"/>
      <c r="M90" s="54" t="n"/>
      <c r="N90" s="54" t="n"/>
      <c r="O90" s="54" t="n"/>
      <c r="P90" s="54" t="n"/>
      <c r="Q90" s="54" t="n"/>
      <c r="R90" s="54" t="n"/>
      <c r="S90" s="54" t="n"/>
      <c r="T90" s="54" t="n"/>
      <c r="U90" s="54" t="n"/>
      <c r="V90" s="54" t="n"/>
      <c r="W90" s="54" t="n"/>
      <c r="X90" s="54" t="n"/>
      <c r="Y90" s="54" t="n"/>
      <c r="Z90" s="54" t="n"/>
    </row>
    <row r="91" ht="15.75" customHeight="1" s="57">
      <c r="A91" s="54" t="n"/>
      <c r="B91" s="54" t="n"/>
      <c r="C91" s="54" t="n"/>
      <c r="D91" s="54" t="n"/>
      <c r="E91" s="54" t="n"/>
      <c r="F91" s="54" t="n"/>
      <c r="G91" s="54" t="n"/>
      <c r="H91" s="54" t="n"/>
      <c r="I91" s="54" t="n"/>
      <c r="J91" s="54" t="n"/>
      <c r="K91" s="54" t="n"/>
      <c r="L91" s="54" t="n"/>
      <c r="M91" s="54" t="n"/>
      <c r="N91" s="54" t="n"/>
      <c r="O91" s="54" t="n"/>
      <c r="P91" s="54" t="n"/>
      <c r="Q91" s="54" t="n"/>
      <c r="R91" s="54" t="n"/>
      <c r="S91" s="54" t="n"/>
      <c r="T91" s="54" t="n"/>
      <c r="U91" s="54" t="n"/>
      <c r="V91" s="54" t="n"/>
      <c r="W91" s="54" t="n"/>
      <c r="X91" s="54" t="n"/>
      <c r="Y91" s="54" t="n"/>
      <c r="Z91" s="54" t="n"/>
    </row>
    <row r="92" ht="15.75" customHeight="1" s="57">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row>
    <row r="93" ht="15.75" customHeight="1" s="57">
      <c r="A93" s="54" t="n"/>
      <c r="B93" s="54" t="n"/>
      <c r="C93" s="54" t="n"/>
      <c r="D93" s="54" t="n"/>
      <c r="E93" s="54" t="n"/>
      <c r="F93" s="54" t="n"/>
      <c r="G93" s="54" t="n"/>
      <c r="H93" s="54" t="n"/>
      <c r="I93" s="54" t="n"/>
      <c r="J93" s="54" t="n"/>
      <c r="K93" s="54" t="n"/>
      <c r="L93" s="54" t="n"/>
      <c r="M93" s="54" t="n"/>
      <c r="N93" s="54" t="n"/>
      <c r="O93" s="54" t="n"/>
      <c r="P93" s="54" t="n"/>
      <c r="Q93" s="54" t="n"/>
      <c r="R93" s="54" t="n"/>
      <c r="S93" s="54" t="n"/>
      <c r="T93" s="54" t="n"/>
      <c r="U93" s="54" t="n"/>
      <c r="V93" s="54" t="n"/>
      <c r="W93" s="54" t="n"/>
      <c r="X93" s="54" t="n"/>
      <c r="Y93" s="54" t="n"/>
      <c r="Z93" s="54" t="n"/>
    </row>
    <row r="94" ht="15.75" customHeight="1" s="57">
      <c r="A94" s="54" t="n"/>
      <c r="B94" s="54" t="n"/>
      <c r="C94" s="54" t="n"/>
      <c r="D94" s="54" t="n"/>
      <c r="E94" s="54" t="n"/>
      <c r="F94" s="54" t="n"/>
      <c r="G94" s="54" t="n"/>
      <c r="H94" s="54" t="n"/>
      <c r="I94" s="54" t="n"/>
      <c r="J94" s="54" t="n"/>
      <c r="K94" s="54" t="n"/>
      <c r="L94" s="54" t="n"/>
      <c r="M94" s="54" t="n"/>
      <c r="N94" s="54" t="n"/>
      <c r="O94" s="54" t="n"/>
      <c r="P94" s="54" t="n"/>
      <c r="Q94" s="54" t="n"/>
      <c r="R94" s="54" t="n"/>
      <c r="S94" s="54" t="n"/>
      <c r="T94" s="54" t="n"/>
      <c r="U94" s="54" t="n"/>
      <c r="V94" s="54" t="n"/>
      <c r="W94" s="54" t="n"/>
      <c r="X94" s="54" t="n"/>
      <c r="Y94" s="54" t="n"/>
      <c r="Z94" s="54" t="n"/>
    </row>
    <row r="95" ht="15.75" customHeight="1" s="57">
      <c r="A95" s="54" t="n"/>
      <c r="B95" s="54" t="n"/>
      <c r="C95" s="54" t="n"/>
      <c r="D95" s="54" t="n"/>
      <c r="E95" s="54" t="n"/>
      <c r="F95" s="54" t="n"/>
      <c r="G95" s="54" t="n"/>
      <c r="H95" s="54" t="n"/>
      <c r="I95" s="54" t="n"/>
      <c r="J95" s="54" t="n"/>
      <c r="K95" s="54" t="n"/>
      <c r="L95" s="54" t="n"/>
      <c r="M95" s="54" t="n"/>
      <c r="N95" s="54" t="n"/>
      <c r="O95" s="54" t="n"/>
      <c r="P95" s="54" t="n"/>
      <c r="Q95" s="54" t="n"/>
      <c r="R95" s="54" t="n"/>
      <c r="S95" s="54" t="n"/>
      <c r="T95" s="54" t="n"/>
      <c r="U95" s="54" t="n"/>
      <c r="V95" s="54" t="n"/>
      <c r="W95" s="54" t="n"/>
      <c r="X95" s="54" t="n"/>
      <c r="Y95" s="54" t="n"/>
      <c r="Z95" s="54" t="n"/>
    </row>
    <row r="96" ht="15.75" customHeight="1" s="57">
      <c r="A96" s="54" t="n"/>
      <c r="B96" s="54" t="n"/>
      <c r="C96" s="54" t="n"/>
      <c r="D96" s="54" t="n"/>
      <c r="E96" s="54" t="n"/>
      <c r="F96" s="54" t="n"/>
      <c r="G96" s="54" t="n"/>
      <c r="H96" s="54" t="n"/>
      <c r="I96" s="54" t="n"/>
      <c r="J96" s="54" t="n"/>
      <c r="K96" s="54" t="n"/>
      <c r="L96" s="54" t="n"/>
      <c r="M96" s="54" t="n"/>
      <c r="N96" s="54" t="n"/>
      <c r="O96" s="54" t="n"/>
      <c r="P96" s="54" t="n"/>
      <c r="Q96" s="54" t="n"/>
      <c r="R96" s="54" t="n"/>
      <c r="S96" s="54" t="n"/>
      <c r="T96" s="54" t="n"/>
      <c r="U96" s="54" t="n"/>
      <c r="V96" s="54" t="n"/>
      <c r="W96" s="54" t="n"/>
      <c r="X96" s="54" t="n"/>
      <c r="Y96" s="54" t="n"/>
      <c r="Z96" s="54" t="n"/>
    </row>
    <row r="97" ht="15.75" customHeight="1" s="57">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row>
    <row r="98" ht="15.75" customHeight="1" s="57">
      <c r="A98" s="54" t="n"/>
      <c r="B98" s="54" t="n"/>
      <c r="C98" s="54" t="n"/>
      <c r="D98" s="54" t="n"/>
      <c r="E98" s="54" t="n"/>
      <c r="F98" s="54" t="n"/>
      <c r="G98" s="54" t="n"/>
      <c r="H98" s="54" t="n"/>
      <c r="I98" s="54" t="n"/>
      <c r="J98" s="54" t="n"/>
      <c r="K98" s="54" t="n"/>
      <c r="L98" s="54" t="n"/>
      <c r="M98" s="54" t="n"/>
      <c r="N98" s="54" t="n"/>
      <c r="O98" s="54" t="n"/>
      <c r="P98" s="54" t="n"/>
      <c r="Q98" s="54" t="n"/>
      <c r="R98" s="54" t="n"/>
      <c r="S98" s="54" t="n"/>
      <c r="T98" s="54" t="n"/>
      <c r="U98" s="54" t="n"/>
      <c r="V98" s="54" t="n"/>
      <c r="W98" s="54" t="n"/>
      <c r="X98" s="54" t="n"/>
      <c r="Y98" s="54" t="n"/>
      <c r="Z98" s="54" t="n"/>
    </row>
    <row r="99" ht="15.75" customHeight="1" s="57">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row>
    <row r="100" ht="15.75" customHeight="1" s="57">
      <c r="A100" s="54" t="n"/>
      <c r="B100" s="54" t="n"/>
      <c r="C100" s="54" t="n"/>
      <c r="D100" s="54" t="n"/>
      <c r="E100" s="54" t="n"/>
      <c r="F100" s="54" t="n"/>
      <c r="G100" s="54" t="n"/>
      <c r="H100" s="54" t="n"/>
      <c r="I100" s="54" t="n"/>
      <c r="J100" s="54" t="n"/>
      <c r="K100" s="54" t="n"/>
      <c r="L100" s="54" t="n"/>
      <c r="M100" s="54" t="n"/>
      <c r="N100" s="54" t="n"/>
      <c r="O100" s="54" t="n"/>
      <c r="P100" s="54" t="n"/>
      <c r="Q100" s="54" t="n"/>
      <c r="R100" s="54" t="n"/>
      <c r="S100" s="54" t="n"/>
      <c r="T100" s="54" t="n"/>
      <c r="U100" s="54" t="n"/>
      <c r="V100" s="54" t="n"/>
      <c r="W100" s="54" t="n"/>
      <c r="X100" s="54" t="n"/>
      <c r="Y100" s="54" t="n"/>
      <c r="Z100" s="54" t="n"/>
    </row>
    <row r="101" ht="15.75" customHeight="1" s="57">
      <c r="A101" s="54" t="n"/>
      <c r="B101" s="54" t="n"/>
      <c r="C101" s="54" t="n"/>
      <c r="D101" s="54" t="n"/>
      <c r="E101" s="54" t="n"/>
      <c r="F101" s="54" t="n"/>
      <c r="G101" s="54" t="n"/>
      <c r="H101" s="54" t="n"/>
      <c r="I101" s="54" t="n"/>
      <c r="J101" s="54" t="n"/>
      <c r="K101" s="54" t="n"/>
      <c r="L101" s="54" t="n"/>
      <c r="M101" s="54" t="n"/>
      <c r="N101" s="54" t="n"/>
      <c r="O101" s="54" t="n"/>
      <c r="P101" s="54" t="n"/>
      <c r="Q101" s="54" t="n"/>
      <c r="R101" s="54" t="n"/>
      <c r="S101" s="54" t="n"/>
      <c r="T101" s="54" t="n"/>
      <c r="U101" s="54" t="n"/>
      <c r="V101" s="54" t="n"/>
      <c r="W101" s="54" t="n"/>
      <c r="X101" s="54" t="n"/>
      <c r="Y101" s="54" t="n"/>
      <c r="Z101" s="54" t="n"/>
    </row>
    <row r="102" ht="15.75" customHeight="1" s="57">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row>
    <row r="103" ht="15.75" customHeight="1" s="57">
      <c r="A103" s="54" t="n"/>
      <c r="B103" s="54" t="n"/>
      <c r="C103" s="54" t="n"/>
      <c r="D103" s="54" t="n"/>
      <c r="E103" s="54" t="n"/>
      <c r="F103" s="54" t="n"/>
      <c r="G103" s="54" t="n"/>
      <c r="H103" s="54" t="n"/>
      <c r="I103" s="54" t="n"/>
      <c r="J103" s="54" t="n"/>
      <c r="K103" s="54" t="n"/>
      <c r="L103" s="54" t="n"/>
      <c r="M103" s="54" t="n"/>
      <c r="N103" s="54" t="n"/>
      <c r="O103" s="54" t="n"/>
      <c r="P103" s="54" t="n"/>
      <c r="Q103" s="54" t="n"/>
      <c r="R103" s="54" t="n"/>
      <c r="S103" s="54" t="n"/>
      <c r="T103" s="54" t="n"/>
      <c r="U103" s="54" t="n"/>
      <c r="V103" s="54" t="n"/>
      <c r="W103" s="54" t="n"/>
      <c r="X103" s="54" t="n"/>
      <c r="Y103" s="54" t="n"/>
      <c r="Z103" s="54" t="n"/>
    </row>
    <row r="104" ht="15.75" customHeight="1" s="57">
      <c r="A104" s="54" t="n"/>
      <c r="B104" s="54" t="n"/>
      <c r="C104" s="54" t="n"/>
      <c r="D104" s="54" t="n"/>
      <c r="E104" s="54" t="n"/>
      <c r="F104" s="54" t="n"/>
      <c r="G104" s="54" t="n"/>
      <c r="H104" s="54" t="n"/>
      <c r="I104" s="54" t="n"/>
      <c r="J104" s="54" t="n"/>
      <c r="K104" s="54" t="n"/>
      <c r="L104" s="54" t="n"/>
      <c r="M104" s="54" t="n"/>
      <c r="N104" s="54" t="n"/>
      <c r="O104" s="54" t="n"/>
      <c r="P104" s="54" t="n"/>
      <c r="Q104" s="54" t="n"/>
      <c r="R104" s="54" t="n"/>
      <c r="S104" s="54" t="n"/>
      <c r="T104" s="54" t="n"/>
      <c r="U104" s="54" t="n"/>
      <c r="V104" s="54" t="n"/>
      <c r="W104" s="54" t="n"/>
      <c r="X104" s="54" t="n"/>
      <c r="Y104" s="54" t="n"/>
      <c r="Z104" s="54" t="n"/>
    </row>
    <row r="105" ht="15.75" customHeight="1" s="57">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row>
    <row r="106" ht="15.75" customHeight="1" s="57">
      <c r="A106" s="54" t="n"/>
      <c r="B106" s="54" t="n"/>
      <c r="C106" s="54" t="n"/>
      <c r="D106" s="54" t="n"/>
      <c r="E106" s="54" t="n"/>
      <c r="F106" s="54" t="n"/>
      <c r="G106" s="54" t="n"/>
      <c r="H106" s="54" t="n"/>
      <c r="I106" s="54" t="n"/>
      <c r="J106" s="54" t="n"/>
      <c r="K106" s="54" t="n"/>
      <c r="L106" s="54" t="n"/>
      <c r="M106" s="54" t="n"/>
      <c r="N106" s="54" t="n"/>
      <c r="O106" s="54" t="n"/>
      <c r="P106" s="54" t="n"/>
      <c r="Q106" s="54" t="n"/>
      <c r="R106" s="54" t="n"/>
      <c r="S106" s="54" t="n"/>
      <c r="T106" s="54" t="n"/>
      <c r="U106" s="54" t="n"/>
      <c r="V106" s="54" t="n"/>
      <c r="W106" s="54" t="n"/>
      <c r="X106" s="54" t="n"/>
      <c r="Y106" s="54" t="n"/>
      <c r="Z106" s="54" t="n"/>
    </row>
    <row r="107" ht="15.75" customHeight="1" s="57">
      <c r="A107" s="54" t="n"/>
      <c r="B107" s="54" t="n"/>
      <c r="C107" s="54" t="n"/>
      <c r="D107" s="54" t="n"/>
      <c r="E107" s="54" t="n"/>
      <c r="F107" s="54" t="n"/>
      <c r="G107" s="54" t="n"/>
      <c r="H107" s="54" t="n"/>
      <c r="I107" s="54" t="n"/>
      <c r="J107" s="54" t="n"/>
      <c r="K107" s="54" t="n"/>
      <c r="L107" s="54" t="n"/>
      <c r="M107" s="54" t="n"/>
      <c r="N107" s="54" t="n"/>
      <c r="O107" s="54" t="n"/>
      <c r="P107" s="54" t="n"/>
      <c r="Q107" s="54" t="n"/>
      <c r="R107" s="54" t="n"/>
      <c r="S107" s="54" t="n"/>
      <c r="T107" s="54" t="n"/>
      <c r="U107" s="54" t="n"/>
      <c r="V107" s="54" t="n"/>
      <c r="W107" s="54" t="n"/>
      <c r="X107" s="54" t="n"/>
      <c r="Y107" s="54" t="n"/>
      <c r="Z107" s="54" t="n"/>
    </row>
    <row r="108" ht="15.75" customHeight="1" s="57">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row>
    <row r="109" ht="15.75" customHeight="1" s="57">
      <c r="A109" s="54" t="n"/>
      <c r="B109" s="54" t="n"/>
      <c r="C109" s="54" t="n"/>
      <c r="D109" s="54" t="n"/>
      <c r="E109" s="54" t="n"/>
      <c r="F109" s="54" t="n"/>
      <c r="G109" s="54" t="n"/>
      <c r="H109" s="54" t="n"/>
      <c r="I109" s="54" t="n"/>
      <c r="J109" s="54" t="n"/>
      <c r="K109" s="54" t="n"/>
      <c r="L109" s="54" t="n"/>
      <c r="M109" s="54" t="n"/>
      <c r="N109" s="54" t="n"/>
      <c r="O109" s="54" t="n"/>
      <c r="P109" s="54" t="n"/>
      <c r="Q109" s="54" t="n"/>
      <c r="R109" s="54" t="n"/>
      <c r="S109" s="54" t="n"/>
      <c r="T109" s="54" t="n"/>
      <c r="U109" s="54" t="n"/>
      <c r="V109" s="54" t="n"/>
      <c r="W109" s="54" t="n"/>
      <c r="X109" s="54" t="n"/>
      <c r="Y109" s="54" t="n"/>
      <c r="Z109" s="54" t="n"/>
    </row>
    <row r="110" ht="15.75" customHeight="1" s="57">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row>
    <row r="111" ht="15.75" customHeight="1" s="57">
      <c r="A111" s="54" t="n"/>
      <c r="B111" s="54" t="n"/>
      <c r="C111" s="54" t="n"/>
      <c r="D111" s="54" t="n"/>
      <c r="E111" s="54" t="n"/>
      <c r="F111" s="54" t="n"/>
      <c r="G111" s="54" t="n"/>
      <c r="H111" s="54" t="n"/>
      <c r="I111" s="54" t="n"/>
      <c r="J111" s="54" t="n"/>
      <c r="K111" s="54" t="n"/>
      <c r="L111" s="54" t="n"/>
      <c r="M111" s="54" t="n"/>
      <c r="N111" s="54" t="n"/>
      <c r="O111" s="54" t="n"/>
      <c r="P111" s="54" t="n"/>
      <c r="Q111" s="54" t="n"/>
      <c r="R111" s="54" t="n"/>
      <c r="S111" s="54" t="n"/>
      <c r="T111" s="54" t="n"/>
      <c r="U111" s="54" t="n"/>
      <c r="V111" s="54" t="n"/>
      <c r="W111" s="54" t="n"/>
      <c r="X111" s="54" t="n"/>
      <c r="Y111" s="54" t="n"/>
      <c r="Z111" s="54" t="n"/>
    </row>
    <row r="112" ht="15.75" customHeight="1" s="57">
      <c r="A112" s="54" t="n"/>
      <c r="B112" s="54" t="n"/>
      <c r="C112" s="54" t="n"/>
      <c r="D112" s="54" t="n"/>
      <c r="E112" s="54" t="n"/>
      <c r="F112" s="54" t="n"/>
      <c r="G112" s="54" t="n"/>
      <c r="H112" s="54" t="n"/>
      <c r="I112" s="54" t="n"/>
      <c r="J112" s="54" t="n"/>
      <c r="K112" s="54" t="n"/>
      <c r="L112" s="54" t="n"/>
      <c r="M112" s="54" t="n"/>
      <c r="N112" s="54" t="n"/>
      <c r="O112" s="54" t="n"/>
      <c r="P112" s="54" t="n"/>
      <c r="Q112" s="54" t="n"/>
      <c r="R112" s="54" t="n"/>
      <c r="S112" s="54" t="n"/>
      <c r="T112" s="54" t="n"/>
      <c r="U112" s="54" t="n"/>
      <c r="V112" s="54" t="n"/>
      <c r="W112" s="54" t="n"/>
      <c r="X112" s="54" t="n"/>
      <c r="Y112" s="54" t="n"/>
      <c r="Z112" s="54" t="n"/>
    </row>
    <row r="113" ht="15.75" customHeight="1" s="57">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row>
    <row r="114" ht="15.75" customHeight="1" s="57">
      <c r="A114" s="54" t="n"/>
      <c r="B114" s="54" t="n"/>
      <c r="C114" s="54" t="n"/>
      <c r="D114" s="54" t="n"/>
      <c r="E114" s="54" t="n"/>
      <c r="F114" s="54" t="n"/>
      <c r="G114" s="54" t="n"/>
      <c r="H114" s="54" t="n"/>
      <c r="I114" s="54" t="n"/>
      <c r="J114" s="54" t="n"/>
      <c r="K114" s="54" t="n"/>
      <c r="L114" s="54" t="n"/>
      <c r="M114" s="54" t="n"/>
      <c r="N114" s="54" t="n"/>
      <c r="O114" s="54" t="n"/>
      <c r="P114" s="54" t="n"/>
      <c r="Q114" s="54" t="n"/>
      <c r="R114" s="54" t="n"/>
      <c r="S114" s="54" t="n"/>
      <c r="T114" s="54" t="n"/>
      <c r="U114" s="54" t="n"/>
      <c r="V114" s="54" t="n"/>
      <c r="W114" s="54" t="n"/>
      <c r="X114" s="54" t="n"/>
      <c r="Y114" s="54" t="n"/>
      <c r="Z114" s="54" t="n"/>
    </row>
    <row r="115" ht="15.75" customHeight="1" s="57">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row>
    <row r="116" ht="15.75" customHeight="1" s="57">
      <c r="A116" s="54" t="n"/>
      <c r="B116" s="54" t="n"/>
      <c r="C116" s="54" t="n"/>
      <c r="D116" s="54" t="n"/>
      <c r="E116" s="54" t="n"/>
      <c r="F116" s="54" t="n"/>
      <c r="G116" s="54" t="n"/>
      <c r="H116" s="54" t="n"/>
      <c r="I116" s="54" t="n"/>
      <c r="J116" s="54" t="n"/>
      <c r="K116" s="54" t="n"/>
      <c r="L116" s="54" t="n"/>
      <c r="M116" s="54" t="n"/>
      <c r="N116" s="54" t="n"/>
      <c r="O116" s="54" t="n"/>
      <c r="P116" s="54" t="n"/>
      <c r="Q116" s="54" t="n"/>
      <c r="R116" s="54" t="n"/>
      <c r="S116" s="54" t="n"/>
      <c r="T116" s="54" t="n"/>
      <c r="U116" s="54" t="n"/>
      <c r="V116" s="54" t="n"/>
      <c r="W116" s="54" t="n"/>
      <c r="X116" s="54" t="n"/>
      <c r="Y116" s="54" t="n"/>
      <c r="Z116" s="54" t="n"/>
    </row>
    <row r="117" ht="15.75" customHeight="1" s="57">
      <c r="A117" s="54" t="n"/>
      <c r="B117" s="54" t="n"/>
      <c r="C117" s="54" t="n"/>
      <c r="D117" s="54" t="n"/>
      <c r="E117" s="54" t="n"/>
      <c r="F117" s="54" t="n"/>
      <c r="G117" s="54" t="n"/>
      <c r="H117" s="54" t="n"/>
      <c r="I117" s="54" t="n"/>
      <c r="J117" s="54" t="n"/>
      <c r="K117" s="54" t="n"/>
      <c r="L117" s="54" t="n"/>
      <c r="M117" s="54" t="n"/>
      <c r="N117" s="54" t="n"/>
      <c r="O117" s="54" t="n"/>
      <c r="P117" s="54" t="n"/>
      <c r="Q117" s="54" t="n"/>
      <c r="R117" s="54" t="n"/>
      <c r="S117" s="54" t="n"/>
      <c r="T117" s="54" t="n"/>
      <c r="U117" s="54" t="n"/>
      <c r="V117" s="54" t="n"/>
      <c r="W117" s="54" t="n"/>
      <c r="X117" s="54" t="n"/>
      <c r="Y117" s="54" t="n"/>
      <c r="Z117" s="54" t="n"/>
    </row>
    <row r="118" ht="15.75" customHeight="1" s="57">
      <c r="A118" s="54" t="n"/>
      <c r="B118" s="54" t="n"/>
      <c r="C118" s="54" t="n"/>
      <c r="D118" s="54" t="n"/>
      <c r="E118" s="54" t="n"/>
      <c r="F118" s="54" t="n"/>
      <c r="G118" s="54" t="n"/>
      <c r="H118" s="54" t="n"/>
      <c r="I118" s="54" t="n"/>
      <c r="J118" s="54" t="n"/>
      <c r="K118" s="54" t="n"/>
      <c r="L118" s="54" t="n"/>
      <c r="M118" s="54" t="n"/>
      <c r="N118" s="54" t="n"/>
      <c r="O118" s="54" t="n"/>
      <c r="P118" s="54" t="n"/>
      <c r="Q118" s="54" t="n"/>
      <c r="R118" s="54" t="n"/>
      <c r="S118" s="54" t="n"/>
      <c r="T118" s="54" t="n"/>
      <c r="U118" s="54" t="n"/>
      <c r="V118" s="54" t="n"/>
      <c r="W118" s="54" t="n"/>
      <c r="X118" s="54" t="n"/>
      <c r="Y118" s="54" t="n"/>
      <c r="Z118" s="54" t="n"/>
    </row>
    <row r="119" ht="15.75" customHeight="1" s="57">
      <c r="A119" s="54" t="n"/>
      <c r="B119" s="54" t="n"/>
      <c r="C119" s="54" t="n"/>
      <c r="D119" s="54" t="n"/>
      <c r="E119" s="54" t="n"/>
      <c r="F119" s="54" t="n"/>
      <c r="G119" s="54" t="n"/>
      <c r="H119" s="54" t="n"/>
      <c r="I119" s="54" t="n"/>
      <c r="J119" s="54" t="n"/>
      <c r="K119" s="54" t="n"/>
      <c r="L119" s="54" t="n"/>
      <c r="M119" s="54" t="n"/>
      <c r="N119" s="54" t="n"/>
      <c r="O119" s="54" t="n"/>
      <c r="P119" s="54" t="n"/>
      <c r="Q119" s="54" t="n"/>
      <c r="R119" s="54" t="n"/>
      <c r="S119" s="54" t="n"/>
      <c r="T119" s="54" t="n"/>
      <c r="U119" s="54" t="n"/>
      <c r="V119" s="54" t="n"/>
      <c r="W119" s="54" t="n"/>
      <c r="X119" s="54" t="n"/>
      <c r="Y119" s="54" t="n"/>
      <c r="Z119" s="54" t="n"/>
    </row>
    <row r="120" ht="15.75" customHeight="1" s="57">
      <c r="A120" s="54" t="n"/>
      <c r="B120" s="54" t="n"/>
      <c r="C120" s="54" t="n"/>
      <c r="D120" s="54" t="n"/>
      <c r="E120" s="54" t="n"/>
      <c r="F120" s="54" t="n"/>
      <c r="G120" s="54" t="n"/>
      <c r="H120" s="54" t="n"/>
      <c r="I120" s="54" t="n"/>
      <c r="J120" s="54" t="n"/>
      <c r="K120" s="54" t="n"/>
      <c r="L120" s="54" t="n"/>
      <c r="M120" s="54" t="n"/>
      <c r="N120" s="54" t="n"/>
      <c r="O120" s="54" t="n"/>
      <c r="P120" s="54" t="n"/>
      <c r="Q120" s="54" t="n"/>
      <c r="R120" s="54" t="n"/>
      <c r="S120" s="54" t="n"/>
      <c r="T120" s="54" t="n"/>
      <c r="U120" s="54" t="n"/>
      <c r="V120" s="54" t="n"/>
      <c r="W120" s="54" t="n"/>
      <c r="X120" s="54" t="n"/>
      <c r="Y120" s="54" t="n"/>
      <c r="Z120" s="54" t="n"/>
    </row>
    <row r="121" ht="15.75" customHeight="1" s="57">
      <c r="A121" s="54" t="n"/>
      <c r="B121" s="54" t="n"/>
      <c r="C121" s="54" t="n"/>
      <c r="D121" s="54" t="n"/>
      <c r="E121" s="54" t="n"/>
      <c r="F121" s="54" t="n"/>
      <c r="G121" s="54" t="n"/>
      <c r="H121" s="54" t="n"/>
      <c r="I121" s="54" t="n"/>
      <c r="J121" s="54" t="n"/>
      <c r="K121" s="54" t="n"/>
      <c r="L121" s="54" t="n"/>
      <c r="M121" s="54" t="n"/>
      <c r="N121" s="54" t="n"/>
      <c r="O121" s="54" t="n"/>
      <c r="P121" s="54" t="n"/>
      <c r="Q121" s="54" t="n"/>
      <c r="R121" s="54" t="n"/>
      <c r="S121" s="54" t="n"/>
      <c r="T121" s="54" t="n"/>
      <c r="U121" s="54" t="n"/>
      <c r="V121" s="54" t="n"/>
      <c r="W121" s="54" t="n"/>
      <c r="X121" s="54" t="n"/>
      <c r="Y121" s="54" t="n"/>
      <c r="Z121" s="54" t="n"/>
    </row>
    <row r="122" ht="15.75" customHeight="1" s="57">
      <c r="A122" s="54" t="n"/>
      <c r="B122" s="54" t="n"/>
      <c r="C122" s="54" t="n"/>
      <c r="D122" s="54" t="n"/>
      <c r="E122" s="54" t="n"/>
      <c r="F122" s="54" t="n"/>
      <c r="G122" s="54" t="n"/>
      <c r="H122" s="54" t="n"/>
      <c r="I122" s="54" t="n"/>
      <c r="J122" s="54" t="n"/>
      <c r="K122" s="54" t="n"/>
      <c r="L122" s="54" t="n"/>
      <c r="M122" s="54" t="n"/>
      <c r="N122" s="54" t="n"/>
      <c r="O122" s="54" t="n"/>
      <c r="P122" s="54" t="n"/>
      <c r="Q122" s="54" t="n"/>
      <c r="R122" s="54" t="n"/>
      <c r="S122" s="54" t="n"/>
      <c r="T122" s="54" t="n"/>
      <c r="U122" s="54" t="n"/>
      <c r="V122" s="54" t="n"/>
      <c r="W122" s="54" t="n"/>
      <c r="X122" s="54" t="n"/>
      <c r="Y122" s="54" t="n"/>
      <c r="Z122" s="54" t="n"/>
    </row>
    <row r="123" ht="15.75" customHeight="1" s="57">
      <c r="A123" s="54" t="n"/>
      <c r="B123" s="54" t="n"/>
      <c r="C123" s="54" t="n"/>
      <c r="D123" s="54" t="n"/>
      <c r="E123" s="54" t="n"/>
      <c r="F123" s="54" t="n"/>
      <c r="G123" s="54" t="n"/>
      <c r="H123" s="54" t="n"/>
      <c r="I123" s="54" t="n"/>
      <c r="J123" s="54" t="n"/>
      <c r="K123" s="54" t="n"/>
      <c r="L123" s="54" t="n"/>
      <c r="M123" s="54" t="n"/>
      <c r="N123" s="54" t="n"/>
      <c r="O123" s="54" t="n"/>
      <c r="P123" s="54" t="n"/>
      <c r="Q123" s="54" t="n"/>
      <c r="R123" s="54" t="n"/>
      <c r="S123" s="54" t="n"/>
      <c r="T123" s="54" t="n"/>
      <c r="U123" s="54" t="n"/>
      <c r="V123" s="54" t="n"/>
      <c r="W123" s="54" t="n"/>
      <c r="X123" s="54" t="n"/>
      <c r="Y123" s="54" t="n"/>
      <c r="Z123" s="54" t="n"/>
    </row>
    <row r="124" ht="15.75" customHeight="1" s="57">
      <c r="A124" s="54" t="n"/>
      <c r="B124" s="54" t="n"/>
      <c r="C124" s="54" t="n"/>
      <c r="D124" s="54" t="n"/>
      <c r="E124" s="54" t="n"/>
      <c r="F124" s="54" t="n"/>
      <c r="G124" s="54" t="n"/>
      <c r="H124" s="54" t="n"/>
      <c r="I124" s="54" t="n"/>
      <c r="J124" s="54" t="n"/>
      <c r="K124" s="54" t="n"/>
      <c r="L124" s="54" t="n"/>
      <c r="M124" s="54" t="n"/>
      <c r="N124" s="54" t="n"/>
      <c r="O124" s="54" t="n"/>
      <c r="P124" s="54" t="n"/>
      <c r="Q124" s="54" t="n"/>
      <c r="R124" s="54" t="n"/>
      <c r="S124" s="54" t="n"/>
      <c r="T124" s="54" t="n"/>
      <c r="U124" s="54" t="n"/>
      <c r="V124" s="54" t="n"/>
      <c r="W124" s="54" t="n"/>
      <c r="X124" s="54" t="n"/>
      <c r="Y124" s="54" t="n"/>
      <c r="Z124" s="54" t="n"/>
    </row>
    <row r="125" ht="15.75" customHeight="1" s="57">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row>
    <row r="126" ht="15.75" customHeight="1" s="57">
      <c r="A126" s="54" t="n"/>
      <c r="B126" s="54" t="n"/>
      <c r="C126" s="54" t="n"/>
      <c r="D126" s="54" t="n"/>
      <c r="E126" s="54" t="n"/>
      <c r="F126" s="54" t="n"/>
      <c r="G126" s="54" t="n"/>
      <c r="H126" s="54" t="n"/>
      <c r="I126" s="54" t="n"/>
      <c r="J126" s="54" t="n"/>
      <c r="K126" s="54" t="n"/>
      <c r="L126" s="54" t="n"/>
      <c r="M126" s="54" t="n"/>
      <c r="N126" s="54" t="n"/>
      <c r="O126" s="54" t="n"/>
      <c r="P126" s="54" t="n"/>
      <c r="Q126" s="54" t="n"/>
      <c r="R126" s="54" t="n"/>
      <c r="S126" s="54" t="n"/>
      <c r="T126" s="54" t="n"/>
      <c r="U126" s="54" t="n"/>
      <c r="V126" s="54" t="n"/>
      <c r="W126" s="54" t="n"/>
      <c r="X126" s="54" t="n"/>
      <c r="Y126" s="54" t="n"/>
      <c r="Z126" s="54" t="n"/>
    </row>
    <row r="127" ht="15.75" customHeight="1" s="57">
      <c r="A127" s="54" t="n"/>
      <c r="B127" s="54" t="n"/>
      <c r="C127" s="54" t="n"/>
      <c r="D127" s="54" t="n"/>
      <c r="E127" s="54" t="n"/>
      <c r="F127" s="54" t="n"/>
      <c r="G127" s="54" t="n"/>
      <c r="H127" s="54" t="n"/>
      <c r="I127" s="54" t="n"/>
      <c r="J127" s="54" t="n"/>
      <c r="K127" s="54" t="n"/>
      <c r="L127" s="54" t="n"/>
      <c r="M127" s="54" t="n"/>
      <c r="N127" s="54" t="n"/>
      <c r="O127" s="54" t="n"/>
      <c r="P127" s="54" t="n"/>
      <c r="Q127" s="54" t="n"/>
      <c r="R127" s="54" t="n"/>
      <c r="S127" s="54" t="n"/>
      <c r="T127" s="54" t="n"/>
      <c r="U127" s="54" t="n"/>
      <c r="V127" s="54" t="n"/>
      <c r="W127" s="54" t="n"/>
      <c r="X127" s="54" t="n"/>
      <c r="Y127" s="54" t="n"/>
      <c r="Z127" s="54" t="n"/>
    </row>
    <row r="128" ht="15.75" customHeight="1" s="57">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row>
    <row r="129" ht="15.75" customHeight="1" s="57">
      <c r="A129" s="54" t="n"/>
      <c r="B129" s="54" t="n"/>
      <c r="C129" s="54" t="n"/>
      <c r="D129" s="54" t="n"/>
      <c r="E129" s="54" t="n"/>
      <c r="F129" s="54" t="n"/>
      <c r="G129" s="54" t="n"/>
      <c r="H129" s="54" t="n"/>
      <c r="I129" s="54" t="n"/>
      <c r="J129" s="54" t="n"/>
      <c r="K129" s="54" t="n"/>
      <c r="L129" s="54" t="n"/>
      <c r="M129" s="54" t="n"/>
      <c r="N129" s="54" t="n"/>
      <c r="O129" s="54" t="n"/>
      <c r="P129" s="54" t="n"/>
      <c r="Q129" s="54" t="n"/>
      <c r="R129" s="54" t="n"/>
      <c r="S129" s="54" t="n"/>
      <c r="T129" s="54" t="n"/>
      <c r="U129" s="54" t="n"/>
      <c r="V129" s="54" t="n"/>
      <c r="W129" s="54" t="n"/>
      <c r="X129" s="54" t="n"/>
      <c r="Y129" s="54" t="n"/>
      <c r="Z129" s="54" t="n"/>
    </row>
    <row r="130" ht="15.75" customHeight="1" s="57">
      <c r="A130" s="54" t="n"/>
      <c r="B130" s="54" t="n"/>
      <c r="C130" s="54" t="n"/>
      <c r="D130" s="54" t="n"/>
      <c r="E130" s="54" t="n"/>
      <c r="F130" s="54" t="n"/>
      <c r="G130" s="54" t="n"/>
      <c r="H130" s="54" t="n"/>
      <c r="I130" s="54" t="n"/>
      <c r="J130" s="54" t="n"/>
      <c r="K130" s="54" t="n"/>
      <c r="L130" s="54" t="n"/>
      <c r="M130" s="54" t="n"/>
      <c r="N130" s="54" t="n"/>
      <c r="O130" s="54" t="n"/>
      <c r="P130" s="54" t="n"/>
      <c r="Q130" s="54" t="n"/>
      <c r="R130" s="54" t="n"/>
      <c r="S130" s="54" t="n"/>
      <c r="T130" s="54" t="n"/>
      <c r="U130" s="54" t="n"/>
      <c r="V130" s="54" t="n"/>
      <c r="W130" s="54" t="n"/>
      <c r="X130" s="54" t="n"/>
      <c r="Y130" s="54" t="n"/>
      <c r="Z130" s="54" t="n"/>
    </row>
    <row r="131" ht="15.75" customHeight="1" s="57">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row>
    <row r="132" ht="15.75" customHeight="1" s="57">
      <c r="A132" s="54" t="n"/>
      <c r="B132" s="54" t="n"/>
      <c r="C132" s="54" t="n"/>
      <c r="D132" s="54" t="n"/>
      <c r="E132" s="54" t="n"/>
      <c r="F132" s="54" t="n"/>
      <c r="G132" s="54" t="n"/>
      <c r="H132" s="54" t="n"/>
      <c r="I132" s="54" t="n"/>
      <c r="J132" s="54" t="n"/>
      <c r="K132" s="54" t="n"/>
      <c r="L132" s="54" t="n"/>
      <c r="M132" s="54" t="n"/>
      <c r="N132" s="54" t="n"/>
      <c r="O132" s="54" t="n"/>
      <c r="P132" s="54" t="n"/>
      <c r="Q132" s="54" t="n"/>
      <c r="R132" s="54" t="n"/>
      <c r="S132" s="54" t="n"/>
      <c r="T132" s="54" t="n"/>
      <c r="U132" s="54" t="n"/>
      <c r="V132" s="54" t="n"/>
      <c r="W132" s="54" t="n"/>
      <c r="X132" s="54" t="n"/>
      <c r="Y132" s="54" t="n"/>
      <c r="Z132" s="54" t="n"/>
    </row>
    <row r="133" ht="15.75" customHeight="1" s="57">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row>
    <row r="134" ht="15.75" customHeight="1" s="57">
      <c r="A134" s="54" t="n"/>
      <c r="B134" s="54" t="n"/>
      <c r="C134" s="54" t="n"/>
      <c r="D134" s="54" t="n"/>
      <c r="E134" s="54" t="n"/>
      <c r="F134" s="54" t="n"/>
      <c r="G134" s="54" t="n"/>
      <c r="H134" s="54" t="n"/>
      <c r="I134" s="54" t="n"/>
      <c r="J134" s="54" t="n"/>
      <c r="K134" s="54" t="n"/>
      <c r="L134" s="54" t="n"/>
      <c r="M134" s="54" t="n"/>
      <c r="N134" s="54" t="n"/>
      <c r="O134" s="54" t="n"/>
      <c r="P134" s="54" t="n"/>
      <c r="Q134" s="54" t="n"/>
      <c r="R134" s="54" t="n"/>
      <c r="S134" s="54" t="n"/>
      <c r="T134" s="54" t="n"/>
      <c r="U134" s="54" t="n"/>
      <c r="V134" s="54" t="n"/>
      <c r="W134" s="54" t="n"/>
      <c r="X134" s="54" t="n"/>
      <c r="Y134" s="54" t="n"/>
      <c r="Z134" s="54" t="n"/>
    </row>
    <row r="135" ht="15.75" customHeight="1" s="57">
      <c r="A135" s="54" t="n"/>
      <c r="B135" s="54" t="n"/>
      <c r="C135" s="54" t="n"/>
      <c r="D135" s="54" t="n"/>
      <c r="E135" s="54" t="n"/>
      <c r="F135" s="54" t="n"/>
      <c r="G135" s="54" t="n"/>
      <c r="H135" s="54" t="n"/>
      <c r="I135" s="54" t="n"/>
      <c r="J135" s="54" t="n"/>
      <c r="K135" s="54" t="n"/>
      <c r="L135" s="54" t="n"/>
      <c r="M135" s="54" t="n"/>
      <c r="N135" s="54" t="n"/>
      <c r="O135" s="54" t="n"/>
      <c r="P135" s="54" t="n"/>
      <c r="Q135" s="54" t="n"/>
      <c r="R135" s="54" t="n"/>
      <c r="S135" s="54" t="n"/>
      <c r="T135" s="54" t="n"/>
      <c r="U135" s="54" t="n"/>
      <c r="V135" s="54" t="n"/>
      <c r="W135" s="54" t="n"/>
      <c r="X135" s="54" t="n"/>
      <c r="Y135" s="54" t="n"/>
      <c r="Z135" s="54" t="n"/>
    </row>
    <row r="136" ht="15.75" customHeight="1" s="57">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row>
    <row r="137" ht="15.75" customHeight="1" s="57">
      <c r="A137" s="54" t="n"/>
      <c r="B137" s="54" t="n"/>
      <c r="C137" s="54" t="n"/>
      <c r="D137" s="54" t="n"/>
      <c r="E137" s="54" t="n"/>
      <c r="F137" s="54" t="n"/>
      <c r="G137" s="54" t="n"/>
      <c r="H137" s="54" t="n"/>
      <c r="I137" s="54" t="n"/>
      <c r="J137" s="54" t="n"/>
      <c r="K137" s="54" t="n"/>
      <c r="L137" s="54" t="n"/>
      <c r="M137" s="54" t="n"/>
      <c r="N137" s="54" t="n"/>
      <c r="O137" s="54" t="n"/>
      <c r="P137" s="54" t="n"/>
      <c r="Q137" s="54" t="n"/>
      <c r="R137" s="54" t="n"/>
      <c r="S137" s="54" t="n"/>
      <c r="T137" s="54" t="n"/>
      <c r="U137" s="54" t="n"/>
      <c r="V137" s="54" t="n"/>
      <c r="W137" s="54" t="n"/>
      <c r="X137" s="54" t="n"/>
      <c r="Y137" s="54" t="n"/>
      <c r="Z137" s="54" t="n"/>
    </row>
    <row r="138" ht="15.75" customHeight="1" s="57">
      <c r="A138" s="54" t="n"/>
      <c r="B138" s="54" t="n"/>
      <c r="C138" s="54" t="n"/>
      <c r="D138" s="54" t="n"/>
      <c r="E138" s="54" t="n"/>
      <c r="F138" s="54" t="n"/>
      <c r="G138" s="54" t="n"/>
      <c r="H138" s="54" t="n"/>
      <c r="I138" s="54" t="n"/>
      <c r="J138" s="54" t="n"/>
      <c r="K138" s="54" t="n"/>
      <c r="L138" s="54" t="n"/>
      <c r="M138" s="54" t="n"/>
      <c r="N138" s="54" t="n"/>
      <c r="O138" s="54" t="n"/>
      <c r="P138" s="54" t="n"/>
      <c r="Q138" s="54" t="n"/>
      <c r="R138" s="54" t="n"/>
      <c r="S138" s="54" t="n"/>
      <c r="T138" s="54" t="n"/>
      <c r="U138" s="54" t="n"/>
      <c r="V138" s="54" t="n"/>
      <c r="W138" s="54" t="n"/>
      <c r="X138" s="54" t="n"/>
      <c r="Y138" s="54" t="n"/>
      <c r="Z138" s="54" t="n"/>
    </row>
    <row r="139" ht="15.75" customHeight="1" s="57">
      <c r="A139" s="54" t="n"/>
      <c r="B139" s="54" t="n"/>
      <c r="C139" s="54" t="n"/>
      <c r="D139" s="54" t="n"/>
      <c r="E139" s="54" t="n"/>
      <c r="F139" s="54" t="n"/>
      <c r="G139" s="54" t="n"/>
      <c r="H139" s="54" t="n"/>
      <c r="I139" s="54" t="n"/>
      <c r="J139" s="54" t="n"/>
      <c r="K139" s="54" t="n"/>
      <c r="L139" s="54" t="n"/>
      <c r="M139" s="54" t="n"/>
      <c r="N139" s="54" t="n"/>
      <c r="O139" s="54" t="n"/>
      <c r="P139" s="54" t="n"/>
      <c r="Q139" s="54" t="n"/>
      <c r="R139" s="54" t="n"/>
      <c r="S139" s="54" t="n"/>
      <c r="T139" s="54" t="n"/>
      <c r="U139" s="54" t="n"/>
      <c r="V139" s="54" t="n"/>
      <c r="W139" s="54" t="n"/>
      <c r="X139" s="54" t="n"/>
      <c r="Y139" s="54" t="n"/>
      <c r="Z139" s="54" t="n"/>
    </row>
    <row r="140" ht="15.75" customHeight="1" s="57">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row>
    <row r="141" ht="15.75" customHeight="1" s="57">
      <c r="A141" s="54" t="n"/>
      <c r="B141" s="54" t="n"/>
      <c r="C141" s="54" t="n"/>
      <c r="D141" s="54" t="n"/>
      <c r="E141" s="54" t="n"/>
      <c r="F141" s="54" t="n"/>
      <c r="G141" s="54" t="n"/>
      <c r="H141" s="54" t="n"/>
      <c r="I141" s="54" t="n"/>
      <c r="J141" s="54" t="n"/>
      <c r="K141" s="54" t="n"/>
      <c r="L141" s="54" t="n"/>
      <c r="M141" s="54" t="n"/>
      <c r="N141" s="54" t="n"/>
      <c r="O141" s="54" t="n"/>
      <c r="P141" s="54" t="n"/>
      <c r="Q141" s="54" t="n"/>
      <c r="R141" s="54" t="n"/>
      <c r="S141" s="54" t="n"/>
      <c r="T141" s="54" t="n"/>
      <c r="U141" s="54" t="n"/>
      <c r="V141" s="54" t="n"/>
      <c r="W141" s="54" t="n"/>
      <c r="X141" s="54" t="n"/>
      <c r="Y141" s="54" t="n"/>
      <c r="Z141" s="54" t="n"/>
    </row>
    <row r="142" ht="15.75" customHeight="1" s="57">
      <c r="A142" s="54" t="n"/>
      <c r="B142" s="54" t="n"/>
      <c r="C142" s="54" t="n"/>
      <c r="D142" s="54" t="n"/>
      <c r="E142" s="54" t="n"/>
      <c r="F142" s="54" t="n"/>
      <c r="G142" s="54" t="n"/>
      <c r="H142" s="54" t="n"/>
      <c r="I142" s="54" t="n"/>
      <c r="J142" s="54" t="n"/>
      <c r="K142" s="54" t="n"/>
      <c r="L142" s="54" t="n"/>
      <c r="M142" s="54" t="n"/>
      <c r="N142" s="54" t="n"/>
      <c r="O142" s="54" t="n"/>
      <c r="P142" s="54" t="n"/>
      <c r="Q142" s="54" t="n"/>
      <c r="R142" s="54" t="n"/>
      <c r="S142" s="54" t="n"/>
      <c r="T142" s="54" t="n"/>
      <c r="U142" s="54" t="n"/>
      <c r="V142" s="54" t="n"/>
      <c r="W142" s="54" t="n"/>
      <c r="X142" s="54" t="n"/>
      <c r="Y142" s="54" t="n"/>
      <c r="Z142" s="54" t="n"/>
    </row>
    <row r="143" ht="15.75" customHeight="1" s="57">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row>
    <row r="144" ht="15.75" customHeight="1" s="57">
      <c r="A144" s="54" t="n"/>
      <c r="B144" s="54" t="n"/>
      <c r="C144" s="54" t="n"/>
      <c r="D144" s="54" t="n"/>
      <c r="E144" s="54" t="n"/>
      <c r="F144" s="54" t="n"/>
      <c r="G144" s="54" t="n"/>
      <c r="H144" s="54" t="n"/>
      <c r="I144" s="54" t="n"/>
      <c r="J144" s="54" t="n"/>
      <c r="K144" s="54" t="n"/>
      <c r="L144" s="54" t="n"/>
      <c r="M144" s="54" t="n"/>
      <c r="N144" s="54" t="n"/>
      <c r="O144" s="54" t="n"/>
      <c r="P144" s="54" t="n"/>
      <c r="Q144" s="54" t="n"/>
      <c r="R144" s="54" t="n"/>
      <c r="S144" s="54" t="n"/>
      <c r="T144" s="54" t="n"/>
      <c r="U144" s="54" t="n"/>
      <c r="V144" s="54" t="n"/>
      <c r="W144" s="54" t="n"/>
      <c r="X144" s="54" t="n"/>
      <c r="Y144" s="54" t="n"/>
      <c r="Z144" s="54" t="n"/>
    </row>
    <row r="145" ht="15.75" customHeight="1" s="57">
      <c r="A145" s="54" t="n"/>
      <c r="B145" s="54" t="n"/>
      <c r="C145" s="54" t="n"/>
      <c r="D145" s="54" t="n"/>
      <c r="E145" s="54" t="n"/>
      <c r="F145" s="54" t="n"/>
      <c r="G145" s="54" t="n"/>
      <c r="H145" s="54" t="n"/>
      <c r="I145" s="54" t="n"/>
      <c r="J145" s="54" t="n"/>
      <c r="K145" s="54" t="n"/>
      <c r="L145" s="54" t="n"/>
      <c r="M145" s="54" t="n"/>
      <c r="N145" s="54" t="n"/>
      <c r="O145" s="54" t="n"/>
      <c r="P145" s="54" t="n"/>
      <c r="Q145" s="54" t="n"/>
      <c r="R145" s="54" t="n"/>
      <c r="S145" s="54" t="n"/>
      <c r="T145" s="54" t="n"/>
      <c r="U145" s="54" t="n"/>
      <c r="V145" s="54" t="n"/>
      <c r="W145" s="54" t="n"/>
      <c r="X145" s="54" t="n"/>
      <c r="Y145" s="54" t="n"/>
      <c r="Z145" s="54" t="n"/>
    </row>
    <row r="146" ht="15.75" customHeight="1" s="57">
      <c r="A146" s="54" t="n"/>
      <c r="B146" s="54" t="n"/>
      <c r="C146" s="54" t="n"/>
      <c r="D146" s="54" t="n"/>
      <c r="E146" s="54" t="n"/>
      <c r="F146" s="54" t="n"/>
      <c r="G146" s="54" t="n"/>
      <c r="H146" s="54" t="n"/>
      <c r="I146" s="54" t="n"/>
      <c r="J146" s="54" t="n"/>
      <c r="K146" s="54" t="n"/>
      <c r="L146" s="54" t="n"/>
      <c r="M146" s="54" t="n"/>
      <c r="N146" s="54" t="n"/>
      <c r="O146" s="54" t="n"/>
      <c r="P146" s="54" t="n"/>
      <c r="Q146" s="54" t="n"/>
      <c r="R146" s="54" t="n"/>
      <c r="S146" s="54" t="n"/>
      <c r="T146" s="54" t="n"/>
      <c r="U146" s="54" t="n"/>
      <c r="V146" s="54" t="n"/>
      <c r="W146" s="54" t="n"/>
      <c r="X146" s="54" t="n"/>
      <c r="Y146" s="54" t="n"/>
      <c r="Z146" s="54" t="n"/>
    </row>
    <row r="147" ht="15.75" customHeight="1" s="57">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row>
    <row r="148" ht="15.75" customHeight="1" s="57">
      <c r="A148" s="54" t="n"/>
      <c r="B148" s="54" t="n"/>
      <c r="C148" s="54" t="n"/>
      <c r="D148" s="54" t="n"/>
      <c r="E148" s="54" t="n"/>
      <c r="F148" s="54" t="n"/>
      <c r="G148" s="54" t="n"/>
      <c r="H148" s="54" t="n"/>
      <c r="I148" s="54" t="n"/>
      <c r="J148" s="54" t="n"/>
      <c r="K148" s="54" t="n"/>
      <c r="L148" s="54" t="n"/>
      <c r="M148" s="54" t="n"/>
      <c r="N148" s="54" t="n"/>
      <c r="O148" s="54" t="n"/>
      <c r="P148" s="54" t="n"/>
      <c r="Q148" s="54" t="n"/>
      <c r="R148" s="54" t="n"/>
      <c r="S148" s="54" t="n"/>
      <c r="T148" s="54" t="n"/>
      <c r="U148" s="54" t="n"/>
      <c r="V148" s="54" t="n"/>
      <c r="W148" s="54" t="n"/>
      <c r="X148" s="54" t="n"/>
      <c r="Y148" s="54" t="n"/>
      <c r="Z148" s="54" t="n"/>
    </row>
    <row r="149" ht="15.75" customHeight="1" s="57">
      <c r="A149" s="54" t="n"/>
      <c r="B149" s="54" t="n"/>
      <c r="C149" s="54" t="n"/>
      <c r="D149" s="54" t="n"/>
      <c r="E149" s="54" t="n"/>
      <c r="F149" s="54" t="n"/>
      <c r="G149" s="54" t="n"/>
      <c r="H149" s="54" t="n"/>
      <c r="I149" s="54" t="n"/>
      <c r="J149" s="54" t="n"/>
      <c r="K149" s="54" t="n"/>
      <c r="L149" s="54" t="n"/>
      <c r="M149" s="54" t="n"/>
      <c r="N149" s="54" t="n"/>
      <c r="O149" s="54" t="n"/>
      <c r="P149" s="54" t="n"/>
      <c r="Q149" s="54" t="n"/>
      <c r="R149" s="54" t="n"/>
      <c r="S149" s="54" t="n"/>
      <c r="T149" s="54" t="n"/>
      <c r="U149" s="54" t="n"/>
      <c r="V149" s="54" t="n"/>
      <c r="W149" s="54" t="n"/>
      <c r="X149" s="54" t="n"/>
      <c r="Y149" s="54" t="n"/>
      <c r="Z149" s="54" t="n"/>
    </row>
    <row r="150" ht="15.75" customHeight="1" s="57">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row>
    <row r="151" ht="15.75" customHeight="1" s="57">
      <c r="A151" s="54" t="n"/>
      <c r="B151" s="54" t="n"/>
      <c r="C151" s="54" t="n"/>
      <c r="D151" s="54" t="n"/>
      <c r="E151" s="54" t="n"/>
      <c r="F151" s="54" t="n"/>
      <c r="G151" s="54" t="n"/>
      <c r="H151" s="54" t="n"/>
      <c r="I151" s="54" t="n"/>
      <c r="J151" s="54" t="n"/>
      <c r="K151" s="54" t="n"/>
      <c r="L151" s="54" t="n"/>
      <c r="M151" s="54" t="n"/>
      <c r="N151" s="54" t="n"/>
      <c r="O151" s="54" t="n"/>
      <c r="P151" s="54" t="n"/>
      <c r="Q151" s="54" t="n"/>
      <c r="R151" s="54" t="n"/>
      <c r="S151" s="54" t="n"/>
      <c r="T151" s="54" t="n"/>
      <c r="U151" s="54" t="n"/>
      <c r="V151" s="54" t="n"/>
      <c r="W151" s="54" t="n"/>
      <c r="X151" s="54" t="n"/>
      <c r="Y151" s="54" t="n"/>
      <c r="Z151" s="54" t="n"/>
    </row>
    <row r="152" ht="15.75" customHeight="1" s="57">
      <c r="A152" s="54" t="n"/>
      <c r="B152" s="54" t="n"/>
      <c r="C152" s="54" t="n"/>
      <c r="D152" s="54" t="n"/>
      <c r="E152" s="54" t="n"/>
      <c r="F152" s="54" t="n"/>
      <c r="G152" s="54" t="n"/>
      <c r="H152" s="54" t="n"/>
      <c r="I152" s="54" t="n"/>
      <c r="J152" s="54" t="n"/>
      <c r="K152" s="54" t="n"/>
      <c r="L152" s="54" t="n"/>
      <c r="M152" s="54" t="n"/>
      <c r="N152" s="54" t="n"/>
      <c r="O152" s="54" t="n"/>
      <c r="P152" s="54" t="n"/>
      <c r="Q152" s="54" t="n"/>
      <c r="R152" s="54" t="n"/>
      <c r="S152" s="54" t="n"/>
      <c r="T152" s="54" t="n"/>
      <c r="U152" s="54" t="n"/>
      <c r="V152" s="54" t="n"/>
      <c r="W152" s="54" t="n"/>
      <c r="X152" s="54" t="n"/>
      <c r="Y152" s="54" t="n"/>
      <c r="Z152" s="54" t="n"/>
    </row>
    <row r="153" ht="15.75" customHeight="1" s="57">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row>
    <row r="154" ht="15.75" customHeight="1" s="57">
      <c r="A154" s="54" t="n"/>
      <c r="B154" s="54" t="n"/>
      <c r="C154" s="54" t="n"/>
      <c r="D154" s="54" t="n"/>
      <c r="E154" s="54" t="n"/>
      <c r="F154" s="54" t="n"/>
      <c r="G154" s="54" t="n"/>
      <c r="H154" s="54" t="n"/>
      <c r="I154" s="54" t="n"/>
      <c r="J154" s="54" t="n"/>
      <c r="K154" s="54" t="n"/>
      <c r="L154" s="54" t="n"/>
      <c r="M154" s="54" t="n"/>
      <c r="N154" s="54" t="n"/>
      <c r="O154" s="54" t="n"/>
      <c r="P154" s="54" t="n"/>
      <c r="Q154" s="54" t="n"/>
      <c r="R154" s="54" t="n"/>
      <c r="S154" s="54" t="n"/>
      <c r="T154" s="54" t="n"/>
      <c r="U154" s="54" t="n"/>
      <c r="V154" s="54" t="n"/>
      <c r="W154" s="54" t="n"/>
      <c r="X154" s="54" t="n"/>
      <c r="Y154" s="54" t="n"/>
      <c r="Z154" s="54" t="n"/>
    </row>
    <row r="155" ht="15.75" customHeight="1" s="57">
      <c r="A155" s="54" t="n"/>
      <c r="B155" s="54" t="n"/>
      <c r="C155" s="54" t="n"/>
      <c r="D155" s="54" t="n"/>
      <c r="E155" s="54" t="n"/>
      <c r="F155" s="54" t="n"/>
      <c r="G155" s="54" t="n"/>
      <c r="H155" s="54" t="n"/>
      <c r="I155" s="54" t="n"/>
      <c r="J155" s="54" t="n"/>
      <c r="K155" s="54" t="n"/>
      <c r="L155" s="54" t="n"/>
      <c r="M155" s="54" t="n"/>
      <c r="N155" s="54" t="n"/>
      <c r="O155" s="54" t="n"/>
      <c r="P155" s="54" t="n"/>
      <c r="Q155" s="54" t="n"/>
      <c r="R155" s="54" t="n"/>
      <c r="S155" s="54" t="n"/>
      <c r="T155" s="54" t="n"/>
      <c r="U155" s="54" t="n"/>
      <c r="V155" s="54" t="n"/>
      <c r="W155" s="54" t="n"/>
      <c r="X155" s="54" t="n"/>
      <c r="Y155" s="54" t="n"/>
      <c r="Z155" s="54" t="n"/>
    </row>
    <row r="156" ht="15.75" customHeight="1" s="57">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row>
    <row r="157" ht="15.75" customHeight="1" s="57">
      <c r="A157" s="54" t="n"/>
      <c r="B157" s="54" t="n"/>
      <c r="C157" s="54" t="n"/>
      <c r="D157" s="54" t="n"/>
      <c r="E157" s="54" t="n"/>
      <c r="F157" s="54" t="n"/>
      <c r="G157" s="54" t="n"/>
      <c r="H157" s="54" t="n"/>
      <c r="I157" s="54" t="n"/>
      <c r="J157" s="54" t="n"/>
      <c r="K157" s="54" t="n"/>
      <c r="L157" s="54" t="n"/>
      <c r="M157" s="54" t="n"/>
      <c r="N157" s="54" t="n"/>
      <c r="O157" s="54" t="n"/>
      <c r="P157" s="54" t="n"/>
      <c r="Q157" s="54" t="n"/>
      <c r="R157" s="54" t="n"/>
      <c r="S157" s="54" t="n"/>
      <c r="T157" s="54" t="n"/>
      <c r="U157" s="54" t="n"/>
      <c r="V157" s="54" t="n"/>
      <c r="W157" s="54" t="n"/>
      <c r="X157" s="54" t="n"/>
      <c r="Y157" s="54" t="n"/>
      <c r="Z157" s="54" t="n"/>
    </row>
    <row r="158" ht="15.75" customHeight="1" s="57">
      <c r="A158" s="54" t="n"/>
      <c r="B158" s="54" t="n"/>
      <c r="C158" s="54" t="n"/>
      <c r="D158" s="54" t="n"/>
      <c r="E158" s="54" t="n"/>
      <c r="F158" s="54" t="n"/>
      <c r="G158" s="54" t="n"/>
      <c r="H158" s="54" t="n"/>
      <c r="I158" s="54" t="n"/>
      <c r="J158" s="54" t="n"/>
      <c r="K158" s="54" t="n"/>
      <c r="L158" s="54" t="n"/>
      <c r="M158" s="54" t="n"/>
      <c r="N158" s="54" t="n"/>
      <c r="O158" s="54" t="n"/>
      <c r="P158" s="54" t="n"/>
      <c r="Q158" s="54" t="n"/>
      <c r="R158" s="54" t="n"/>
      <c r="S158" s="54" t="n"/>
      <c r="T158" s="54" t="n"/>
      <c r="U158" s="54" t="n"/>
      <c r="V158" s="54" t="n"/>
      <c r="W158" s="54" t="n"/>
      <c r="X158" s="54" t="n"/>
      <c r="Y158" s="54" t="n"/>
      <c r="Z158" s="54" t="n"/>
    </row>
    <row r="159" ht="15.75" customHeight="1" s="57">
      <c r="A159" s="54" t="n"/>
      <c r="B159" s="54" t="n"/>
      <c r="C159" s="54" t="n"/>
      <c r="D159" s="54" t="n"/>
      <c r="E159" s="54" t="n"/>
      <c r="F159" s="54" t="n"/>
      <c r="G159" s="54" t="n"/>
      <c r="H159" s="54" t="n"/>
      <c r="I159" s="54" t="n"/>
      <c r="J159" s="54" t="n"/>
      <c r="K159" s="54" t="n"/>
      <c r="L159" s="54" t="n"/>
      <c r="M159" s="54" t="n"/>
      <c r="N159" s="54" t="n"/>
      <c r="O159" s="54" t="n"/>
      <c r="P159" s="54" t="n"/>
      <c r="Q159" s="54" t="n"/>
      <c r="R159" s="54" t="n"/>
      <c r="S159" s="54" t="n"/>
      <c r="T159" s="54" t="n"/>
      <c r="U159" s="54" t="n"/>
      <c r="V159" s="54" t="n"/>
      <c r="W159" s="54" t="n"/>
      <c r="X159" s="54" t="n"/>
      <c r="Y159" s="54" t="n"/>
      <c r="Z159" s="54" t="n"/>
    </row>
    <row r="160" ht="15.75" customHeight="1" s="57">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row>
    <row r="161" ht="15.75" customHeight="1" s="57">
      <c r="A161" s="54" t="n"/>
      <c r="B161" s="54" t="n"/>
      <c r="C161" s="54" t="n"/>
      <c r="D161" s="54" t="n"/>
      <c r="E161" s="54" t="n"/>
      <c r="F161" s="54" t="n"/>
      <c r="G161" s="54" t="n"/>
      <c r="H161" s="54" t="n"/>
      <c r="I161" s="54" t="n"/>
      <c r="J161" s="54" t="n"/>
      <c r="K161" s="54" t="n"/>
      <c r="L161" s="54" t="n"/>
      <c r="M161" s="54" t="n"/>
      <c r="N161" s="54" t="n"/>
      <c r="O161" s="54" t="n"/>
      <c r="P161" s="54" t="n"/>
      <c r="Q161" s="54" t="n"/>
      <c r="R161" s="54" t="n"/>
      <c r="S161" s="54" t="n"/>
      <c r="T161" s="54" t="n"/>
      <c r="U161" s="54" t="n"/>
      <c r="V161" s="54" t="n"/>
      <c r="W161" s="54" t="n"/>
      <c r="X161" s="54" t="n"/>
      <c r="Y161" s="54" t="n"/>
      <c r="Z161" s="54" t="n"/>
    </row>
    <row r="162" ht="15.75" customHeight="1" s="57">
      <c r="A162" s="54" t="n"/>
      <c r="B162" s="54" t="n"/>
      <c r="C162" s="54" t="n"/>
      <c r="D162" s="54" t="n"/>
      <c r="E162" s="54" t="n"/>
      <c r="F162" s="54" t="n"/>
      <c r="G162" s="54" t="n"/>
      <c r="H162" s="54" t="n"/>
      <c r="I162" s="54" t="n"/>
      <c r="J162" s="54" t="n"/>
      <c r="K162" s="54" t="n"/>
      <c r="L162" s="54" t="n"/>
      <c r="M162" s="54" t="n"/>
      <c r="N162" s="54" t="n"/>
      <c r="O162" s="54" t="n"/>
      <c r="P162" s="54" t="n"/>
      <c r="Q162" s="54" t="n"/>
      <c r="R162" s="54" t="n"/>
      <c r="S162" s="54" t="n"/>
      <c r="T162" s="54" t="n"/>
      <c r="U162" s="54" t="n"/>
      <c r="V162" s="54" t="n"/>
      <c r="W162" s="54" t="n"/>
      <c r="X162" s="54" t="n"/>
      <c r="Y162" s="54" t="n"/>
      <c r="Z162" s="54" t="n"/>
    </row>
    <row r="163" ht="15.75" customHeight="1" s="57">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row>
    <row r="164" ht="15.75" customHeight="1" s="57">
      <c r="A164" s="54" t="n"/>
      <c r="B164" s="54" t="n"/>
      <c r="C164" s="54" t="n"/>
      <c r="D164" s="54" t="n"/>
      <c r="E164" s="54" t="n"/>
      <c r="F164" s="54" t="n"/>
      <c r="G164" s="54" t="n"/>
      <c r="H164" s="54" t="n"/>
      <c r="I164" s="54" t="n"/>
      <c r="J164" s="54" t="n"/>
      <c r="K164" s="54" t="n"/>
      <c r="L164" s="54" t="n"/>
      <c r="M164" s="54" t="n"/>
      <c r="N164" s="54" t="n"/>
      <c r="O164" s="54" t="n"/>
      <c r="P164" s="54" t="n"/>
      <c r="Q164" s="54" t="n"/>
      <c r="R164" s="54" t="n"/>
      <c r="S164" s="54" t="n"/>
      <c r="T164" s="54" t="n"/>
      <c r="U164" s="54" t="n"/>
      <c r="V164" s="54" t="n"/>
      <c r="W164" s="54" t="n"/>
      <c r="X164" s="54" t="n"/>
      <c r="Y164" s="54" t="n"/>
      <c r="Z164" s="54" t="n"/>
    </row>
    <row r="165" ht="15.75" customHeight="1" s="57">
      <c r="A165" s="54" t="n"/>
      <c r="B165" s="54" t="n"/>
      <c r="C165" s="54" t="n"/>
      <c r="D165" s="54" t="n"/>
      <c r="E165" s="54" t="n"/>
      <c r="F165" s="54" t="n"/>
      <c r="G165" s="54" t="n"/>
      <c r="H165" s="54" t="n"/>
      <c r="I165" s="54" t="n"/>
      <c r="J165" s="54" t="n"/>
      <c r="K165" s="54" t="n"/>
      <c r="L165" s="54" t="n"/>
      <c r="M165" s="54" t="n"/>
      <c r="N165" s="54" t="n"/>
      <c r="O165" s="54" t="n"/>
      <c r="P165" s="54" t="n"/>
      <c r="Q165" s="54" t="n"/>
      <c r="R165" s="54" t="n"/>
      <c r="S165" s="54" t="n"/>
      <c r="T165" s="54" t="n"/>
      <c r="U165" s="54" t="n"/>
      <c r="V165" s="54" t="n"/>
      <c r="W165" s="54" t="n"/>
      <c r="X165" s="54" t="n"/>
      <c r="Y165" s="54" t="n"/>
      <c r="Z165" s="54" t="n"/>
    </row>
    <row r="166" ht="15.75" customHeight="1" s="57">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row>
    <row r="167" ht="15.75" customHeight="1" s="57">
      <c r="A167" s="54" t="n"/>
      <c r="B167" s="54" t="n"/>
      <c r="C167" s="54" t="n"/>
      <c r="D167" s="54" t="n"/>
      <c r="E167" s="54" t="n"/>
      <c r="F167" s="54" t="n"/>
      <c r="G167" s="54" t="n"/>
      <c r="H167" s="54" t="n"/>
      <c r="I167" s="54" t="n"/>
      <c r="J167" s="54" t="n"/>
      <c r="K167" s="54" t="n"/>
      <c r="L167" s="54" t="n"/>
      <c r="M167" s="54" t="n"/>
      <c r="N167" s="54" t="n"/>
      <c r="O167" s="54" t="n"/>
      <c r="P167" s="54" t="n"/>
      <c r="Q167" s="54" t="n"/>
      <c r="R167" s="54" t="n"/>
      <c r="S167" s="54" t="n"/>
      <c r="T167" s="54" t="n"/>
      <c r="U167" s="54" t="n"/>
      <c r="V167" s="54" t="n"/>
      <c r="W167" s="54" t="n"/>
      <c r="X167" s="54" t="n"/>
      <c r="Y167" s="54" t="n"/>
      <c r="Z167" s="54" t="n"/>
    </row>
    <row r="168" ht="15.75" customHeight="1" s="57">
      <c r="A168" s="54" t="n"/>
      <c r="B168" s="54" t="n"/>
      <c r="C168" s="54" t="n"/>
      <c r="D168" s="54" t="n"/>
      <c r="E168" s="54" t="n"/>
      <c r="F168" s="54" t="n"/>
      <c r="G168" s="54" t="n"/>
      <c r="H168" s="54" t="n"/>
      <c r="I168" s="54" t="n"/>
      <c r="J168" s="54" t="n"/>
      <c r="K168" s="54" t="n"/>
      <c r="L168" s="54" t="n"/>
      <c r="M168" s="54" t="n"/>
      <c r="N168" s="54" t="n"/>
      <c r="O168" s="54" t="n"/>
      <c r="P168" s="54" t="n"/>
      <c r="Q168" s="54" t="n"/>
      <c r="R168" s="54" t="n"/>
      <c r="S168" s="54" t="n"/>
      <c r="T168" s="54" t="n"/>
      <c r="U168" s="54" t="n"/>
      <c r="V168" s="54" t="n"/>
      <c r="W168" s="54" t="n"/>
      <c r="X168" s="54" t="n"/>
      <c r="Y168" s="54" t="n"/>
      <c r="Z168" s="54" t="n"/>
    </row>
    <row r="169" ht="15.75" customHeight="1" s="57">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row>
    <row r="170" ht="15.75" customHeight="1" s="57">
      <c r="A170" s="54" t="n"/>
      <c r="B170" s="54" t="n"/>
      <c r="C170" s="54" t="n"/>
      <c r="D170" s="54" t="n"/>
      <c r="E170" s="54" t="n"/>
      <c r="F170" s="54" t="n"/>
      <c r="G170" s="54" t="n"/>
      <c r="H170" s="54" t="n"/>
      <c r="I170" s="54" t="n"/>
      <c r="J170" s="54" t="n"/>
      <c r="K170" s="54" t="n"/>
      <c r="L170" s="54" t="n"/>
      <c r="M170" s="54" t="n"/>
      <c r="N170" s="54" t="n"/>
      <c r="O170" s="54" t="n"/>
      <c r="P170" s="54" t="n"/>
      <c r="Q170" s="54" t="n"/>
      <c r="R170" s="54" t="n"/>
      <c r="S170" s="54" t="n"/>
      <c r="T170" s="54" t="n"/>
      <c r="U170" s="54" t="n"/>
      <c r="V170" s="54" t="n"/>
      <c r="W170" s="54" t="n"/>
      <c r="X170" s="54" t="n"/>
      <c r="Y170" s="54" t="n"/>
      <c r="Z170" s="54" t="n"/>
    </row>
    <row r="171" ht="15.75" customHeight="1" s="57">
      <c r="A171" s="54" t="n"/>
      <c r="B171" s="54" t="n"/>
      <c r="C171" s="54" t="n"/>
      <c r="D171" s="54" t="n"/>
      <c r="E171" s="54" t="n"/>
      <c r="F171" s="54" t="n"/>
      <c r="G171" s="54" t="n"/>
      <c r="H171" s="54" t="n"/>
      <c r="I171" s="54" t="n"/>
      <c r="J171" s="54" t="n"/>
      <c r="K171" s="54" t="n"/>
      <c r="L171" s="54" t="n"/>
      <c r="M171" s="54" t="n"/>
      <c r="N171" s="54" t="n"/>
      <c r="O171" s="54" t="n"/>
      <c r="P171" s="54" t="n"/>
      <c r="Q171" s="54" t="n"/>
      <c r="R171" s="54" t="n"/>
      <c r="S171" s="54" t="n"/>
      <c r="T171" s="54" t="n"/>
      <c r="U171" s="54" t="n"/>
      <c r="V171" s="54" t="n"/>
      <c r="W171" s="54" t="n"/>
      <c r="X171" s="54" t="n"/>
      <c r="Y171" s="54" t="n"/>
      <c r="Z171" s="54" t="n"/>
    </row>
    <row r="172" ht="15.75" customHeight="1" s="57">
      <c r="A172" s="54" t="n"/>
      <c r="B172" s="54" t="n"/>
      <c r="C172" s="54" t="n"/>
      <c r="D172" s="54" t="n"/>
      <c r="E172" s="54" t="n"/>
      <c r="F172" s="54" t="n"/>
      <c r="G172" s="54" t="n"/>
      <c r="H172" s="54" t="n"/>
      <c r="I172" s="54" t="n"/>
      <c r="J172" s="54" t="n"/>
      <c r="K172" s="54" t="n"/>
      <c r="L172" s="54" t="n"/>
      <c r="M172" s="54" t="n"/>
      <c r="N172" s="54" t="n"/>
      <c r="O172" s="54" t="n"/>
      <c r="P172" s="54" t="n"/>
      <c r="Q172" s="54" t="n"/>
      <c r="R172" s="54" t="n"/>
      <c r="S172" s="54" t="n"/>
      <c r="T172" s="54" t="n"/>
      <c r="U172" s="54" t="n"/>
      <c r="V172" s="54" t="n"/>
      <c r="W172" s="54" t="n"/>
      <c r="X172" s="54" t="n"/>
      <c r="Y172" s="54" t="n"/>
      <c r="Z172" s="54" t="n"/>
    </row>
    <row r="173" ht="15.75" customHeight="1" s="57">
      <c r="A173" s="54" t="n"/>
      <c r="B173" s="54" t="n"/>
      <c r="C173" s="54" t="n"/>
      <c r="D173" s="54" t="n"/>
      <c r="E173" s="54" t="n"/>
      <c r="F173" s="54" t="n"/>
      <c r="G173" s="54" t="n"/>
      <c r="H173" s="54" t="n"/>
      <c r="I173" s="54" t="n"/>
      <c r="J173" s="54" t="n"/>
      <c r="K173" s="54" t="n"/>
      <c r="L173" s="54" t="n"/>
      <c r="M173" s="54" t="n"/>
      <c r="N173" s="54" t="n"/>
      <c r="O173" s="54" t="n"/>
      <c r="P173" s="54" t="n"/>
      <c r="Q173" s="54" t="n"/>
      <c r="R173" s="54" t="n"/>
      <c r="S173" s="54" t="n"/>
      <c r="T173" s="54" t="n"/>
      <c r="U173" s="54" t="n"/>
      <c r="V173" s="54" t="n"/>
      <c r="W173" s="54" t="n"/>
      <c r="X173" s="54" t="n"/>
      <c r="Y173" s="54" t="n"/>
      <c r="Z173" s="54" t="n"/>
    </row>
    <row r="174" ht="15.75" customHeight="1" s="57">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row>
    <row r="175" ht="15.75" customHeight="1" s="57">
      <c r="A175" s="54" t="n"/>
      <c r="B175" s="54" t="n"/>
      <c r="C175" s="54" t="n"/>
      <c r="D175" s="54" t="n"/>
      <c r="E175" s="54" t="n"/>
      <c r="F175" s="54" t="n"/>
      <c r="G175" s="54" t="n"/>
      <c r="H175" s="54" t="n"/>
      <c r="I175" s="54" t="n"/>
      <c r="J175" s="54" t="n"/>
      <c r="K175" s="54" t="n"/>
      <c r="L175" s="54" t="n"/>
      <c r="M175" s="54" t="n"/>
      <c r="N175" s="54" t="n"/>
      <c r="O175" s="54" t="n"/>
      <c r="P175" s="54" t="n"/>
      <c r="Q175" s="54" t="n"/>
      <c r="R175" s="54" t="n"/>
      <c r="S175" s="54" t="n"/>
      <c r="T175" s="54" t="n"/>
      <c r="U175" s="54" t="n"/>
      <c r="V175" s="54" t="n"/>
      <c r="W175" s="54" t="n"/>
      <c r="X175" s="54" t="n"/>
      <c r="Y175" s="54" t="n"/>
      <c r="Z175" s="54" t="n"/>
    </row>
    <row r="176" ht="15.75" customHeight="1" s="57">
      <c r="A176" s="54" t="n"/>
      <c r="B176" s="54" t="n"/>
      <c r="C176" s="54" t="n"/>
      <c r="D176" s="54" t="n"/>
      <c r="E176" s="54" t="n"/>
      <c r="F176" s="54" t="n"/>
      <c r="G176" s="54" t="n"/>
      <c r="H176" s="54" t="n"/>
      <c r="I176" s="54" t="n"/>
      <c r="J176" s="54" t="n"/>
      <c r="K176" s="54" t="n"/>
      <c r="L176" s="54" t="n"/>
      <c r="M176" s="54" t="n"/>
      <c r="N176" s="54" t="n"/>
      <c r="O176" s="54" t="n"/>
      <c r="P176" s="54" t="n"/>
      <c r="Q176" s="54" t="n"/>
      <c r="R176" s="54" t="n"/>
      <c r="S176" s="54" t="n"/>
      <c r="T176" s="54" t="n"/>
      <c r="U176" s="54" t="n"/>
      <c r="V176" s="54" t="n"/>
      <c r="W176" s="54" t="n"/>
      <c r="X176" s="54" t="n"/>
      <c r="Y176" s="54" t="n"/>
      <c r="Z176" s="54" t="n"/>
    </row>
    <row r="177" ht="15.75" customHeight="1" s="57">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row>
    <row r="178" ht="15.75" customHeight="1" s="57">
      <c r="A178" s="54" t="n"/>
      <c r="B178" s="54" t="n"/>
      <c r="C178" s="54" t="n"/>
      <c r="D178" s="54" t="n"/>
      <c r="E178" s="54" t="n"/>
      <c r="F178" s="54" t="n"/>
      <c r="G178" s="54" t="n"/>
      <c r="H178" s="54" t="n"/>
      <c r="I178" s="54" t="n"/>
      <c r="J178" s="54" t="n"/>
      <c r="K178" s="54" t="n"/>
      <c r="L178" s="54" t="n"/>
      <c r="M178" s="54" t="n"/>
      <c r="N178" s="54" t="n"/>
      <c r="O178" s="54" t="n"/>
      <c r="P178" s="54" t="n"/>
      <c r="Q178" s="54" t="n"/>
      <c r="R178" s="54" t="n"/>
      <c r="S178" s="54" t="n"/>
      <c r="T178" s="54" t="n"/>
      <c r="U178" s="54" t="n"/>
      <c r="V178" s="54" t="n"/>
      <c r="W178" s="54" t="n"/>
      <c r="X178" s="54" t="n"/>
      <c r="Y178" s="54" t="n"/>
      <c r="Z178" s="54" t="n"/>
    </row>
    <row r="179" ht="15.75" customHeight="1" s="57">
      <c r="A179" s="54" t="n"/>
      <c r="B179" s="54" t="n"/>
      <c r="C179" s="54" t="n"/>
      <c r="D179" s="54" t="n"/>
      <c r="E179" s="54" t="n"/>
      <c r="F179" s="54" t="n"/>
      <c r="G179" s="54" t="n"/>
      <c r="H179" s="54" t="n"/>
      <c r="I179" s="54" t="n"/>
      <c r="J179" s="54" t="n"/>
      <c r="K179" s="54" t="n"/>
      <c r="L179" s="54" t="n"/>
      <c r="M179" s="54" t="n"/>
      <c r="N179" s="54" t="n"/>
      <c r="O179" s="54" t="n"/>
      <c r="P179" s="54" t="n"/>
      <c r="Q179" s="54" t="n"/>
      <c r="R179" s="54" t="n"/>
      <c r="S179" s="54" t="n"/>
      <c r="T179" s="54" t="n"/>
      <c r="U179" s="54" t="n"/>
      <c r="V179" s="54" t="n"/>
      <c r="W179" s="54" t="n"/>
      <c r="X179" s="54" t="n"/>
      <c r="Y179" s="54" t="n"/>
      <c r="Z179" s="54" t="n"/>
    </row>
    <row r="180" ht="15.75" customHeight="1" s="57">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row>
    <row r="181" ht="15.75" customHeight="1" s="57">
      <c r="A181" s="54" t="n"/>
      <c r="B181" s="54" t="n"/>
      <c r="C181" s="54" t="n"/>
      <c r="D181" s="54" t="n"/>
      <c r="E181" s="54" t="n"/>
      <c r="F181" s="54" t="n"/>
      <c r="G181" s="54" t="n"/>
      <c r="H181" s="54" t="n"/>
      <c r="I181" s="54" t="n"/>
      <c r="J181" s="54" t="n"/>
      <c r="K181" s="54" t="n"/>
      <c r="L181" s="54" t="n"/>
      <c r="M181" s="54" t="n"/>
      <c r="N181" s="54" t="n"/>
      <c r="O181" s="54" t="n"/>
      <c r="P181" s="54" t="n"/>
      <c r="Q181" s="54" t="n"/>
      <c r="R181" s="54" t="n"/>
      <c r="S181" s="54" t="n"/>
      <c r="T181" s="54" t="n"/>
      <c r="U181" s="54" t="n"/>
      <c r="V181" s="54" t="n"/>
      <c r="W181" s="54" t="n"/>
      <c r="X181" s="54" t="n"/>
      <c r="Y181" s="54" t="n"/>
      <c r="Z181" s="54" t="n"/>
    </row>
    <row r="182" ht="15.75" customHeight="1" s="57">
      <c r="A182" s="54" t="n"/>
      <c r="B182" s="54" t="n"/>
      <c r="C182" s="54" t="n"/>
      <c r="D182" s="54" t="n"/>
      <c r="E182" s="54" t="n"/>
      <c r="F182" s="54" t="n"/>
      <c r="G182" s="54" t="n"/>
      <c r="H182" s="54" t="n"/>
      <c r="I182" s="54" t="n"/>
      <c r="J182" s="54" t="n"/>
      <c r="K182" s="54" t="n"/>
      <c r="L182" s="54" t="n"/>
      <c r="M182" s="54" t="n"/>
      <c r="N182" s="54" t="n"/>
      <c r="O182" s="54" t="n"/>
      <c r="P182" s="54" t="n"/>
      <c r="Q182" s="54" t="n"/>
      <c r="R182" s="54" t="n"/>
      <c r="S182" s="54" t="n"/>
      <c r="T182" s="54" t="n"/>
      <c r="U182" s="54" t="n"/>
      <c r="V182" s="54" t="n"/>
      <c r="W182" s="54" t="n"/>
      <c r="X182" s="54" t="n"/>
      <c r="Y182" s="54" t="n"/>
      <c r="Z182" s="54" t="n"/>
    </row>
    <row r="183" ht="15.75" customHeight="1" s="57">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row>
    <row r="184" ht="15.75" customHeight="1" s="57">
      <c r="A184" s="54" t="n"/>
      <c r="B184" s="54" t="n"/>
      <c r="C184" s="54" t="n"/>
      <c r="D184" s="54" t="n"/>
      <c r="E184" s="54" t="n"/>
      <c r="F184" s="54" t="n"/>
      <c r="G184" s="54" t="n"/>
      <c r="H184" s="54" t="n"/>
      <c r="I184" s="54" t="n"/>
      <c r="J184" s="54" t="n"/>
      <c r="K184" s="54" t="n"/>
      <c r="L184" s="54" t="n"/>
      <c r="M184" s="54" t="n"/>
      <c r="N184" s="54" t="n"/>
      <c r="O184" s="54" t="n"/>
      <c r="P184" s="54" t="n"/>
      <c r="Q184" s="54" t="n"/>
      <c r="R184" s="54" t="n"/>
      <c r="S184" s="54" t="n"/>
      <c r="T184" s="54" t="n"/>
      <c r="U184" s="54" t="n"/>
      <c r="V184" s="54" t="n"/>
      <c r="W184" s="54" t="n"/>
      <c r="X184" s="54" t="n"/>
      <c r="Y184" s="54" t="n"/>
      <c r="Z184" s="54" t="n"/>
    </row>
    <row r="185" ht="15.75" customHeight="1" s="57">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row>
    <row r="186" ht="15.75" customHeight="1" s="57">
      <c r="A186" s="54" t="n"/>
      <c r="B186" s="54" t="n"/>
      <c r="C186" s="54" t="n"/>
      <c r="D186" s="54" t="n"/>
      <c r="E186" s="54" t="n"/>
      <c r="F186" s="54" t="n"/>
      <c r="G186" s="54" t="n"/>
      <c r="H186" s="54" t="n"/>
      <c r="I186" s="54" t="n"/>
      <c r="J186" s="54" t="n"/>
      <c r="K186" s="54" t="n"/>
      <c r="L186" s="54" t="n"/>
      <c r="M186" s="54" t="n"/>
      <c r="N186" s="54" t="n"/>
      <c r="O186" s="54" t="n"/>
      <c r="P186" s="54" t="n"/>
      <c r="Q186" s="54" t="n"/>
      <c r="R186" s="54" t="n"/>
      <c r="S186" s="54" t="n"/>
      <c r="T186" s="54" t="n"/>
      <c r="U186" s="54" t="n"/>
      <c r="V186" s="54" t="n"/>
      <c r="W186" s="54" t="n"/>
      <c r="X186" s="54" t="n"/>
      <c r="Y186" s="54" t="n"/>
      <c r="Z186" s="54" t="n"/>
    </row>
    <row r="187" ht="15.75" customHeight="1" s="57">
      <c r="A187" s="54" t="n"/>
      <c r="B187" s="54" t="n"/>
      <c r="C187" s="54" t="n"/>
      <c r="D187" s="54" t="n"/>
      <c r="E187" s="54" t="n"/>
      <c r="F187" s="54" t="n"/>
      <c r="G187" s="54" t="n"/>
      <c r="H187" s="54" t="n"/>
      <c r="I187" s="54" t="n"/>
      <c r="J187" s="54" t="n"/>
      <c r="K187" s="54" t="n"/>
      <c r="L187" s="54" t="n"/>
      <c r="M187" s="54" t="n"/>
      <c r="N187" s="54" t="n"/>
      <c r="O187" s="54" t="n"/>
      <c r="P187" s="54" t="n"/>
      <c r="Q187" s="54" t="n"/>
      <c r="R187" s="54" t="n"/>
      <c r="S187" s="54" t="n"/>
      <c r="T187" s="54" t="n"/>
      <c r="U187" s="54" t="n"/>
      <c r="V187" s="54" t="n"/>
      <c r="W187" s="54" t="n"/>
      <c r="X187" s="54" t="n"/>
      <c r="Y187" s="54" t="n"/>
      <c r="Z187" s="54" t="n"/>
    </row>
    <row r="188" ht="15.75" customHeight="1" s="57">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row>
    <row r="189" ht="15.75" customHeight="1" s="57">
      <c r="A189" s="54" t="n"/>
      <c r="B189" s="54" t="n"/>
      <c r="C189" s="54" t="n"/>
      <c r="D189" s="54" t="n"/>
      <c r="E189" s="54" t="n"/>
      <c r="F189" s="54" t="n"/>
      <c r="G189" s="54" t="n"/>
      <c r="H189" s="54" t="n"/>
      <c r="I189" s="54" t="n"/>
      <c r="J189" s="54" t="n"/>
      <c r="K189" s="54" t="n"/>
      <c r="L189" s="54" t="n"/>
      <c r="M189" s="54" t="n"/>
      <c r="N189" s="54" t="n"/>
      <c r="O189" s="54" t="n"/>
      <c r="P189" s="54" t="n"/>
      <c r="Q189" s="54" t="n"/>
      <c r="R189" s="54" t="n"/>
      <c r="S189" s="54" t="n"/>
      <c r="T189" s="54" t="n"/>
      <c r="U189" s="54" t="n"/>
      <c r="V189" s="54" t="n"/>
      <c r="W189" s="54" t="n"/>
      <c r="X189" s="54" t="n"/>
      <c r="Y189" s="54" t="n"/>
      <c r="Z189" s="54" t="n"/>
    </row>
    <row r="190" ht="15.75" customHeight="1" s="57">
      <c r="A190" s="54" t="n"/>
      <c r="B190" s="54" t="n"/>
      <c r="C190" s="54" t="n"/>
      <c r="D190" s="54" t="n"/>
      <c r="E190" s="54" t="n"/>
      <c r="F190" s="54" t="n"/>
      <c r="G190" s="54" t="n"/>
      <c r="H190" s="54" t="n"/>
      <c r="I190" s="54" t="n"/>
      <c r="J190" s="54" t="n"/>
      <c r="K190" s="54" t="n"/>
      <c r="L190" s="54" t="n"/>
      <c r="M190" s="54" t="n"/>
      <c r="N190" s="54" t="n"/>
      <c r="O190" s="54" t="n"/>
      <c r="P190" s="54" t="n"/>
      <c r="Q190" s="54" t="n"/>
      <c r="R190" s="54" t="n"/>
      <c r="S190" s="54" t="n"/>
      <c r="T190" s="54" t="n"/>
      <c r="U190" s="54" t="n"/>
      <c r="V190" s="54" t="n"/>
      <c r="W190" s="54" t="n"/>
      <c r="X190" s="54" t="n"/>
      <c r="Y190" s="54" t="n"/>
      <c r="Z190" s="54" t="n"/>
    </row>
    <row r="191" ht="15.75" customHeight="1" s="57">
      <c r="A191" s="54" t="n"/>
      <c r="B191" s="54" t="n"/>
      <c r="C191" s="54" t="n"/>
      <c r="D191" s="54" t="n"/>
      <c r="E191" s="54" t="n"/>
      <c r="F191" s="54" t="n"/>
      <c r="G191" s="54" t="n"/>
      <c r="H191" s="54" t="n"/>
      <c r="I191" s="54" t="n"/>
      <c r="J191" s="54" t="n"/>
      <c r="K191" s="54" t="n"/>
      <c r="L191" s="54" t="n"/>
      <c r="M191" s="54" t="n"/>
      <c r="N191" s="54" t="n"/>
      <c r="O191" s="54" t="n"/>
      <c r="P191" s="54" t="n"/>
      <c r="Q191" s="54" t="n"/>
      <c r="R191" s="54" t="n"/>
      <c r="S191" s="54" t="n"/>
      <c r="T191" s="54" t="n"/>
      <c r="U191" s="54" t="n"/>
      <c r="V191" s="54" t="n"/>
      <c r="W191" s="54" t="n"/>
      <c r="X191" s="54" t="n"/>
      <c r="Y191" s="54" t="n"/>
      <c r="Z191" s="54" t="n"/>
    </row>
    <row r="192" ht="15.75" customHeight="1" s="57">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row>
    <row r="193" ht="15.75" customHeight="1" s="57">
      <c r="A193" s="54" t="n"/>
      <c r="B193" s="54" t="n"/>
      <c r="C193" s="54" t="n"/>
      <c r="D193" s="54" t="n"/>
      <c r="E193" s="54" t="n"/>
      <c r="F193" s="54" t="n"/>
      <c r="G193" s="54" t="n"/>
      <c r="H193" s="54" t="n"/>
      <c r="I193" s="54" t="n"/>
      <c r="J193" s="54" t="n"/>
      <c r="K193" s="54" t="n"/>
      <c r="L193" s="54" t="n"/>
      <c r="M193" s="54" t="n"/>
      <c r="N193" s="54" t="n"/>
      <c r="O193" s="54" t="n"/>
      <c r="P193" s="54" t="n"/>
      <c r="Q193" s="54" t="n"/>
      <c r="R193" s="54" t="n"/>
      <c r="S193" s="54" t="n"/>
      <c r="T193" s="54" t="n"/>
      <c r="U193" s="54" t="n"/>
      <c r="V193" s="54" t="n"/>
      <c r="W193" s="54" t="n"/>
      <c r="X193" s="54" t="n"/>
      <c r="Y193" s="54" t="n"/>
      <c r="Z193" s="54" t="n"/>
    </row>
    <row r="194" ht="15.75" customHeight="1" s="57">
      <c r="A194" s="54" t="n"/>
      <c r="B194" s="54" t="n"/>
      <c r="C194" s="54" t="n"/>
      <c r="D194" s="54" t="n"/>
      <c r="E194" s="54" t="n"/>
      <c r="F194" s="54" t="n"/>
      <c r="G194" s="54" t="n"/>
      <c r="H194" s="54" t="n"/>
      <c r="I194" s="54" t="n"/>
      <c r="J194" s="54" t="n"/>
      <c r="K194" s="54" t="n"/>
      <c r="L194" s="54" t="n"/>
      <c r="M194" s="54" t="n"/>
      <c r="N194" s="54" t="n"/>
      <c r="O194" s="54" t="n"/>
      <c r="P194" s="54" t="n"/>
      <c r="Q194" s="54" t="n"/>
      <c r="R194" s="54" t="n"/>
      <c r="S194" s="54" t="n"/>
      <c r="T194" s="54" t="n"/>
      <c r="U194" s="54" t="n"/>
      <c r="V194" s="54" t="n"/>
      <c r="W194" s="54" t="n"/>
      <c r="X194" s="54" t="n"/>
      <c r="Y194" s="54" t="n"/>
      <c r="Z194" s="54" t="n"/>
    </row>
    <row r="195" ht="15.75" customHeight="1" s="57">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row>
    <row r="196" ht="15.75" customHeight="1" s="57">
      <c r="A196" s="54" t="n"/>
      <c r="B196" s="54" t="n"/>
      <c r="C196" s="54" t="n"/>
      <c r="D196" s="54" t="n"/>
      <c r="E196" s="54" t="n"/>
      <c r="F196" s="54" t="n"/>
      <c r="G196" s="54" t="n"/>
      <c r="H196" s="54" t="n"/>
      <c r="I196" s="54" t="n"/>
      <c r="J196" s="54" t="n"/>
      <c r="K196" s="54" t="n"/>
      <c r="L196" s="54" t="n"/>
      <c r="M196" s="54" t="n"/>
      <c r="N196" s="54" t="n"/>
      <c r="O196" s="54" t="n"/>
      <c r="P196" s="54" t="n"/>
      <c r="Q196" s="54" t="n"/>
      <c r="R196" s="54" t="n"/>
      <c r="S196" s="54" t="n"/>
      <c r="T196" s="54" t="n"/>
      <c r="U196" s="54" t="n"/>
      <c r="V196" s="54" t="n"/>
      <c r="W196" s="54" t="n"/>
      <c r="X196" s="54" t="n"/>
      <c r="Y196" s="54" t="n"/>
      <c r="Z196" s="54" t="n"/>
    </row>
    <row r="197" ht="15.75" customHeight="1" s="57">
      <c r="A197" s="54" t="n"/>
      <c r="B197" s="54" t="n"/>
      <c r="C197" s="54" t="n"/>
      <c r="D197" s="54" t="n"/>
      <c r="E197" s="54" t="n"/>
      <c r="F197" s="54" t="n"/>
      <c r="G197" s="54" t="n"/>
      <c r="H197" s="54" t="n"/>
      <c r="I197" s="54" t="n"/>
      <c r="J197" s="54" t="n"/>
      <c r="K197" s="54" t="n"/>
      <c r="L197" s="54" t="n"/>
      <c r="M197" s="54" t="n"/>
      <c r="N197" s="54" t="n"/>
      <c r="O197" s="54" t="n"/>
      <c r="P197" s="54" t="n"/>
      <c r="Q197" s="54" t="n"/>
      <c r="R197" s="54" t="n"/>
      <c r="S197" s="54" t="n"/>
      <c r="T197" s="54" t="n"/>
      <c r="U197" s="54" t="n"/>
      <c r="V197" s="54" t="n"/>
      <c r="W197" s="54" t="n"/>
      <c r="X197" s="54" t="n"/>
      <c r="Y197" s="54" t="n"/>
      <c r="Z197" s="54" t="n"/>
    </row>
    <row r="198" ht="15.75" customHeight="1" s="57">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row>
    <row r="199" ht="15.75" customHeight="1" s="57">
      <c r="A199" s="54" t="n"/>
      <c r="B199" s="54" t="n"/>
      <c r="C199" s="54" t="n"/>
      <c r="D199" s="54" t="n"/>
      <c r="E199" s="54" t="n"/>
      <c r="F199" s="54" t="n"/>
      <c r="G199" s="54" t="n"/>
      <c r="H199" s="54" t="n"/>
      <c r="I199" s="54" t="n"/>
      <c r="J199" s="54" t="n"/>
      <c r="K199" s="54" t="n"/>
      <c r="L199" s="54" t="n"/>
      <c r="M199" s="54" t="n"/>
      <c r="N199" s="54" t="n"/>
      <c r="O199" s="54" t="n"/>
      <c r="P199" s="54" t="n"/>
      <c r="Q199" s="54" t="n"/>
      <c r="R199" s="54" t="n"/>
      <c r="S199" s="54" t="n"/>
      <c r="T199" s="54" t="n"/>
      <c r="U199" s="54" t="n"/>
      <c r="V199" s="54" t="n"/>
      <c r="W199" s="54" t="n"/>
      <c r="X199" s="54" t="n"/>
      <c r="Y199" s="54" t="n"/>
      <c r="Z199" s="54" t="n"/>
    </row>
    <row r="200" ht="15.75" customHeight="1" s="57">
      <c r="A200" s="54" t="n"/>
      <c r="B200" s="54" t="n"/>
      <c r="C200" s="54" t="n"/>
      <c r="D200" s="54" t="n"/>
      <c r="E200" s="54" t="n"/>
      <c r="F200" s="54" t="n"/>
      <c r="G200" s="54" t="n"/>
      <c r="H200" s="54" t="n"/>
      <c r="I200" s="54" t="n"/>
      <c r="J200" s="54" t="n"/>
      <c r="K200" s="54" t="n"/>
      <c r="L200" s="54" t="n"/>
      <c r="M200" s="54" t="n"/>
      <c r="N200" s="54" t="n"/>
      <c r="O200" s="54" t="n"/>
      <c r="P200" s="54" t="n"/>
      <c r="Q200" s="54" t="n"/>
      <c r="R200" s="54" t="n"/>
      <c r="S200" s="54" t="n"/>
      <c r="T200" s="54" t="n"/>
      <c r="U200" s="54" t="n"/>
      <c r="V200" s="54" t="n"/>
      <c r="W200" s="54" t="n"/>
      <c r="X200" s="54" t="n"/>
      <c r="Y200" s="54" t="n"/>
      <c r="Z200" s="54" t="n"/>
    </row>
    <row r="201" ht="15.75" customHeight="1" s="57">
      <c r="A201" s="54" t="n"/>
      <c r="B201" s="54" t="n"/>
      <c r="C201" s="54" t="n"/>
      <c r="D201" s="54" t="n"/>
      <c r="E201" s="54" t="n"/>
      <c r="F201" s="54" t="n"/>
      <c r="G201" s="54" t="n"/>
      <c r="H201" s="54" t="n"/>
      <c r="I201" s="54" t="n"/>
      <c r="J201" s="54" t="n"/>
      <c r="K201" s="54" t="n"/>
      <c r="L201" s="54" t="n"/>
      <c r="M201" s="54" t="n"/>
      <c r="N201" s="54" t="n"/>
      <c r="O201" s="54" t="n"/>
      <c r="P201" s="54" t="n"/>
      <c r="Q201" s="54" t="n"/>
      <c r="R201" s="54" t="n"/>
      <c r="S201" s="54" t="n"/>
      <c r="T201" s="54" t="n"/>
      <c r="U201" s="54" t="n"/>
      <c r="V201" s="54" t="n"/>
      <c r="W201" s="54" t="n"/>
      <c r="X201" s="54" t="n"/>
      <c r="Y201" s="54" t="n"/>
      <c r="Z201" s="54" t="n"/>
    </row>
    <row r="202" ht="15.75" customHeight="1" s="57">
      <c r="A202" s="54" t="n"/>
      <c r="B202" s="54" t="n"/>
      <c r="C202" s="54" t="n"/>
      <c r="D202" s="54" t="n"/>
      <c r="E202" s="54" t="n"/>
      <c r="F202" s="54" t="n"/>
      <c r="G202" s="54" t="n"/>
      <c r="H202" s="54" t="n"/>
      <c r="I202" s="54" t="n"/>
      <c r="J202" s="54" t="n"/>
      <c r="K202" s="54" t="n"/>
      <c r="L202" s="54" t="n"/>
      <c r="M202" s="54" t="n"/>
      <c r="N202" s="54" t="n"/>
      <c r="O202" s="54" t="n"/>
      <c r="P202" s="54" t="n"/>
      <c r="Q202" s="54" t="n"/>
      <c r="R202" s="54" t="n"/>
      <c r="S202" s="54" t="n"/>
      <c r="T202" s="54" t="n"/>
      <c r="U202" s="54" t="n"/>
      <c r="V202" s="54" t="n"/>
      <c r="W202" s="54" t="n"/>
      <c r="X202" s="54" t="n"/>
      <c r="Y202" s="54" t="n"/>
      <c r="Z202" s="54" t="n"/>
    </row>
    <row r="203" ht="15.75" customHeight="1" s="57">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row>
    <row r="204" ht="15.75" customHeight="1" s="57">
      <c r="A204" s="54" t="n"/>
      <c r="B204" s="54" t="n"/>
      <c r="C204" s="54" t="n"/>
      <c r="D204" s="54" t="n"/>
      <c r="E204" s="54" t="n"/>
      <c r="F204" s="54" t="n"/>
      <c r="G204" s="54" t="n"/>
      <c r="H204" s="54" t="n"/>
      <c r="I204" s="54" t="n"/>
      <c r="J204" s="54" t="n"/>
      <c r="K204" s="54" t="n"/>
      <c r="L204" s="54" t="n"/>
      <c r="M204" s="54" t="n"/>
      <c r="N204" s="54" t="n"/>
      <c r="O204" s="54" t="n"/>
      <c r="P204" s="54" t="n"/>
      <c r="Q204" s="54" t="n"/>
      <c r="R204" s="54" t="n"/>
      <c r="S204" s="54" t="n"/>
      <c r="T204" s="54" t="n"/>
      <c r="U204" s="54" t="n"/>
      <c r="V204" s="54" t="n"/>
      <c r="W204" s="54" t="n"/>
      <c r="X204" s="54" t="n"/>
      <c r="Y204" s="54" t="n"/>
      <c r="Z204" s="54" t="n"/>
    </row>
    <row r="205" ht="15.75" customHeight="1" s="57">
      <c r="A205" s="54" t="n"/>
      <c r="B205" s="54" t="n"/>
      <c r="C205" s="54" t="n"/>
      <c r="D205" s="54" t="n"/>
      <c r="E205" s="54" t="n"/>
      <c r="F205" s="54" t="n"/>
      <c r="G205" s="54" t="n"/>
      <c r="H205" s="54" t="n"/>
      <c r="I205" s="54" t="n"/>
      <c r="J205" s="54" t="n"/>
      <c r="K205" s="54" t="n"/>
      <c r="L205" s="54" t="n"/>
      <c r="M205" s="54" t="n"/>
      <c r="N205" s="54" t="n"/>
      <c r="O205" s="54" t="n"/>
      <c r="P205" s="54" t="n"/>
      <c r="Q205" s="54" t="n"/>
      <c r="R205" s="54" t="n"/>
      <c r="S205" s="54" t="n"/>
      <c r="T205" s="54" t="n"/>
      <c r="U205" s="54" t="n"/>
      <c r="V205" s="54" t="n"/>
      <c r="W205" s="54" t="n"/>
      <c r="X205" s="54" t="n"/>
      <c r="Y205" s="54" t="n"/>
      <c r="Z205" s="54" t="n"/>
    </row>
    <row r="206" ht="15.75" customHeight="1" s="57">
      <c r="A206" s="54" t="n"/>
      <c r="B206" s="54" t="n"/>
      <c r="C206" s="54" t="n"/>
      <c r="D206" s="54" t="n"/>
      <c r="E206" s="54" t="n"/>
      <c r="F206" s="54" t="n"/>
      <c r="G206" s="54" t="n"/>
      <c r="H206" s="54" t="n"/>
      <c r="I206" s="54" t="n"/>
      <c r="J206" s="54" t="n"/>
      <c r="K206" s="54" t="n"/>
      <c r="L206" s="54" t="n"/>
      <c r="M206" s="54" t="n"/>
      <c r="N206" s="54" t="n"/>
      <c r="O206" s="54" t="n"/>
      <c r="P206" s="54" t="n"/>
      <c r="Q206" s="54" t="n"/>
      <c r="R206" s="54" t="n"/>
      <c r="S206" s="54" t="n"/>
      <c r="T206" s="54" t="n"/>
      <c r="U206" s="54" t="n"/>
      <c r="V206" s="54" t="n"/>
      <c r="W206" s="54" t="n"/>
      <c r="X206" s="54" t="n"/>
      <c r="Y206" s="54" t="n"/>
      <c r="Z206" s="54" t="n"/>
    </row>
    <row r="207" ht="15.75" customHeight="1" s="57">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row>
    <row r="208" ht="15.75" customHeight="1" s="57">
      <c r="A208" s="54" t="n"/>
      <c r="B208" s="54" t="n"/>
      <c r="C208" s="54" t="n"/>
      <c r="D208" s="54" t="n"/>
      <c r="E208" s="54" t="n"/>
      <c r="F208" s="54" t="n"/>
      <c r="G208" s="54" t="n"/>
      <c r="H208" s="54" t="n"/>
      <c r="I208" s="54" t="n"/>
      <c r="J208" s="54" t="n"/>
      <c r="K208" s="54" t="n"/>
      <c r="L208" s="54" t="n"/>
      <c r="M208" s="54" t="n"/>
      <c r="N208" s="54" t="n"/>
      <c r="O208" s="54" t="n"/>
      <c r="P208" s="54" t="n"/>
      <c r="Q208" s="54" t="n"/>
      <c r="R208" s="54" t="n"/>
      <c r="S208" s="54" t="n"/>
      <c r="T208" s="54" t="n"/>
      <c r="U208" s="54" t="n"/>
      <c r="V208" s="54" t="n"/>
      <c r="W208" s="54" t="n"/>
      <c r="X208" s="54" t="n"/>
      <c r="Y208" s="54" t="n"/>
      <c r="Z208" s="54" t="n"/>
    </row>
    <row r="209" ht="15.75" customHeight="1" s="57">
      <c r="A209" s="54" t="n"/>
      <c r="B209" s="54" t="n"/>
      <c r="C209" s="54" t="n"/>
      <c r="D209" s="54" t="n"/>
      <c r="E209" s="54" t="n"/>
      <c r="F209" s="54" t="n"/>
      <c r="G209" s="54" t="n"/>
      <c r="H209" s="54" t="n"/>
      <c r="I209" s="54" t="n"/>
      <c r="J209" s="54" t="n"/>
      <c r="K209" s="54" t="n"/>
      <c r="L209" s="54" t="n"/>
      <c r="M209" s="54" t="n"/>
      <c r="N209" s="54" t="n"/>
      <c r="O209" s="54" t="n"/>
      <c r="P209" s="54" t="n"/>
      <c r="Q209" s="54" t="n"/>
      <c r="R209" s="54" t="n"/>
      <c r="S209" s="54" t="n"/>
      <c r="T209" s="54" t="n"/>
      <c r="U209" s="54" t="n"/>
      <c r="V209" s="54" t="n"/>
      <c r="W209" s="54" t="n"/>
      <c r="X209" s="54" t="n"/>
      <c r="Y209" s="54" t="n"/>
      <c r="Z209" s="54" t="n"/>
    </row>
    <row r="210" ht="15.75" customHeight="1" s="57">
      <c r="A210" s="54" t="n"/>
      <c r="B210" s="54" t="n"/>
      <c r="C210" s="54" t="n"/>
      <c r="D210" s="54" t="n"/>
      <c r="E210" s="54" t="n"/>
      <c r="F210" s="54" t="n"/>
      <c r="G210" s="54" t="n"/>
      <c r="H210" s="54" t="n"/>
      <c r="I210" s="54" t="n"/>
      <c r="J210" s="54" t="n"/>
      <c r="K210" s="54" t="n"/>
      <c r="L210" s="54" t="n"/>
      <c r="M210" s="54" t="n"/>
      <c r="N210" s="54" t="n"/>
      <c r="O210" s="54" t="n"/>
      <c r="P210" s="54" t="n"/>
      <c r="Q210" s="54" t="n"/>
      <c r="R210" s="54" t="n"/>
      <c r="S210" s="54" t="n"/>
      <c r="T210" s="54" t="n"/>
      <c r="U210" s="54" t="n"/>
      <c r="V210" s="54" t="n"/>
      <c r="W210" s="54" t="n"/>
      <c r="X210" s="54" t="n"/>
      <c r="Y210" s="54" t="n"/>
      <c r="Z210" s="54" t="n"/>
    </row>
    <row r="211" ht="15.75" customHeight="1" s="57">
      <c r="A211" s="54" t="n"/>
      <c r="B211" s="54" t="n"/>
      <c r="C211" s="54" t="n"/>
      <c r="D211" s="54" t="n"/>
      <c r="E211" s="54" t="n"/>
      <c r="F211" s="54" t="n"/>
      <c r="G211" s="54" t="n"/>
      <c r="H211" s="54" t="n"/>
      <c r="I211" s="54" t="n"/>
      <c r="J211" s="54" t="n"/>
      <c r="K211" s="54" t="n"/>
      <c r="L211" s="54" t="n"/>
      <c r="M211" s="54" t="n"/>
      <c r="N211" s="54" t="n"/>
      <c r="O211" s="54" t="n"/>
      <c r="P211" s="54" t="n"/>
      <c r="Q211" s="54" t="n"/>
      <c r="R211" s="54" t="n"/>
      <c r="S211" s="54" t="n"/>
      <c r="T211" s="54" t="n"/>
      <c r="U211" s="54" t="n"/>
      <c r="V211" s="54" t="n"/>
      <c r="W211" s="54" t="n"/>
      <c r="X211" s="54" t="n"/>
      <c r="Y211" s="54" t="n"/>
      <c r="Z211" s="54" t="n"/>
    </row>
    <row r="212" ht="15.75" customHeight="1" s="57">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row>
    <row r="213" ht="15.75" customHeight="1" s="57">
      <c r="A213" s="54" t="n"/>
      <c r="B213" s="54" t="n"/>
      <c r="C213" s="54" t="n"/>
      <c r="D213" s="54" t="n"/>
      <c r="E213" s="54" t="n"/>
      <c r="F213" s="54" t="n"/>
      <c r="G213" s="54" t="n"/>
      <c r="H213" s="54" t="n"/>
      <c r="I213" s="54" t="n"/>
      <c r="J213" s="54" t="n"/>
      <c r="K213" s="54" t="n"/>
      <c r="L213" s="54" t="n"/>
      <c r="M213" s="54" t="n"/>
      <c r="N213" s="54" t="n"/>
      <c r="O213" s="54" t="n"/>
      <c r="P213" s="54" t="n"/>
      <c r="Q213" s="54" t="n"/>
      <c r="R213" s="54" t="n"/>
      <c r="S213" s="54" t="n"/>
      <c r="T213" s="54" t="n"/>
      <c r="U213" s="54" t="n"/>
      <c r="V213" s="54" t="n"/>
      <c r="W213" s="54" t="n"/>
      <c r="X213" s="54" t="n"/>
      <c r="Y213" s="54" t="n"/>
      <c r="Z213" s="54" t="n"/>
    </row>
    <row r="214" ht="15.75" customHeight="1" s="57">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row>
    <row r="215" ht="15.75" customHeight="1" s="57">
      <c r="A215" s="54" t="n"/>
      <c r="B215" s="54" t="n"/>
      <c r="C215" s="54" t="n"/>
      <c r="D215" s="54" t="n"/>
      <c r="E215" s="54" t="n"/>
      <c r="F215" s="54" t="n"/>
      <c r="G215" s="54" t="n"/>
      <c r="H215" s="54" t="n"/>
      <c r="I215" s="54" t="n"/>
      <c r="J215" s="54" t="n"/>
      <c r="K215" s="54" t="n"/>
      <c r="L215" s="54" t="n"/>
      <c r="M215" s="54" t="n"/>
      <c r="N215" s="54" t="n"/>
      <c r="O215" s="54" t="n"/>
      <c r="P215" s="54" t="n"/>
      <c r="Q215" s="54" t="n"/>
      <c r="R215" s="54" t="n"/>
      <c r="S215" s="54" t="n"/>
      <c r="T215" s="54" t="n"/>
      <c r="U215" s="54" t="n"/>
      <c r="V215" s="54" t="n"/>
      <c r="W215" s="54" t="n"/>
      <c r="X215" s="54" t="n"/>
      <c r="Y215" s="54" t="n"/>
      <c r="Z215" s="54" t="n"/>
    </row>
    <row r="216" ht="15.75" customHeight="1" s="57">
      <c r="A216" s="54" t="n"/>
      <c r="B216" s="54" t="n"/>
      <c r="C216" s="54" t="n"/>
      <c r="D216" s="54" t="n"/>
      <c r="E216" s="54" t="n"/>
      <c r="F216" s="54" t="n"/>
      <c r="G216" s="54" t="n"/>
      <c r="H216" s="54" t="n"/>
      <c r="I216" s="54" t="n"/>
      <c r="J216" s="54" t="n"/>
      <c r="K216" s="54" t="n"/>
      <c r="L216" s="54" t="n"/>
      <c r="M216" s="54" t="n"/>
      <c r="N216" s="54" t="n"/>
      <c r="O216" s="54" t="n"/>
      <c r="P216" s="54" t="n"/>
      <c r="Q216" s="54" t="n"/>
      <c r="R216" s="54" t="n"/>
      <c r="S216" s="54" t="n"/>
      <c r="T216" s="54" t="n"/>
      <c r="U216" s="54" t="n"/>
      <c r="V216" s="54" t="n"/>
      <c r="W216" s="54" t="n"/>
      <c r="X216" s="54" t="n"/>
      <c r="Y216" s="54" t="n"/>
      <c r="Z216" s="54" t="n"/>
    </row>
    <row r="217" ht="15.75" customHeight="1" s="57">
      <c r="A217" s="54" t="n"/>
      <c r="B217" s="54" t="n"/>
      <c r="C217" s="54" t="n"/>
      <c r="D217" s="54" t="n"/>
      <c r="E217" s="54" t="n"/>
      <c r="F217" s="54" t="n"/>
      <c r="G217" s="54" t="n"/>
      <c r="H217" s="54" t="n"/>
      <c r="I217" s="54" t="n"/>
      <c r="J217" s="54" t="n"/>
      <c r="K217" s="54" t="n"/>
      <c r="L217" s="54" t="n"/>
      <c r="M217" s="54" t="n"/>
      <c r="N217" s="54" t="n"/>
      <c r="O217" s="54" t="n"/>
      <c r="P217" s="54" t="n"/>
      <c r="Q217" s="54" t="n"/>
      <c r="R217" s="54" t="n"/>
      <c r="S217" s="54" t="n"/>
      <c r="T217" s="54" t="n"/>
      <c r="U217" s="54" t="n"/>
      <c r="V217" s="54" t="n"/>
      <c r="W217" s="54" t="n"/>
      <c r="X217" s="54" t="n"/>
      <c r="Y217" s="54" t="n"/>
      <c r="Z217" s="54" t="n"/>
    </row>
    <row r="218" ht="15.75" customHeight="1" s="57">
      <c r="A218" s="54" t="n"/>
      <c r="B218" s="54" t="n"/>
      <c r="C218" s="54" t="n"/>
      <c r="D218" s="54" t="n"/>
      <c r="E218" s="54" t="n"/>
      <c r="F218" s="54" t="n"/>
      <c r="G218" s="54" t="n"/>
      <c r="H218" s="54" t="n"/>
      <c r="I218" s="54" t="n"/>
      <c r="J218" s="54" t="n"/>
      <c r="K218" s="54" t="n"/>
      <c r="L218" s="54" t="n"/>
      <c r="M218" s="54" t="n"/>
      <c r="N218" s="54" t="n"/>
      <c r="O218" s="54" t="n"/>
      <c r="P218" s="54" t="n"/>
      <c r="Q218" s="54" t="n"/>
      <c r="R218" s="54" t="n"/>
      <c r="S218" s="54" t="n"/>
      <c r="T218" s="54" t="n"/>
      <c r="U218" s="54" t="n"/>
      <c r="V218" s="54" t="n"/>
      <c r="W218" s="54" t="n"/>
      <c r="X218" s="54" t="n"/>
      <c r="Y218" s="54" t="n"/>
      <c r="Z218" s="54" t="n"/>
    </row>
    <row r="219" ht="15.75" customHeight="1" s="57">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row>
    <row r="220" ht="15.75" customHeight="1" s="57">
      <c r="A220" s="54" t="n"/>
      <c r="B220" s="54" t="n"/>
      <c r="C220" s="54" t="n"/>
      <c r="D220" s="54" t="n"/>
      <c r="E220" s="54" t="n"/>
      <c r="F220" s="54" t="n"/>
      <c r="G220" s="54" t="n"/>
      <c r="H220" s="54" t="n"/>
      <c r="I220" s="54" t="n"/>
      <c r="J220" s="54" t="n"/>
      <c r="K220" s="54" t="n"/>
      <c r="L220" s="54" t="n"/>
      <c r="M220" s="54" t="n"/>
      <c r="N220" s="54" t="n"/>
      <c r="O220" s="54" t="n"/>
      <c r="P220" s="54" t="n"/>
      <c r="Q220" s="54" t="n"/>
      <c r="R220" s="54" t="n"/>
      <c r="S220" s="54" t="n"/>
      <c r="T220" s="54" t="n"/>
      <c r="U220" s="54" t="n"/>
      <c r="V220" s="54" t="n"/>
      <c r="W220" s="54" t="n"/>
      <c r="X220" s="54" t="n"/>
      <c r="Y220" s="54" t="n"/>
      <c r="Z220" s="54" t="n"/>
    </row>
    <row r="221" ht="15.75" customHeight="1" s="57">
      <c r="A221" s="54" t="n"/>
      <c r="B221" s="54" t="n"/>
      <c r="C221" s="54" t="n"/>
      <c r="D221" s="54" t="n"/>
      <c r="E221" s="54" t="n"/>
      <c r="F221" s="54" t="n"/>
      <c r="G221" s="54" t="n"/>
      <c r="H221" s="54" t="n"/>
      <c r="I221" s="54" t="n"/>
      <c r="J221" s="54" t="n"/>
      <c r="K221" s="54" t="n"/>
      <c r="L221" s="54" t="n"/>
      <c r="M221" s="54" t="n"/>
      <c r="N221" s="54" t="n"/>
      <c r="O221" s="54" t="n"/>
      <c r="P221" s="54" t="n"/>
      <c r="Q221" s="54" t="n"/>
      <c r="R221" s="54" t="n"/>
      <c r="S221" s="54" t="n"/>
      <c r="T221" s="54" t="n"/>
      <c r="U221" s="54" t="n"/>
      <c r="V221" s="54" t="n"/>
      <c r="W221" s="54" t="n"/>
      <c r="X221" s="54" t="n"/>
      <c r="Y221" s="54" t="n"/>
      <c r="Z221" s="54" t="n"/>
    </row>
    <row r="222" ht="15.75" customHeight="1" s="57">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row>
    <row r="223" ht="15.75" customHeight="1" s="57">
      <c r="A223" s="54" t="n"/>
      <c r="B223" s="54" t="n"/>
      <c r="C223" s="54" t="n"/>
      <c r="D223" s="54" t="n"/>
      <c r="E223" s="54" t="n"/>
      <c r="F223" s="54" t="n"/>
      <c r="G223" s="54" t="n"/>
      <c r="H223" s="54" t="n"/>
      <c r="I223" s="54" t="n"/>
      <c r="J223" s="54" t="n"/>
      <c r="K223" s="54" t="n"/>
      <c r="L223" s="54" t="n"/>
      <c r="M223" s="54" t="n"/>
      <c r="N223" s="54" t="n"/>
      <c r="O223" s="54" t="n"/>
      <c r="P223" s="54" t="n"/>
      <c r="Q223" s="54" t="n"/>
      <c r="R223" s="54" t="n"/>
      <c r="S223" s="54" t="n"/>
      <c r="T223" s="54" t="n"/>
      <c r="U223" s="54" t="n"/>
      <c r="V223" s="54" t="n"/>
      <c r="W223" s="54" t="n"/>
      <c r="X223" s="54" t="n"/>
      <c r="Y223" s="54" t="n"/>
      <c r="Z223" s="54" t="n"/>
    </row>
    <row r="224" ht="15.75" customHeight="1" s="57">
      <c r="A224" s="54" t="n"/>
      <c r="B224" s="54" t="n"/>
      <c r="C224" s="54" t="n"/>
      <c r="D224" s="54" t="n"/>
      <c r="E224" s="54" t="n"/>
      <c r="F224" s="54" t="n"/>
      <c r="G224" s="54" t="n"/>
      <c r="H224" s="54" t="n"/>
      <c r="I224" s="54" t="n"/>
      <c r="J224" s="54" t="n"/>
      <c r="K224" s="54" t="n"/>
      <c r="L224" s="54" t="n"/>
      <c r="M224" s="54" t="n"/>
      <c r="N224" s="54" t="n"/>
      <c r="O224" s="54" t="n"/>
      <c r="P224" s="54" t="n"/>
      <c r="Q224" s="54" t="n"/>
      <c r="R224" s="54" t="n"/>
      <c r="S224" s="54" t="n"/>
      <c r="T224" s="54" t="n"/>
      <c r="U224" s="54" t="n"/>
      <c r="V224" s="54" t="n"/>
      <c r="W224" s="54" t="n"/>
      <c r="X224" s="54" t="n"/>
      <c r="Y224" s="54" t="n"/>
      <c r="Z224" s="54" t="n"/>
    </row>
    <row r="225" ht="15.75" customHeight="1" s="57">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row>
    <row r="226" ht="15.75" customHeight="1" s="57">
      <c r="A226" s="54" t="n"/>
      <c r="B226" s="54" t="n"/>
      <c r="C226" s="54" t="n"/>
      <c r="D226" s="54" t="n"/>
      <c r="E226" s="54" t="n"/>
      <c r="F226" s="54" t="n"/>
      <c r="G226" s="54" t="n"/>
      <c r="H226" s="54" t="n"/>
      <c r="I226" s="54" t="n"/>
      <c r="J226" s="54" t="n"/>
      <c r="K226" s="54" t="n"/>
      <c r="L226" s="54" t="n"/>
      <c r="M226" s="54" t="n"/>
      <c r="N226" s="54" t="n"/>
      <c r="O226" s="54" t="n"/>
      <c r="P226" s="54" t="n"/>
      <c r="Q226" s="54" t="n"/>
      <c r="R226" s="54" t="n"/>
      <c r="S226" s="54" t="n"/>
      <c r="T226" s="54" t="n"/>
      <c r="U226" s="54" t="n"/>
      <c r="V226" s="54" t="n"/>
      <c r="W226" s="54" t="n"/>
      <c r="X226" s="54" t="n"/>
      <c r="Y226" s="54" t="n"/>
      <c r="Z226" s="54" t="n"/>
    </row>
    <row r="227" ht="15.75" customHeight="1" s="57">
      <c r="A227" s="54" t="n"/>
      <c r="B227" s="54" t="n"/>
      <c r="C227" s="54" t="n"/>
      <c r="D227" s="54" t="n"/>
      <c r="E227" s="54" t="n"/>
      <c r="F227" s="54" t="n"/>
      <c r="G227" s="54" t="n"/>
      <c r="H227" s="54" t="n"/>
      <c r="I227" s="54" t="n"/>
      <c r="J227" s="54" t="n"/>
      <c r="K227" s="54" t="n"/>
      <c r="L227" s="54" t="n"/>
      <c r="M227" s="54" t="n"/>
      <c r="N227" s="54" t="n"/>
      <c r="O227" s="54" t="n"/>
      <c r="P227" s="54" t="n"/>
      <c r="Q227" s="54" t="n"/>
      <c r="R227" s="54" t="n"/>
      <c r="S227" s="54" t="n"/>
      <c r="T227" s="54" t="n"/>
      <c r="U227" s="54" t="n"/>
      <c r="V227" s="54" t="n"/>
      <c r="W227" s="54" t="n"/>
      <c r="X227" s="54" t="n"/>
      <c r="Y227" s="54" t="n"/>
      <c r="Z227" s="54" t="n"/>
    </row>
    <row r="228" ht="15.75" customHeight="1" s="57">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row>
    <row r="229" ht="15.75" customHeight="1" s="57">
      <c r="A229" s="54" t="n"/>
      <c r="B229" s="54" t="n"/>
      <c r="C229" s="54" t="n"/>
      <c r="D229" s="54" t="n"/>
      <c r="E229" s="54" t="n"/>
      <c r="F229" s="54" t="n"/>
      <c r="G229" s="54" t="n"/>
      <c r="H229" s="54" t="n"/>
      <c r="I229" s="54" t="n"/>
      <c r="J229" s="54" t="n"/>
      <c r="K229" s="54" t="n"/>
      <c r="L229" s="54" t="n"/>
      <c r="M229" s="54" t="n"/>
      <c r="N229" s="54" t="n"/>
      <c r="O229" s="54" t="n"/>
      <c r="P229" s="54" t="n"/>
      <c r="Q229" s="54" t="n"/>
      <c r="R229" s="54" t="n"/>
      <c r="S229" s="54" t="n"/>
      <c r="T229" s="54" t="n"/>
      <c r="U229" s="54" t="n"/>
      <c r="V229" s="54" t="n"/>
      <c r="W229" s="54" t="n"/>
      <c r="X229" s="54" t="n"/>
      <c r="Y229" s="54" t="n"/>
      <c r="Z229" s="54" t="n"/>
    </row>
    <row r="230" ht="15.75" customHeight="1" s="57">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row>
    <row r="231" ht="15.75" customHeight="1" s="57">
      <c r="A231" s="54" t="n"/>
      <c r="B231" s="54" t="n"/>
      <c r="C231" s="54" t="n"/>
      <c r="D231" s="54" t="n"/>
      <c r="E231" s="54" t="n"/>
      <c r="F231" s="54" t="n"/>
      <c r="G231" s="54" t="n"/>
      <c r="H231" s="54" t="n"/>
      <c r="I231" s="54" t="n"/>
      <c r="J231" s="54" t="n"/>
      <c r="K231" s="54" t="n"/>
      <c r="L231" s="54" t="n"/>
      <c r="M231" s="54" t="n"/>
      <c r="N231" s="54" t="n"/>
      <c r="O231" s="54" t="n"/>
      <c r="P231" s="54" t="n"/>
      <c r="Q231" s="54" t="n"/>
      <c r="R231" s="54" t="n"/>
      <c r="S231" s="54" t="n"/>
      <c r="T231" s="54" t="n"/>
      <c r="U231" s="54" t="n"/>
      <c r="V231" s="54" t="n"/>
      <c r="W231" s="54" t="n"/>
      <c r="X231" s="54" t="n"/>
      <c r="Y231" s="54" t="n"/>
      <c r="Z231" s="54" t="n"/>
    </row>
    <row r="232" ht="15.75" customHeight="1" s="57">
      <c r="A232" s="54" t="n"/>
      <c r="B232" s="54" t="n"/>
      <c r="C232" s="54" t="n"/>
      <c r="D232" s="54" t="n"/>
      <c r="E232" s="54" t="n"/>
      <c r="F232" s="54" t="n"/>
      <c r="G232" s="54" t="n"/>
      <c r="H232" s="54" t="n"/>
      <c r="I232" s="54" t="n"/>
      <c r="J232" s="54" t="n"/>
      <c r="K232" s="54" t="n"/>
      <c r="L232" s="54" t="n"/>
      <c r="M232" s="54" t="n"/>
      <c r="N232" s="54" t="n"/>
      <c r="O232" s="54" t="n"/>
      <c r="P232" s="54" t="n"/>
      <c r="Q232" s="54" t="n"/>
      <c r="R232" s="54" t="n"/>
      <c r="S232" s="54" t="n"/>
      <c r="T232" s="54" t="n"/>
      <c r="U232" s="54" t="n"/>
      <c r="V232" s="54" t="n"/>
      <c r="W232" s="54" t="n"/>
      <c r="X232" s="54" t="n"/>
      <c r="Y232" s="54" t="n"/>
      <c r="Z232" s="54" t="n"/>
    </row>
    <row r="233" ht="15.75" customHeight="1" s="57">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row>
    <row r="234" ht="15.75" customHeight="1" s="57">
      <c r="A234" s="54" t="n"/>
      <c r="B234" s="54" t="n"/>
      <c r="C234" s="54" t="n"/>
      <c r="D234" s="54" t="n"/>
      <c r="E234" s="54" t="n"/>
      <c r="F234" s="54" t="n"/>
      <c r="G234" s="54" t="n"/>
      <c r="H234" s="54" t="n"/>
      <c r="I234" s="54" t="n"/>
      <c r="J234" s="54" t="n"/>
      <c r="K234" s="54" t="n"/>
      <c r="L234" s="54" t="n"/>
      <c r="M234" s="54" t="n"/>
      <c r="N234" s="54" t="n"/>
      <c r="O234" s="54" t="n"/>
      <c r="P234" s="54" t="n"/>
      <c r="Q234" s="54" t="n"/>
      <c r="R234" s="54" t="n"/>
      <c r="S234" s="54" t="n"/>
      <c r="T234" s="54" t="n"/>
      <c r="U234" s="54" t="n"/>
      <c r="V234" s="54" t="n"/>
      <c r="W234" s="54" t="n"/>
      <c r="X234" s="54" t="n"/>
      <c r="Y234" s="54" t="n"/>
      <c r="Z234" s="54" t="n"/>
    </row>
    <row r="235" ht="15.75" customHeight="1" s="57">
      <c r="A235" s="54" t="n"/>
      <c r="B235" s="54" t="n"/>
      <c r="C235" s="54" t="n"/>
      <c r="D235" s="54" t="n"/>
      <c r="E235" s="54" t="n"/>
      <c r="F235" s="54" t="n"/>
      <c r="G235" s="54" t="n"/>
      <c r="H235" s="54" t="n"/>
      <c r="I235" s="54" t="n"/>
      <c r="J235" s="54" t="n"/>
      <c r="K235" s="54" t="n"/>
      <c r="L235" s="54" t="n"/>
      <c r="M235" s="54" t="n"/>
      <c r="N235" s="54" t="n"/>
      <c r="O235" s="54" t="n"/>
      <c r="P235" s="54" t="n"/>
      <c r="Q235" s="54" t="n"/>
      <c r="R235" s="54" t="n"/>
      <c r="S235" s="54" t="n"/>
      <c r="T235" s="54" t="n"/>
      <c r="U235" s="54" t="n"/>
      <c r="V235" s="54" t="n"/>
      <c r="W235" s="54" t="n"/>
      <c r="X235" s="54" t="n"/>
      <c r="Y235" s="54" t="n"/>
      <c r="Z235" s="54" t="n"/>
    </row>
    <row r="236" ht="15.75" customHeight="1" s="57">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row>
    <row r="237" ht="15.75" customHeight="1" s="57">
      <c r="A237" s="54" t="n"/>
      <c r="B237" s="54" t="n"/>
      <c r="C237" s="54" t="n"/>
      <c r="D237" s="54" t="n"/>
      <c r="E237" s="54" t="n"/>
      <c r="F237" s="54" t="n"/>
      <c r="G237" s="54" t="n"/>
      <c r="H237" s="54" t="n"/>
      <c r="I237" s="54" t="n"/>
      <c r="J237" s="54" t="n"/>
      <c r="K237" s="54" t="n"/>
      <c r="L237" s="54" t="n"/>
      <c r="M237" s="54" t="n"/>
      <c r="N237" s="54" t="n"/>
      <c r="O237" s="54" t="n"/>
      <c r="P237" s="54" t="n"/>
      <c r="Q237" s="54" t="n"/>
      <c r="R237" s="54" t="n"/>
      <c r="S237" s="54" t="n"/>
      <c r="T237" s="54" t="n"/>
      <c r="U237" s="54" t="n"/>
      <c r="V237" s="54" t="n"/>
      <c r="W237" s="54" t="n"/>
      <c r="X237" s="54" t="n"/>
      <c r="Y237" s="54" t="n"/>
      <c r="Z237" s="54" t="n"/>
    </row>
    <row r="238" ht="15.75" customHeight="1" s="57">
      <c r="A238" s="54" t="n"/>
      <c r="B238" s="54" t="n"/>
      <c r="C238" s="54" t="n"/>
      <c r="D238" s="54" t="n"/>
      <c r="E238" s="54" t="n"/>
      <c r="F238" s="54" t="n"/>
      <c r="G238" s="54" t="n"/>
      <c r="H238" s="54" t="n"/>
      <c r="I238" s="54" t="n"/>
      <c r="J238" s="54" t="n"/>
      <c r="K238" s="54" t="n"/>
      <c r="L238" s="54" t="n"/>
      <c r="M238" s="54" t="n"/>
      <c r="N238" s="54" t="n"/>
      <c r="O238" s="54" t="n"/>
      <c r="P238" s="54" t="n"/>
      <c r="Q238" s="54" t="n"/>
      <c r="R238" s="54" t="n"/>
      <c r="S238" s="54" t="n"/>
      <c r="T238" s="54" t="n"/>
      <c r="U238" s="54" t="n"/>
      <c r="V238" s="54" t="n"/>
      <c r="W238" s="54" t="n"/>
      <c r="X238" s="54" t="n"/>
      <c r="Y238" s="54" t="n"/>
      <c r="Z238" s="54" t="n"/>
    </row>
    <row r="239" ht="15.75" customHeight="1" s="57">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row>
    <row r="240" ht="15.75" customHeight="1" s="57">
      <c r="A240" s="54" t="n"/>
      <c r="B240" s="54" t="n"/>
      <c r="C240" s="54" t="n"/>
      <c r="D240" s="54" t="n"/>
      <c r="E240" s="54" t="n"/>
      <c r="F240" s="54" t="n"/>
      <c r="G240" s="54" t="n"/>
      <c r="H240" s="54" t="n"/>
      <c r="I240" s="54" t="n"/>
      <c r="J240" s="54" t="n"/>
      <c r="K240" s="54" t="n"/>
      <c r="L240" s="54" t="n"/>
      <c r="M240" s="54" t="n"/>
      <c r="N240" s="54" t="n"/>
      <c r="O240" s="54" t="n"/>
      <c r="P240" s="54" t="n"/>
      <c r="Q240" s="54" t="n"/>
      <c r="R240" s="54" t="n"/>
      <c r="S240" s="54" t="n"/>
      <c r="T240" s="54" t="n"/>
      <c r="U240" s="54" t="n"/>
      <c r="V240" s="54" t="n"/>
      <c r="W240" s="54" t="n"/>
      <c r="X240" s="54" t="n"/>
      <c r="Y240" s="54" t="n"/>
      <c r="Z240" s="54" t="n"/>
    </row>
    <row r="241" ht="15.75" customHeight="1" s="57">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row>
    <row r="242" ht="15.75" customHeight="1" s="57">
      <c r="A242" s="54" t="n"/>
      <c r="B242" s="54" t="n"/>
      <c r="C242" s="54" t="n"/>
      <c r="D242" s="54" t="n"/>
      <c r="E242" s="54" t="n"/>
      <c r="F242" s="54" t="n"/>
      <c r="G242" s="54" t="n"/>
      <c r="H242" s="54" t="n"/>
      <c r="I242" s="54" t="n"/>
      <c r="J242" s="54" t="n"/>
      <c r="K242" s="54" t="n"/>
      <c r="L242" s="54" t="n"/>
      <c r="M242" s="54" t="n"/>
      <c r="N242" s="54" t="n"/>
      <c r="O242" s="54" t="n"/>
      <c r="P242" s="54" t="n"/>
      <c r="Q242" s="54" t="n"/>
      <c r="R242" s="54" t="n"/>
      <c r="S242" s="54" t="n"/>
      <c r="T242" s="54" t="n"/>
      <c r="U242" s="54" t="n"/>
      <c r="V242" s="54" t="n"/>
      <c r="W242" s="54" t="n"/>
      <c r="X242" s="54" t="n"/>
      <c r="Y242" s="54" t="n"/>
      <c r="Z242" s="54" t="n"/>
    </row>
    <row r="243" ht="15.75" customHeight="1" s="57">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row>
    <row r="244" ht="15.75" customHeight="1" s="57">
      <c r="A244" s="54" t="n"/>
      <c r="B244" s="54" t="n"/>
      <c r="C244" s="54" t="n"/>
      <c r="D244" s="54" t="n"/>
      <c r="E244" s="54" t="n"/>
      <c r="F244" s="54" t="n"/>
      <c r="G244" s="54" t="n"/>
      <c r="H244" s="54" t="n"/>
      <c r="I244" s="54" t="n"/>
      <c r="J244" s="54" t="n"/>
      <c r="K244" s="54" t="n"/>
      <c r="L244" s="54" t="n"/>
      <c r="M244" s="54" t="n"/>
      <c r="N244" s="54" t="n"/>
      <c r="O244" s="54" t="n"/>
      <c r="P244" s="54" t="n"/>
      <c r="Q244" s="54" t="n"/>
      <c r="R244" s="54" t="n"/>
      <c r="S244" s="54" t="n"/>
      <c r="T244" s="54" t="n"/>
      <c r="U244" s="54" t="n"/>
      <c r="V244" s="54" t="n"/>
      <c r="W244" s="54" t="n"/>
      <c r="X244" s="54" t="n"/>
      <c r="Y244" s="54" t="n"/>
      <c r="Z244" s="54" t="n"/>
    </row>
    <row r="245" ht="15.75" customHeight="1" s="57">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row>
    <row r="246" ht="15.75" customHeight="1" s="57">
      <c r="A246" s="54" t="n"/>
      <c r="B246" s="54" t="n"/>
      <c r="C246" s="54" t="n"/>
      <c r="D246" s="54" t="n"/>
      <c r="E246" s="54" t="n"/>
      <c r="F246" s="54" t="n"/>
      <c r="G246" s="54" t="n"/>
      <c r="H246" s="54" t="n"/>
      <c r="I246" s="54" t="n"/>
      <c r="J246" s="54" t="n"/>
      <c r="K246" s="54" t="n"/>
      <c r="L246" s="54" t="n"/>
      <c r="M246" s="54" t="n"/>
      <c r="N246" s="54" t="n"/>
      <c r="O246" s="54" t="n"/>
      <c r="P246" s="54" t="n"/>
      <c r="Q246" s="54" t="n"/>
      <c r="R246" s="54" t="n"/>
      <c r="S246" s="54" t="n"/>
      <c r="T246" s="54" t="n"/>
      <c r="U246" s="54" t="n"/>
      <c r="V246" s="54" t="n"/>
      <c r="W246" s="54" t="n"/>
      <c r="X246" s="54" t="n"/>
      <c r="Y246" s="54" t="n"/>
      <c r="Z246" s="54" t="n"/>
    </row>
    <row r="247" ht="15.75" customHeight="1" s="57">
      <c r="A247" s="54" t="n"/>
      <c r="B247" s="54" t="n"/>
      <c r="C247" s="54" t="n"/>
      <c r="D247" s="54" t="n"/>
      <c r="E247" s="54" t="n"/>
      <c r="F247" s="54" t="n"/>
      <c r="G247" s="54" t="n"/>
      <c r="H247" s="54" t="n"/>
      <c r="I247" s="54" t="n"/>
      <c r="J247" s="54" t="n"/>
      <c r="K247" s="54" t="n"/>
      <c r="L247" s="54" t="n"/>
      <c r="M247" s="54" t="n"/>
      <c r="N247" s="54" t="n"/>
      <c r="O247" s="54" t="n"/>
      <c r="P247" s="54" t="n"/>
      <c r="Q247" s="54" t="n"/>
      <c r="R247" s="54" t="n"/>
      <c r="S247" s="54" t="n"/>
      <c r="T247" s="54" t="n"/>
      <c r="U247" s="54" t="n"/>
      <c r="V247" s="54" t="n"/>
      <c r="W247" s="54" t="n"/>
      <c r="X247" s="54" t="n"/>
      <c r="Y247" s="54" t="n"/>
      <c r="Z247" s="54" t="n"/>
    </row>
    <row r="248" ht="15.75" customHeight="1" s="57">
      <c r="A248" s="54" t="n"/>
      <c r="B248" s="54" t="n"/>
      <c r="C248" s="54" t="n"/>
      <c r="D248" s="54" t="n"/>
      <c r="E248" s="54" t="n"/>
      <c r="F248" s="54" t="n"/>
      <c r="G248" s="54" t="n"/>
      <c r="H248" s="54" t="n"/>
      <c r="I248" s="54" t="n"/>
      <c r="J248" s="54" t="n"/>
      <c r="K248" s="54" t="n"/>
      <c r="L248" s="54" t="n"/>
      <c r="M248" s="54" t="n"/>
      <c r="N248" s="54" t="n"/>
      <c r="O248" s="54" t="n"/>
      <c r="P248" s="54" t="n"/>
      <c r="Q248" s="54" t="n"/>
      <c r="R248" s="54" t="n"/>
      <c r="S248" s="54" t="n"/>
      <c r="T248" s="54" t="n"/>
      <c r="U248" s="54" t="n"/>
      <c r="V248" s="54" t="n"/>
      <c r="W248" s="54" t="n"/>
      <c r="X248" s="54" t="n"/>
      <c r="Y248" s="54" t="n"/>
      <c r="Z248" s="54" t="n"/>
    </row>
    <row r="249" ht="15.75" customHeight="1" s="57">
      <c r="A249" s="54" t="n"/>
      <c r="B249" s="54" t="n"/>
      <c r="C249" s="54" t="n"/>
      <c r="D249" s="54" t="n"/>
      <c r="E249" s="54" t="n"/>
      <c r="F249" s="54" t="n"/>
      <c r="G249" s="54" t="n"/>
      <c r="H249" s="54" t="n"/>
      <c r="I249" s="54" t="n"/>
      <c r="J249" s="54" t="n"/>
      <c r="K249" s="54" t="n"/>
      <c r="L249" s="54" t="n"/>
      <c r="M249" s="54" t="n"/>
      <c r="N249" s="54" t="n"/>
      <c r="O249" s="54" t="n"/>
      <c r="P249" s="54" t="n"/>
      <c r="Q249" s="54" t="n"/>
      <c r="R249" s="54" t="n"/>
      <c r="S249" s="54" t="n"/>
      <c r="T249" s="54" t="n"/>
      <c r="U249" s="54" t="n"/>
      <c r="V249" s="54" t="n"/>
      <c r="W249" s="54" t="n"/>
      <c r="X249" s="54" t="n"/>
      <c r="Y249" s="54" t="n"/>
      <c r="Z249" s="54" t="n"/>
    </row>
    <row r="250" ht="15.75" customHeight="1" s="57">
      <c r="A250" s="54" t="n"/>
      <c r="B250" s="54" t="n"/>
      <c r="C250" s="54" t="n"/>
      <c r="D250" s="54" t="n"/>
      <c r="E250" s="54" t="n"/>
      <c r="F250" s="54" t="n"/>
      <c r="G250" s="54" t="n"/>
      <c r="H250" s="54" t="n"/>
      <c r="I250" s="54" t="n"/>
      <c r="J250" s="54" t="n"/>
      <c r="K250" s="54" t="n"/>
      <c r="L250" s="54" t="n"/>
      <c r="M250" s="54" t="n"/>
      <c r="N250" s="54" t="n"/>
      <c r="O250" s="54" t="n"/>
      <c r="P250" s="54" t="n"/>
      <c r="Q250" s="54" t="n"/>
      <c r="R250" s="54" t="n"/>
      <c r="S250" s="54" t="n"/>
      <c r="T250" s="54" t="n"/>
      <c r="U250" s="54" t="n"/>
      <c r="V250" s="54" t="n"/>
      <c r="W250" s="54" t="n"/>
      <c r="X250" s="54" t="n"/>
      <c r="Y250" s="54" t="n"/>
      <c r="Z250" s="54" t="n"/>
    </row>
    <row r="251" ht="15.75" customHeight="1" s="57">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row>
    <row r="252" ht="15.75" customHeight="1" s="57">
      <c r="A252" s="54" t="n"/>
      <c r="B252" s="54" t="n"/>
      <c r="C252" s="54" t="n"/>
      <c r="D252" s="54" t="n"/>
      <c r="E252" s="54" t="n"/>
      <c r="F252" s="54" t="n"/>
      <c r="G252" s="54" t="n"/>
      <c r="H252" s="54" t="n"/>
      <c r="I252" s="54" t="n"/>
      <c r="J252" s="54" t="n"/>
      <c r="K252" s="54" t="n"/>
      <c r="L252" s="54" t="n"/>
      <c r="M252" s="54" t="n"/>
      <c r="N252" s="54" t="n"/>
      <c r="O252" s="54" t="n"/>
      <c r="P252" s="54" t="n"/>
      <c r="Q252" s="54" t="n"/>
      <c r="R252" s="54" t="n"/>
      <c r="S252" s="54" t="n"/>
      <c r="T252" s="54" t="n"/>
      <c r="U252" s="54" t="n"/>
      <c r="V252" s="54" t="n"/>
      <c r="W252" s="54" t="n"/>
      <c r="X252" s="54" t="n"/>
      <c r="Y252" s="54" t="n"/>
      <c r="Z252" s="54" t="n"/>
    </row>
    <row r="253" ht="15.75" customHeight="1" s="57">
      <c r="A253" s="54" t="n"/>
      <c r="B253" s="54" t="n"/>
      <c r="C253" s="54" t="n"/>
      <c r="D253" s="54" t="n"/>
      <c r="E253" s="54" t="n"/>
      <c r="F253" s="54" t="n"/>
      <c r="G253" s="54" t="n"/>
      <c r="H253" s="54" t="n"/>
      <c r="I253" s="54" t="n"/>
      <c r="J253" s="54" t="n"/>
      <c r="K253" s="54" t="n"/>
      <c r="L253" s="54" t="n"/>
      <c r="M253" s="54" t="n"/>
      <c r="N253" s="54" t="n"/>
      <c r="O253" s="54" t="n"/>
      <c r="P253" s="54" t="n"/>
      <c r="Q253" s="54" t="n"/>
      <c r="R253" s="54" t="n"/>
      <c r="S253" s="54" t="n"/>
      <c r="T253" s="54" t="n"/>
      <c r="U253" s="54" t="n"/>
      <c r="V253" s="54" t="n"/>
      <c r="W253" s="54" t="n"/>
      <c r="X253" s="54" t="n"/>
      <c r="Y253" s="54" t="n"/>
      <c r="Z253" s="54" t="n"/>
    </row>
    <row r="254" ht="15.75" customHeight="1" s="57">
      <c r="A254" s="54" t="n"/>
      <c r="B254" s="54" t="n"/>
      <c r="C254" s="54" t="n"/>
      <c r="D254" s="54" t="n"/>
      <c r="E254" s="54" t="n"/>
      <c r="F254" s="54" t="n"/>
      <c r="G254" s="54" t="n"/>
      <c r="H254" s="54" t="n"/>
      <c r="I254" s="54" t="n"/>
      <c r="J254" s="54" t="n"/>
      <c r="K254" s="54" t="n"/>
      <c r="L254" s="54" t="n"/>
      <c r="M254" s="54" t="n"/>
      <c r="N254" s="54" t="n"/>
      <c r="O254" s="54" t="n"/>
      <c r="P254" s="54" t="n"/>
      <c r="Q254" s="54" t="n"/>
      <c r="R254" s="54" t="n"/>
      <c r="S254" s="54" t="n"/>
      <c r="T254" s="54" t="n"/>
      <c r="U254" s="54" t="n"/>
      <c r="V254" s="54" t="n"/>
      <c r="W254" s="54" t="n"/>
      <c r="X254" s="54" t="n"/>
      <c r="Y254" s="54" t="n"/>
      <c r="Z254" s="54" t="n"/>
    </row>
    <row r="255" ht="15.75" customHeight="1" s="57">
      <c r="A255" s="54" t="n"/>
      <c r="B255" s="54" t="n"/>
      <c r="C255" s="54" t="n"/>
      <c r="D255" s="54" t="n"/>
      <c r="E255" s="54" t="n"/>
      <c r="F255" s="54" t="n"/>
      <c r="G255" s="54" t="n"/>
      <c r="H255" s="54" t="n"/>
      <c r="I255" s="54" t="n"/>
      <c r="J255" s="54" t="n"/>
      <c r="K255" s="54" t="n"/>
      <c r="L255" s="54" t="n"/>
      <c r="M255" s="54" t="n"/>
      <c r="N255" s="54" t="n"/>
      <c r="O255" s="54" t="n"/>
      <c r="P255" s="54" t="n"/>
      <c r="Q255" s="54" t="n"/>
      <c r="R255" s="54" t="n"/>
      <c r="S255" s="54" t="n"/>
      <c r="T255" s="54" t="n"/>
      <c r="U255" s="54" t="n"/>
      <c r="V255" s="54" t="n"/>
      <c r="W255" s="54" t="n"/>
      <c r="X255" s="54" t="n"/>
      <c r="Y255" s="54" t="n"/>
      <c r="Z255" s="54" t="n"/>
    </row>
    <row r="256" ht="15.75" customHeight="1" s="57">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row>
    <row r="257" ht="15.75" customHeight="1" s="57">
      <c r="A257" s="54" t="n"/>
      <c r="B257" s="54" t="n"/>
      <c r="C257" s="54" t="n"/>
      <c r="D257" s="54" t="n"/>
      <c r="E257" s="54" t="n"/>
      <c r="F257" s="54" t="n"/>
      <c r="G257" s="54" t="n"/>
      <c r="H257" s="54" t="n"/>
      <c r="I257" s="54" t="n"/>
      <c r="J257" s="54" t="n"/>
      <c r="K257" s="54" t="n"/>
      <c r="L257" s="54" t="n"/>
      <c r="M257" s="54" t="n"/>
      <c r="N257" s="54" t="n"/>
      <c r="O257" s="54" t="n"/>
      <c r="P257" s="54" t="n"/>
      <c r="Q257" s="54" t="n"/>
      <c r="R257" s="54" t="n"/>
      <c r="S257" s="54" t="n"/>
      <c r="T257" s="54" t="n"/>
      <c r="U257" s="54" t="n"/>
      <c r="V257" s="54" t="n"/>
      <c r="W257" s="54" t="n"/>
      <c r="X257" s="54" t="n"/>
      <c r="Y257" s="54" t="n"/>
      <c r="Z257" s="54" t="n"/>
    </row>
    <row r="258" ht="15.75" customHeight="1" s="57">
      <c r="A258" s="54" t="n"/>
      <c r="B258" s="54" t="n"/>
      <c r="C258" s="54" t="n"/>
      <c r="D258" s="54" t="n"/>
      <c r="E258" s="54" t="n"/>
      <c r="F258" s="54" t="n"/>
      <c r="G258" s="54" t="n"/>
      <c r="H258" s="54" t="n"/>
      <c r="I258" s="54" t="n"/>
      <c r="J258" s="54" t="n"/>
      <c r="K258" s="54" t="n"/>
      <c r="L258" s="54" t="n"/>
      <c r="M258" s="54" t="n"/>
      <c r="N258" s="54" t="n"/>
      <c r="O258" s="54" t="n"/>
      <c r="P258" s="54" t="n"/>
      <c r="Q258" s="54" t="n"/>
      <c r="R258" s="54" t="n"/>
      <c r="S258" s="54" t="n"/>
      <c r="T258" s="54" t="n"/>
      <c r="U258" s="54" t="n"/>
      <c r="V258" s="54" t="n"/>
      <c r="W258" s="54" t="n"/>
      <c r="X258" s="54" t="n"/>
      <c r="Y258" s="54" t="n"/>
      <c r="Z258" s="54" t="n"/>
    </row>
    <row r="259" ht="15.75" customHeight="1" s="57">
      <c r="A259" s="54" t="n"/>
      <c r="B259" s="54" t="n"/>
      <c r="C259" s="54" t="n"/>
      <c r="D259" s="54" t="n"/>
      <c r="E259" s="54" t="n"/>
      <c r="F259" s="54" t="n"/>
      <c r="G259" s="54" t="n"/>
      <c r="H259" s="54" t="n"/>
      <c r="I259" s="54" t="n"/>
      <c r="J259" s="54" t="n"/>
      <c r="K259" s="54" t="n"/>
      <c r="L259" s="54" t="n"/>
      <c r="M259" s="54" t="n"/>
      <c r="N259" s="54" t="n"/>
      <c r="O259" s="54" t="n"/>
      <c r="P259" s="54" t="n"/>
      <c r="Q259" s="54" t="n"/>
      <c r="R259" s="54" t="n"/>
      <c r="S259" s="54" t="n"/>
      <c r="T259" s="54" t="n"/>
      <c r="U259" s="54" t="n"/>
      <c r="V259" s="54" t="n"/>
      <c r="W259" s="54" t="n"/>
      <c r="X259" s="54" t="n"/>
      <c r="Y259" s="54" t="n"/>
      <c r="Z259" s="54" t="n"/>
    </row>
    <row r="260" ht="15.75" customHeight="1" s="57">
      <c r="A260" s="54" t="n"/>
      <c r="B260" s="54" t="n"/>
      <c r="C260" s="54" t="n"/>
      <c r="D260" s="54" t="n"/>
      <c r="E260" s="54" t="n"/>
      <c r="F260" s="54" t="n"/>
      <c r="G260" s="54" t="n"/>
      <c r="H260" s="54" t="n"/>
      <c r="I260" s="54" t="n"/>
      <c r="J260" s="54" t="n"/>
      <c r="K260" s="54" t="n"/>
      <c r="L260" s="54" t="n"/>
      <c r="M260" s="54" t="n"/>
      <c r="N260" s="54" t="n"/>
      <c r="O260" s="54" t="n"/>
      <c r="P260" s="54" t="n"/>
      <c r="Q260" s="54" t="n"/>
      <c r="R260" s="54" t="n"/>
      <c r="S260" s="54" t="n"/>
      <c r="T260" s="54" t="n"/>
      <c r="U260" s="54" t="n"/>
      <c r="V260" s="54" t="n"/>
      <c r="W260" s="54" t="n"/>
      <c r="X260" s="54" t="n"/>
      <c r="Y260" s="54" t="n"/>
      <c r="Z260" s="54" t="n"/>
    </row>
    <row r="261" ht="15.75" customHeight="1" s="57">
      <c r="A261" s="54" t="n"/>
      <c r="B261" s="54" t="n"/>
      <c r="C261" s="54" t="n"/>
      <c r="D261" s="54" t="n"/>
      <c r="E261" s="54" t="n"/>
      <c r="F261" s="54" t="n"/>
      <c r="G261" s="54" t="n"/>
      <c r="H261" s="54" t="n"/>
      <c r="I261" s="54" t="n"/>
      <c r="J261" s="54" t="n"/>
      <c r="K261" s="54" t="n"/>
      <c r="L261" s="54" t="n"/>
      <c r="M261" s="54" t="n"/>
      <c r="N261" s="54" t="n"/>
      <c r="O261" s="54" t="n"/>
      <c r="P261" s="54" t="n"/>
      <c r="Q261" s="54" t="n"/>
      <c r="R261" s="54" t="n"/>
      <c r="S261" s="54" t="n"/>
      <c r="T261" s="54" t="n"/>
      <c r="U261" s="54" t="n"/>
      <c r="V261" s="54" t="n"/>
      <c r="W261" s="54" t="n"/>
      <c r="X261" s="54" t="n"/>
      <c r="Y261" s="54" t="n"/>
      <c r="Z261" s="54" t="n"/>
    </row>
    <row r="262" ht="15.75" customHeight="1" s="57">
      <c r="A262" s="54" t="n"/>
      <c r="B262" s="54" t="n"/>
      <c r="C262" s="54" t="n"/>
      <c r="D262" s="54" t="n"/>
      <c r="E262" s="54" t="n"/>
      <c r="F262" s="54" t="n"/>
      <c r="G262" s="54" t="n"/>
      <c r="H262" s="54" t="n"/>
      <c r="I262" s="54" t="n"/>
      <c r="J262" s="54" t="n"/>
      <c r="K262" s="54" t="n"/>
      <c r="L262" s="54" t="n"/>
      <c r="M262" s="54" t="n"/>
      <c r="N262" s="54" t="n"/>
      <c r="O262" s="54" t="n"/>
      <c r="P262" s="54" t="n"/>
      <c r="Q262" s="54" t="n"/>
      <c r="R262" s="54" t="n"/>
      <c r="S262" s="54" t="n"/>
      <c r="T262" s="54" t="n"/>
      <c r="U262" s="54" t="n"/>
      <c r="V262" s="54" t="n"/>
      <c r="W262" s="54" t="n"/>
      <c r="X262" s="54" t="n"/>
      <c r="Y262" s="54" t="n"/>
      <c r="Z262" s="54" t="n"/>
    </row>
    <row r="263" ht="15.75" customHeight="1" s="57">
      <c r="A263" s="54" t="n"/>
      <c r="B263" s="54" t="n"/>
      <c r="C263" s="54" t="n"/>
      <c r="D263" s="54" t="n"/>
      <c r="E263" s="54" t="n"/>
      <c r="F263" s="54" t="n"/>
      <c r="G263" s="54" t="n"/>
      <c r="H263" s="54" t="n"/>
      <c r="I263" s="54" t="n"/>
      <c r="J263" s="54" t="n"/>
      <c r="K263" s="54" t="n"/>
      <c r="L263" s="54" t="n"/>
      <c r="M263" s="54" t="n"/>
      <c r="N263" s="54" t="n"/>
      <c r="O263" s="54" t="n"/>
      <c r="P263" s="54" t="n"/>
      <c r="Q263" s="54" t="n"/>
      <c r="R263" s="54" t="n"/>
      <c r="S263" s="54" t="n"/>
      <c r="T263" s="54" t="n"/>
      <c r="U263" s="54" t="n"/>
      <c r="V263" s="54" t="n"/>
      <c r="W263" s="54" t="n"/>
      <c r="X263" s="54" t="n"/>
      <c r="Y263" s="54" t="n"/>
      <c r="Z263" s="54" t="n"/>
    </row>
    <row r="264" ht="15.75" customHeight="1" s="57">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row>
    <row r="265" ht="15.75" customHeight="1" s="57">
      <c r="A265" s="54" t="n"/>
      <c r="B265" s="54" t="n"/>
      <c r="C265" s="54" t="n"/>
      <c r="D265" s="54" t="n"/>
      <c r="E265" s="54" t="n"/>
      <c r="F265" s="54" t="n"/>
      <c r="G265" s="54" t="n"/>
      <c r="H265" s="54" t="n"/>
      <c r="I265" s="54" t="n"/>
      <c r="J265" s="54" t="n"/>
      <c r="K265" s="54" t="n"/>
      <c r="L265" s="54" t="n"/>
      <c r="M265" s="54" t="n"/>
      <c r="N265" s="54" t="n"/>
      <c r="O265" s="54" t="n"/>
      <c r="P265" s="54" t="n"/>
      <c r="Q265" s="54" t="n"/>
      <c r="R265" s="54" t="n"/>
      <c r="S265" s="54" t="n"/>
      <c r="T265" s="54" t="n"/>
      <c r="U265" s="54" t="n"/>
      <c r="V265" s="54" t="n"/>
      <c r="W265" s="54" t="n"/>
      <c r="X265" s="54" t="n"/>
      <c r="Y265" s="54" t="n"/>
      <c r="Z265" s="54" t="n"/>
    </row>
    <row r="266" ht="15.75" customHeight="1" s="57">
      <c r="A266" s="54" t="n"/>
      <c r="B266" s="54" t="n"/>
      <c r="C266" s="54" t="n"/>
      <c r="D266" s="54" t="n"/>
      <c r="E266" s="54" t="n"/>
      <c r="F266" s="54" t="n"/>
      <c r="G266" s="54" t="n"/>
      <c r="H266" s="54" t="n"/>
      <c r="I266" s="54" t="n"/>
      <c r="J266" s="54" t="n"/>
      <c r="K266" s="54" t="n"/>
      <c r="L266" s="54" t="n"/>
      <c r="M266" s="54" t="n"/>
      <c r="N266" s="54" t="n"/>
      <c r="O266" s="54" t="n"/>
      <c r="P266" s="54" t="n"/>
      <c r="Q266" s="54" t="n"/>
      <c r="R266" s="54" t="n"/>
      <c r="S266" s="54" t="n"/>
      <c r="T266" s="54" t="n"/>
      <c r="U266" s="54" t="n"/>
      <c r="V266" s="54" t="n"/>
      <c r="W266" s="54" t="n"/>
      <c r="X266" s="54" t="n"/>
      <c r="Y266" s="54" t="n"/>
      <c r="Z266" s="54" t="n"/>
    </row>
    <row r="267" ht="15.75" customHeight="1" s="57">
      <c r="A267" s="54" t="n"/>
      <c r="B267" s="54"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row>
    <row r="268" ht="15.75" customHeight="1" s="57">
      <c r="A268" s="54" t="n"/>
      <c r="B268" s="54" t="n"/>
      <c r="C268" s="54" t="n"/>
      <c r="D268" s="54" t="n"/>
      <c r="E268" s="54" t="n"/>
      <c r="F268" s="54" t="n"/>
      <c r="G268" s="54" t="n"/>
      <c r="H268" s="54" t="n"/>
      <c r="I268" s="54" t="n"/>
      <c r="J268" s="54" t="n"/>
      <c r="K268" s="54" t="n"/>
      <c r="L268" s="54" t="n"/>
      <c r="M268" s="54" t="n"/>
      <c r="N268" s="54" t="n"/>
      <c r="O268" s="54" t="n"/>
      <c r="P268" s="54" t="n"/>
      <c r="Q268" s="54" t="n"/>
      <c r="R268" s="54" t="n"/>
      <c r="S268" s="54" t="n"/>
      <c r="T268" s="54" t="n"/>
      <c r="U268" s="54" t="n"/>
      <c r="V268" s="54" t="n"/>
      <c r="W268" s="54" t="n"/>
      <c r="X268" s="54" t="n"/>
      <c r="Y268" s="54" t="n"/>
      <c r="Z268" s="54" t="n"/>
    </row>
    <row r="269" ht="15.75" customHeight="1" s="57">
      <c r="A269" s="54" t="n"/>
      <c r="B269" s="54" t="n"/>
      <c r="C269" s="54" t="n"/>
      <c r="D269" s="54" t="n"/>
      <c r="E269" s="54" t="n"/>
      <c r="F269" s="54" t="n"/>
      <c r="G269" s="54" t="n"/>
      <c r="H269" s="54" t="n"/>
      <c r="I269" s="54" t="n"/>
      <c r="J269" s="54" t="n"/>
      <c r="K269" s="54" t="n"/>
      <c r="L269" s="54" t="n"/>
      <c r="M269" s="54" t="n"/>
      <c r="N269" s="54" t="n"/>
      <c r="O269" s="54" t="n"/>
      <c r="P269" s="54" t="n"/>
      <c r="Q269" s="54" t="n"/>
      <c r="R269" s="54" t="n"/>
      <c r="S269" s="54" t="n"/>
      <c r="T269" s="54" t="n"/>
      <c r="U269" s="54" t="n"/>
      <c r="V269" s="54" t="n"/>
      <c r="W269" s="54" t="n"/>
      <c r="X269" s="54" t="n"/>
      <c r="Y269" s="54" t="n"/>
      <c r="Z269" s="54" t="n"/>
    </row>
    <row r="270" ht="15.75" customHeight="1" s="57">
      <c r="A270" s="54" t="n"/>
      <c r="B270" s="54" t="n"/>
      <c r="C270" s="54" t="n"/>
      <c r="D270" s="54" t="n"/>
      <c r="E270" s="54" t="n"/>
      <c r="F270" s="54" t="n"/>
      <c r="G270" s="54" t="n"/>
      <c r="H270" s="54" t="n"/>
      <c r="I270" s="54" t="n"/>
      <c r="J270" s="54" t="n"/>
      <c r="K270" s="54" t="n"/>
      <c r="L270" s="54" t="n"/>
      <c r="M270" s="54" t="n"/>
      <c r="N270" s="54" t="n"/>
      <c r="O270" s="54" t="n"/>
      <c r="P270" s="54" t="n"/>
      <c r="Q270" s="54" t="n"/>
      <c r="R270" s="54" t="n"/>
      <c r="S270" s="54" t="n"/>
      <c r="T270" s="54" t="n"/>
      <c r="U270" s="54" t="n"/>
      <c r="V270" s="54" t="n"/>
      <c r="W270" s="54" t="n"/>
      <c r="X270" s="54" t="n"/>
      <c r="Y270" s="54" t="n"/>
      <c r="Z270" s="54" t="n"/>
    </row>
    <row r="271" ht="15.75" customHeight="1" s="57">
      <c r="A271" s="54" t="n"/>
      <c r="B271" s="54" t="n"/>
      <c r="C271" s="54" t="n"/>
      <c r="D271" s="54" t="n"/>
      <c r="E271" s="54" t="n"/>
      <c r="F271" s="54" t="n"/>
      <c r="G271" s="54" t="n"/>
      <c r="H271" s="54" t="n"/>
      <c r="I271" s="54" t="n"/>
      <c r="J271" s="54" t="n"/>
      <c r="K271" s="54" t="n"/>
      <c r="L271" s="54" t="n"/>
      <c r="M271" s="54" t="n"/>
      <c r="N271" s="54" t="n"/>
      <c r="O271" s="54" t="n"/>
      <c r="P271" s="54" t="n"/>
      <c r="Q271" s="54" t="n"/>
      <c r="R271" s="54" t="n"/>
      <c r="S271" s="54" t="n"/>
      <c r="T271" s="54" t="n"/>
      <c r="U271" s="54" t="n"/>
      <c r="V271" s="54" t="n"/>
      <c r="W271" s="54" t="n"/>
      <c r="X271" s="54" t="n"/>
      <c r="Y271" s="54" t="n"/>
      <c r="Z271" s="54" t="n"/>
    </row>
    <row r="272" ht="15.75" customHeight="1" s="57">
      <c r="A272" s="54" t="n"/>
      <c r="B272" s="54" t="n"/>
      <c r="C272" s="54" t="n"/>
      <c r="D272" s="54" t="n"/>
      <c r="E272" s="54" t="n"/>
      <c r="F272" s="54" t="n"/>
      <c r="G272" s="54" t="n"/>
      <c r="H272" s="54" t="n"/>
      <c r="I272" s="54" t="n"/>
      <c r="J272" s="54" t="n"/>
      <c r="K272" s="54" t="n"/>
      <c r="L272" s="54" t="n"/>
      <c r="M272" s="54" t="n"/>
      <c r="N272" s="54" t="n"/>
      <c r="O272" s="54" t="n"/>
      <c r="P272" s="54" t="n"/>
      <c r="Q272" s="54" t="n"/>
      <c r="R272" s="54" t="n"/>
      <c r="S272" s="54" t="n"/>
      <c r="T272" s="54" t="n"/>
      <c r="U272" s="54" t="n"/>
      <c r="V272" s="54" t="n"/>
      <c r="W272" s="54" t="n"/>
      <c r="X272" s="54" t="n"/>
      <c r="Y272" s="54" t="n"/>
      <c r="Z272" s="54" t="n"/>
    </row>
    <row r="273" ht="15.75" customHeight="1" s="57">
      <c r="A273" s="54" t="n"/>
      <c r="B273" s="54" t="n"/>
      <c r="C273" s="54" t="n"/>
      <c r="D273" s="54" t="n"/>
      <c r="E273" s="54" t="n"/>
      <c r="F273" s="54" t="n"/>
      <c r="G273" s="54" t="n"/>
      <c r="H273" s="54" t="n"/>
      <c r="I273" s="54" t="n"/>
      <c r="J273" s="54" t="n"/>
      <c r="K273" s="54" t="n"/>
      <c r="L273" s="54" t="n"/>
      <c r="M273" s="54" t="n"/>
      <c r="N273" s="54" t="n"/>
      <c r="O273" s="54" t="n"/>
      <c r="P273" s="54" t="n"/>
      <c r="Q273" s="54" t="n"/>
      <c r="R273" s="54" t="n"/>
      <c r="S273" s="54" t="n"/>
      <c r="T273" s="54" t="n"/>
      <c r="U273" s="54" t="n"/>
      <c r="V273" s="54" t="n"/>
      <c r="W273" s="54" t="n"/>
      <c r="X273" s="54" t="n"/>
      <c r="Y273" s="54" t="n"/>
      <c r="Z273" s="54" t="n"/>
    </row>
    <row r="274" ht="15.75" customHeight="1" s="57">
      <c r="A274" s="54" t="n"/>
      <c r="B274" s="54" t="n"/>
      <c r="C274" s="54" t="n"/>
      <c r="D274" s="54" t="n"/>
      <c r="E274" s="54" t="n"/>
      <c r="F274" s="54" t="n"/>
      <c r="G274" s="54" t="n"/>
      <c r="H274" s="54" t="n"/>
      <c r="I274" s="54" t="n"/>
      <c r="J274" s="54" t="n"/>
      <c r="K274" s="54" t="n"/>
      <c r="L274" s="54" t="n"/>
      <c r="M274" s="54" t="n"/>
      <c r="N274" s="54" t="n"/>
      <c r="O274" s="54" t="n"/>
      <c r="P274" s="54" t="n"/>
      <c r="Q274" s="54" t="n"/>
      <c r="R274" s="54" t="n"/>
      <c r="S274" s="54" t="n"/>
      <c r="T274" s="54" t="n"/>
      <c r="U274" s="54" t="n"/>
      <c r="V274" s="54" t="n"/>
      <c r="W274" s="54" t="n"/>
      <c r="X274" s="54" t="n"/>
      <c r="Y274" s="54" t="n"/>
      <c r="Z274" s="54" t="n"/>
    </row>
    <row r="275" ht="15.75" customHeight="1" s="57">
      <c r="A275" s="54" t="n"/>
      <c r="B275" s="54" t="n"/>
      <c r="C275" s="54" t="n"/>
      <c r="D275" s="54" t="n"/>
      <c r="E275" s="54" t="n"/>
      <c r="F275" s="54" t="n"/>
      <c r="G275" s="54" t="n"/>
      <c r="H275" s="54" t="n"/>
      <c r="I275" s="54" t="n"/>
      <c r="J275" s="54" t="n"/>
      <c r="K275" s="54" t="n"/>
      <c r="L275" s="54" t="n"/>
      <c r="M275" s="54" t="n"/>
      <c r="N275" s="54" t="n"/>
      <c r="O275" s="54" t="n"/>
      <c r="P275" s="54" t="n"/>
      <c r="Q275" s="54" t="n"/>
      <c r="R275" s="54" t="n"/>
      <c r="S275" s="54" t="n"/>
      <c r="T275" s="54" t="n"/>
      <c r="U275" s="54" t="n"/>
      <c r="V275" s="54" t="n"/>
      <c r="W275" s="54" t="n"/>
      <c r="X275" s="54" t="n"/>
      <c r="Y275" s="54" t="n"/>
      <c r="Z275" s="54" t="n"/>
    </row>
    <row r="276" ht="15.75" customHeight="1" s="57">
      <c r="A276" s="54" t="n"/>
      <c r="B276" s="54" t="n"/>
      <c r="C276" s="54" t="n"/>
      <c r="D276" s="54" t="n"/>
      <c r="E276" s="54" t="n"/>
      <c r="F276" s="54" t="n"/>
      <c r="G276" s="54" t="n"/>
      <c r="H276" s="54" t="n"/>
      <c r="I276" s="54" t="n"/>
      <c r="J276" s="54" t="n"/>
      <c r="K276" s="54" t="n"/>
      <c r="L276" s="54" t="n"/>
      <c r="M276" s="54" t="n"/>
      <c r="N276" s="54" t="n"/>
      <c r="O276" s="54" t="n"/>
      <c r="P276" s="54" t="n"/>
      <c r="Q276" s="54" t="n"/>
      <c r="R276" s="54" t="n"/>
      <c r="S276" s="54" t="n"/>
      <c r="T276" s="54" t="n"/>
      <c r="U276" s="54" t="n"/>
      <c r="V276" s="54" t="n"/>
      <c r="W276" s="54" t="n"/>
      <c r="X276" s="54" t="n"/>
      <c r="Y276" s="54" t="n"/>
      <c r="Z276" s="54" t="n"/>
    </row>
    <row r="277" ht="15.75" customHeight="1" s="57">
      <c r="A277" s="54" t="n"/>
      <c r="B277" s="54" t="n"/>
      <c r="C277" s="54" t="n"/>
      <c r="D277" s="54" t="n"/>
      <c r="E277" s="54" t="n"/>
      <c r="F277" s="54" t="n"/>
      <c r="G277" s="54" t="n"/>
      <c r="H277" s="54" t="n"/>
      <c r="I277" s="54" t="n"/>
      <c r="J277" s="54" t="n"/>
      <c r="K277" s="54" t="n"/>
      <c r="L277" s="54" t="n"/>
      <c r="M277" s="54" t="n"/>
      <c r="N277" s="54" t="n"/>
      <c r="O277" s="54" t="n"/>
      <c r="P277" s="54" t="n"/>
      <c r="Q277" s="54" t="n"/>
      <c r="R277" s="54" t="n"/>
      <c r="S277" s="54" t="n"/>
      <c r="T277" s="54" t="n"/>
      <c r="U277" s="54" t="n"/>
      <c r="V277" s="54" t="n"/>
      <c r="W277" s="54" t="n"/>
      <c r="X277" s="54" t="n"/>
      <c r="Y277" s="54" t="n"/>
      <c r="Z277" s="54" t="n"/>
    </row>
    <row r="278" ht="15.75" customHeight="1" s="57">
      <c r="A278" s="54" t="n"/>
      <c r="B278" s="54" t="n"/>
      <c r="C278" s="54" t="n"/>
      <c r="D278" s="54" t="n"/>
      <c r="E278" s="54" t="n"/>
      <c r="F278" s="54" t="n"/>
      <c r="G278" s="54" t="n"/>
      <c r="H278" s="54" t="n"/>
      <c r="I278" s="54" t="n"/>
      <c r="J278" s="54" t="n"/>
      <c r="K278" s="54" t="n"/>
      <c r="L278" s="54" t="n"/>
      <c r="M278" s="54" t="n"/>
      <c r="N278" s="54" t="n"/>
      <c r="O278" s="54" t="n"/>
      <c r="P278" s="54" t="n"/>
      <c r="Q278" s="54" t="n"/>
      <c r="R278" s="54" t="n"/>
      <c r="S278" s="54" t="n"/>
      <c r="T278" s="54" t="n"/>
      <c r="U278" s="54" t="n"/>
      <c r="V278" s="54" t="n"/>
      <c r="W278" s="54" t="n"/>
      <c r="X278" s="54" t="n"/>
      <c r="Y278" s="54" t="n"/>
      <c r="Z278" s="54" t="n"/>
    </row>
    <row r="279" ht="15.75" customHeight="1" s="57">
      <c r="A279" s="54" t="n"/>
      <c r="B279" s="54" t="n"/>
      <c r="C279" s="54" t="n"/>
      <c r="D279" s="54" t="n"/>
      <c r="E279" s="54" t="n"/>
      <c r="F279" s="54" t="n"/>
      <c r="G279" s="54" t="n"/>
      <c r="H279" s="54" t="n"/>
      <c r="I279" s="54" t="n"/>
      <c r="J279" s="54" t="n"/>
      <c r="K279" s="54" t="n"/>
      <c r="L279" s="54" t="n"/>
      <c r="M279" s="54" t="n"/>
      <c r="N279" s="54" t="n"/>
      <c r="O279" s="54" t="n"/>
      <c r="P279" s="54" t="n"/>
      <c r="Q279" s="54" t="n"/>
      <c r="R279" s="54" t="n"/>
      <c r="S279" s="54" t="n"/>
      <c r="T279" s="54" t="n"/>
      <c r="U279" s="54" t="n"/>
      <c r="V279" s="54" t="n"/>
      <c r="W279" s="54" t="n"/>
      <c r="X279" s="54" t="n"/>
      <c r="Y279" s="54" t="n"/>
      <c r="Z279" s="54" t="n"/>
    </row>
    <row r="280" ht="15.75" customHeight="1" s="57">
      <c r="A280" s="54" t="n"/>
      <c r="B280" s="54" t="n"/>
      <c r="C280" s="54" t="n"/>
      <c r="D280" s="54" t="n"/>
      <c r="E280" s="54" t="n"/>
      <c r="F280" s="54" t="n"/>
      <c r="G280" s="54" t="n"/>
      <c r="H280" s="54" t="n"/>
      <c r="I280" s="54" t="n"/>
      <c r="J280" s="54" t="n"/>
      <c r="K280" s="54" t="n"/>
      <c r="L280" s="54" t="n"/>
      <c r="M280" s="54" t="n"/>
      <c r="N280" s="54" t="n"/>
      <c r="O280" s="54" t="n"/>
      <c r="P280" s="54" t="n"/>
      <c r="Q280" s="54" t="n"/>
      <c r="R280" s="54" t="n"/>
      <c r="S280" s="54" t="n"/>
      <c r="T280" s="54" t="n"/>
      <c r="U280" s="54" t="n"/>
      <c r="V280" s="54" t="n"/>
      <c r="W280" s="54" t="n"/>
      <c r="X280" s="54" t="n"/>
      <c r="Y280" s="54" t="n"/>
      <c r="Z280" s="54" t="n"/>
    </row>
    <row r="281" ht="15.75" customHeight="1" s="57">
      <c r="A281" s="54" t="n"/>
      <c r="B281" s="54" t="n"/>
      <c r="C281" s="54" t="n"/>
      <c r="D281" s="54" t="n"/>
      <c r="E281" s="54" t="n"/>
      <c r="F281" s="54" t="n"/>
      <c r="G281" s="54" t="n"/>
      <c r="H281" s="54" t="n"/>
      <c r="I281" s="54" t="n"/>
      <c r="J281" s="54" t="n"/>
      <c r="K281" s="54" t="n"/>
      <c r="L281" s="54" t="n"/>
      <c r="M281" s="54" t="n"/>
      <c r="N281" s="54" t="n"/>
      <c r="O281" s="54" t="n"/>
      <c r="P281" s="54" t="n"/>
      <c r="Q281" s="54" t="n"/>
      <c r="R281" s="54" t="n"/>
      <c r="S281" s="54" t="n"/>
      <c r="T281" s="54" t="n"/>
      <c r="U281" s="54" t="n"/>
      <c r="V281" s="54" t="n"/>
      <c r="W281" s="54" t="n"/>
      <c r="X281" s="54" t="n"/>
      <c r="Y281" s="54" t="n"/>
      <c r="Z281" s="54" t="n"/>
    </row>
    <row r="282" ht="15.75" customHeight="1" s="57">
      <c r="A282" s="54" t="n"/>
      <c r="B282" s="54" t="n"/>
      <c r="C282" s="54" t="n"/>
      <c r="D282" s="54" t="n"/>
      <c r="E282" s="54" t="n"/>
      <c r="F282" s="54" t="n"/>
      <c r="G282" s="54" t="n"/>
      <c r="H282" s="54" t="n"/>
      <c r="I282" s="54" t="n"/>
      <c r="J282" s="54" t="n"/>
      <c r="K282" s="54" t="n"/>
      <c r="L282" s="54" t="n"/>
      <c r="M282" s="54" t="n"/>
      <c r="N282" s="54" t="n"/>
      <c r="O282" s="54" t="n"/>
      <c r="P282" s="54" t="n"/>
      <c r="Q282" s="54" t="n"/>
      <c r="R282" s="54" t="n"/>
      <c r="S282" s="54" t="n"/>
      <c r="T282" s="54" t="n"/>
      <c r="U282" s="54" t="n"/>
      <c r="V282" s="54" t="n"/>
      <c r="W282" s="54" t="n"/>
      <c r="X282" s="54" t="n"/>
      <c r="Y282" s="54" t="n"/>
      <c r="Z282" s="54" t="n"/>
    </row>
    <row r="283" ht="15.75" customHeight="1" s="57">
      <c r="A283" s="54" t="n"/>
      <c r="B283" s="54" t="n"/>
      <c r="C283" s="54" t="n"/>
      <c r="D283" s="54" t="n"/>
      <c r="E283" s="54" t="n"/>
      <c r="F283" s="54" t="n"/>
      <c r="G283" s="54" t="n"/>
      <c r="H283" s="54" t="n"/>
      <c r="I283" s="54" t="n"/>
      <c r="J283" s="54" t="n"/>
      <c r="K283" s="54" t="n"/>
      <c r="L283" s="54" t="n"/>
      <c r="M283" s="54" t="n"/>
      <c r="N283" s="54" t="n"/>
      <c r="O283" s="54" t="n"/>
      <c r="P283" s="54" t="n"/>
      <c r="Q283" s="54" t="n"/>
      <c r="R283" s="54" t="n"/>
      <c r="S283" s="54" t="n"/>
      <c r="T283" s="54" t="n"/>
      <c r="U283" s="54" t="n"/>
      <c r="V283" s="54" t="n"/>
      <c r="W283" s="54" t="n"/>
      <c r="X283" s="54" t="n"/>
      <c r="Y283" s="54" t="n"/>
      <c r="Z283" s="54" t="n"/>
    </row>
    <row r="284" ht="15.75" customHeight="1" s="57">
      <c r="A284" s="54" t="n"/>
      <c r="B284" s="54" t="n"/>
      <c r="C284" s="54" t="n"/>
      <c r="D284" s="54" t="n"/>
      <c r="E284" s="54" t="n"/>
      <c r="F284" s="54" t="n"/>
      <c r="G284" s="54" t="n"/>
      <c r="H284" s="54" t="n"/>
      <c r="I284" s="54" t="n"/>
      <c r="J284" s="54" t="n"/>
      <c r="K284" s="54" t="n"/>
      <c r="L284" s="54" t="n"/>
      <c r="M284" s="54" t="n"/>
      <c r="N284" s="54" t="n"/>
      <c r="O284" s="54" t="n"/>
      <c r="P284" s="54" t="n"/>
      <c r="Q284" s="54" t="n"/>
      <c r="R284" s="54" t="n"/>
      <c r="S284" s="54" t="n"/>
      <c r="T284" s="54" t="n"/>
      <c r="U284" s="54" t="n"/>
      <c r="V284" s="54" t="n"/>
      <c r="W284" s="54" t="n"/>
      <c r="X284" s="54" t="n"/>
      <c r="Y284" s="54" t="n"/>
      <c r="Z284" s="54" t="n"/>
    </row>
    <row r="285" ht="15.75" customHeight="1" s="57">
      <c r="A285" s="54" t="n"/>
      <c r="B285" s="54" t="n"/>
      <c r="C285" s="54" t="n"/>
      <c r="D285" s="54" t="n"/>
      <c r="E285" s="54" t="n"/>
      <c r="F285" s="54" t="n"/>
      <c r="G285" s="54" t="n"/>
      <c r="H285" s="54" t="n"/>
      <c r="I285" s="54" t="n"/>
      <c r="J285" s="54" t="n"/>
      <c r="K285" s="54" t="n"/>
      <c r="L285" s="54" t="n"/>
      <c r="M285" s="54" t="n"/>
      <c r="N285" s="54" t="n"/>
      <c r="O285" s="54" t="n"/>
      <c r="P285" s="54" t="n"/>
      <c r="Q285" s="54" t="n"/>
      <c r="R285" s="54" t="n"/>
      <c r="S285" s="54" t="n"/>
      <c r="T285" s="54" t="n"/>
      <c r="U285" s="54" t="n"/>
      <c r="V285" s="54" t="n"/>
      <c r="W285" s="54" t="n"/>
      <c r="X285" s="54" t="n"/>
      <c r="Y285" s="54" t="n"/>
      <c r="Z285" s="54" t="n"/>
    </row>
    <row r="286" ht="15.75" customHeight="1" s="57">
      <c r="A286" s="54" t="n"/>
      <c r="B286" s="54" t="n"/>
      <c r="C286" s="54" t="n"/>
      <c r="D286" s="54" t="n"/>
      <c r="E286" s="54" t="n"/>
      <c r="F286" s="54" t="n"/>
      <c r="G286" s="54" t="n"/>
      <c r="H286" s="54" t="n"/>
      <c r="I286" s="54" t="n"/>
      <c r="J286" s="54" t="n"/>
      <c r="K286" s="54" t="n"/>
      <c r="L286" s="54" t="n"/>
      <c r="M286" s="54" t="n"/>
      <c r="N286" s="54" t="n"/>
      <c r="O286" s="54" t="n"/>
      <c r="P286" s="54" t="n"/>
      <c r="Q286" s="54" t="n"/>
      <c r="R286" s="54" t="n"/>
      <c r="S286" s="54" t="n"/>
      <c r="T286" s="54" t="n"/>
      <c r="U286" s="54" t="n"/>
      <c r="V286" s="54" t="n"/>
      <c r="W286" s="54" t="n"/>
      <c r="X286" s="54" t="n"/>
      <c r="Y286" s="54" t="n"/>
      <c r="Z286" s="54" t="n"/>
    </row>
    <row r="287" ht="15.75" customHeight="1" s="57">
      <c r="A287" s="54" t="n"/>
      <c r="B287" s="54" t="n"/>
      <c r="C287" s="54" t="n"/>
      <c r="D287" s="54" t="n"/>
      <c r="E287" s="54" t="n"/>
      <c r="F287" s="54" t="n"/>
      <c r="G287" s="54" t="n"/>
      <c r="H287" s="54" t="n"/>
      <c r="I287" s="54" t="n"/>
      <c r="J287" s="54" t="n"/>
      <c r="K287" s="54" t="n"/>
      <c r="L287" s="54" t="n"/>
      <c r="M287" s="54" t="n"/>
      <c r="N287" s="54" t="n"/>
      <c r="O287" s="54" t="n"/>
      <c r="P287" s="54" t="n"/>
      <c r="Q287" s="54" t="n"/>
      <c r="R287" s="54" t="n"/>
      <c r="S287" s="54" t="n"/>
      <c r="T287" s="54" t="n"/>
      <c r="U287" s="54" t="n"/>
      <c r="V287" s="54" t="n"/>
      <c r="W287" s="54" t="n"/>
      <c r="X287" s="54" t="n"/>
      <c r="Y287" s="54" t="n"/>
      <c r="Z287" s="54" t="n"/>
    </row>
    <row r="288" ht="15.75" customHeight="1" s="57">
      <c r="A288" s="54" t="n"/>
      <c r="B288" s="54" t="n"/>
      <c r="C288" s="54" t="n"/>
      <c r="D288" s="54" t="n"/>
      <c r="E288" s="54" t="n"/>
      <c r="F288" s="54" t="n"/>
      <c r="G288" s="54" t="n"/>
      <c r="H288" s="54" t="n"/>
      <c r="I288" s="54" t="n"/>
      <c r="J288" s="54" t="n"/>
      <c r="K288" s="54" t="n"/>
      <c r="L288" s="54" t="n"/>
      <c r="M288" s="54" t="n"/>
      <c r="N288" s="54" t="n"/>
      <c r="O288" s="54" t="n"/>
      <c r="P288" s="54" t="n"/>
      <c r="Q288" s="54" t="n"/>
      <c r="R288" s="54" t="n"/>
      <c r="S288" s="54" t="n"/>
      <c r="T288" s="54" t="n"/>
      <c r="U288" s="54" t="n"/>
      <c r="V288" s="54" t="n"/>
      <c r="W288" s="54" t="n"/>
      <c r="X288" s="54" t="n"/>
      <c r="Y288" s="54" t="n"/>
      <c r="Z288" s="54" t="n"/>
    </row>
    <row r="289" ht="15.75" customHeight="1" s="57">
      <c r="A289" s="54" t="n"/>
      <c r="B289" s="54" t="n"/>
      <c r="C289" s="54" t="n"/>
      <c r="D289" s="54" t="n"/>
      <c r="E289" s="54" t="n"/>
      <c r="F289" s="54" t="n"/>
      <c r="G289" s="54" t="n"/>
      <c r="H289" s="54" t="n"/>
      <c r="I289" s="54" t="n"/>
      <c r="J289" s="54" t="n"/>
      <c r="K289" s="54" t="n"/>
      <c r="L289" s="54" t="n"/>
      <c r="M289" s="54" t="n"/>
      <c r="N289" s="54" t="n"/>
      <c r="O289" s="54" t="n"/>
      <c r="P289" s="54" t="n"/>
      <c r="Q289" s="54" t="n"/>
      <c r="R289" s="54" t="n"/>
      <c r="S289" s="54" t="n"/>
      <c r="T289" s="54" t="n"/>
      <c r="U289" s="54" t="n"/>
      <c r="V289" s="54" t="n"/>
      <c r="W289" s="54" t="n"/>
      <c r="X289" s="54" t="n"/>
      <c r="Y289" s="54" t="n"/>
      <c r="Z289" s="54" t="n"/>
    </row>
    <row r="290" ht="15.75" customHeight="1" s="57">
      <c r="A290" s="54" t="n"/>
      <c r="B290" s="54" t="n"/>
      <c r="C290" s="54" t="n"/>
      <c r="D290" s="54" t="n"/>
      <c r="E290" s="54" t="n"/>
      <c r="F290" s="54" t="n"/>
      <c r="G290" s="54" t="n"/>
      <c r="H290" s="54" t="n"/>
      <c r="I290" s="54" t="n"/>
      <c r="J290" s="54" t="n"/>
      <c r="K290" s="54" t="n"/>
      <c r="L290" s="54" t="n"/>
      <c r="M290" s="54" t="n"/>
      <c r="N290" s="54" t="n"/>
      <c r="O290" s="54" t="n"/>
      <c r="P290" s="54" t="n"/>
      <c r="Q290" s="54" t="n"/>
      <c r="R290" s="54" t="n"/>
      <c r="S290" s="54" t="n"/>
      <c r="T290" s="54" t="n"/>
      <c r="U290" s="54" t="n"/>
      <c r="V290" s="54" t="n"/>
      <c r="W290" s="54" t="n"/>
      <c r="X290" s="54" t="n"/>
      <c r="Y290" s="54" t="n"/>
      <c r="Z290" s="54" t="n"/>
    </row>
    <row r="291" ht="15.75" customHeight="1" s="57">
      <c r="A291" s="54" t="n"/>
      <c r="B291" s="54" t="n"/>
      <c r="C291" s="54" t="n"/>
      <c r="D291" s="54" t="n"/>
      <c r="E291" s="54" t="n"/>
      <c r="F291" s="54" t="n"/>
      <c r="G291" s="54" t="n"/>
      <c r="H291" s="54" t="n"/>
      <c r="I291" s="54" t="n"/>
      <c r="J291" s="54" t="n"/>
      <c r="K291" s="54" t="n"/>
      <c r="L291" s="54" t="n"/>
      <c r="M291" s="54" t="n"/>
      <c r="N291" s="54" t="n"/>
      <c r="O291" s="54" t="n"/>
      <c r="P291" s="54" t="n"/>
      <c r="Q291" s="54" t="n"/>
      <c r="R291" s="54" t="n"/>
      <c r="S291" s="54" t="n"/>
      <c r="T291" s="54" t="n"/>
      <c r="U291" s="54" t="n"/>
      <c r="V291" s="54" t="n"/>
      <c r="W291" s="54" t="n"/>
      <c r="X291" s="54" t="n"/>
      <c r="Y291" s="54" t="n"/>
      <c r="Z291" s="54" t="n"/>
    </row>
    <row r="292" ht="15.75" customHeight="1" s="57">
      <c r="A292" s="54" t="n"/>
      <c r="B292" s="54" t="n"/>
      <c r="C292" s="54" t="n"/>
      <c r="D292" s="54" t="n"/>
      <c r="E292" s="54" t="n"/>
      <c r="F292" s="54" t="n"/>
      <c r="G292" s="54" t="n"/>
      <c r="H292" s="54" t="n"/>
      <c r="I292" s="54" t="n"/>
      <c r="J292" s="54" t="n"/>
      <c r="K292" s="54" t="n"/>
      <c r="L292" s="54" t="n"/>
      <c r="M292" s="54" t="n"/>
      <c r="N292" s="54" t="n"/>
      <c r="O292" s="54" t="n"/>
      <c r="P292" s="54" t="n"/>
      <c r="Q292" s="54" t="n"/>
      <c r="R292" s="54" t="n"/>
      <c r="S292" s="54" t="n"/>
      <c r="T292" s="54" t="n"/>
      <c r="U292" s="54" t="n"/>
      <c r="V292" s="54" t="n"/>
      <c r="W292" s="54" t="n"/>
      <c r="X292" s="54" t="n"/>
      <c r="Y292" s="54" t="n"/>
      <c r="Z292" s="54" t="n"/>
    </row>
    <row r="293" ht="15.75" customHeight="1" s="57">
      <c r="A293" s="54" t="n"/>
      <c r="B293" s="54" t="n"/>
      <c r="C293" s="54" t="n"/>
      <c r="D293" s="54" t="n"/>
      <c r="E293" s="54" t="n"/>
      <c r="F293" s="54" t="n"/>
      <c r="G293" s="54" t="n"/>
      <c r="H293" s="54" t="n"/>
      <c r="I293" s="54" t="n"/>
      <c r="J293" s="54" t="n"/>
      <c r="K293" s="54" t="n"/>
      <c r="L293" s="54" t="n"/>
      <c r="M293" s="54" t="n"/>
      <c r="N293" s="54" t="n"/>
      <c r="O293" s="54" t="n"/>
      <c r="P293" s="54" t="n"/>
      <c r="Q293" s="54" t="n"/>
      <c r="R293" s="54" t="n"/>
      <c r="S293" s="54" t="n"/>
      <c r="T293" s="54" t="n"/>
      <c r="U293" s="54" t="n"/>
      <c r="V293" s="54" t="n"/>
      <c r="W293" s="54" t="n"/>
      <c r="X293" s="54" t="n"/>
      <c r="Y293" s="54" t="n"/>
      <c r="Z293" s="54" t="n"/>
    </row>
    <row r="294" ht="15.75" customHeight="1" s="57">
      <c r="A294" s="54" t="n"/>
      <c r="B294" s="54" t="n"/>
      <c r="C294" s="54" t="n"/>
      <c r="D294" s="54" t="n"/>
      <c r="E294" s="54" t="n"/>
      <c r="F294" s="54" t="n"/>
      <c r="G294" s="54" t="n"/>
      <c r="H294" s="54" t="n"/>
      <c r="I294" s="54" t="n"/>
      <c r="J294" s="54" t="n"/>
      <c r="K294" s="54" t="n"/>
      <c r="L294" s="54" t="n"/>
      <c r="M294" s="54" t="n"/>
      <c r="N294" s="54" t="n"/>
      <c r="O294" s="54" t="n"/>
      <c r="P294" s="54" t="n"/>
      <c r="Q294" s="54" t="n"/>
      <c r="R294" s="54" t="n"/>
      <c r="S294" s="54" t="n"/>
      <c r="T294" s="54" t="n"/>
      <c r="U294" s="54" t="n"/>
      <c r="V294" s="54" t="n"/>
      <c r="W294" s="54" t="n"/>
      <c r="X294" s="54" t="n"/>
      <c r="Y294" s="54" t="n"/>
      <c r="Z294" s="54" t="n"/>
    </row>
    <row r="295" ht="15.75" customHeight="1" s="57">
      <c r="A295" s="54" t="n"/>
      <c r="B295" s="54" t="n"/>
      <c r="C295" s="54" t="n"/>
      <c r="D295" s="54" t="n"/>
      <c r="E295" s="54" t="n"/>
      <c r="F295" s="54" t="n"/>
      <c r="G295" s="54" t="n"/>
      <c r="H295" s="54" t="n"/>
      <c r="I295" s="54" t="n"/>
      <c r="J295" s="54" t="n"/>
      <c r="K295" s="54" t="n"/>
      <c r="L295" s="54" t="n"/>
      <c r="M295" s="54" t="n"/>
      <c r="N295" s="54" t="n"/>
      <c r="O295" s="54" t="n"/>
      <c r="P295" s="54" t="n"/>
      <c r="Q295" s="54" t="n"/>
      <c r="R295" s="54" t="n"/>
      <c r="S295" s="54" t="n"/>
      <c r="T295" s="54" t="n"/>
      <c r="U295" s="54" t="n"/>
      <c r="V295" s="54" t="n"/>
      <c r="W295" s="54" t="n"/>
      <c r="X295" s="54" t="n"/>
      <c r="Y295" s="54" t="n"/>
      <c r="Z295" s="54" t="n"/>
    </row>
    <row r="296" ht="15.75" customHeight="1" s="57">
      <c r="A296" s="54" t="n"/>
      <c r="B296" s="54" t="n"/>
      <c r="C296" s="54" t="n"/>
      <c r="D296" s="54" t="n"/>
      <c r="E296" s="54" t="n"/>
      <c r="F296" s="54" t="n"/>
      <c r="G296" s="54" t="n"/>
      <c r="H296" s="54" t="n"/>
      <c r="I296" s="54" t="n"/>
      <c r="J296" s="54" t="n"/>
      <c r="K296" s="54" t="n"/>
      <c r="L296" s="54" t="n"/>
      <c r="M296" s="54" t="n"/>
      <c r="N296" s="54" t="n"/>
      <c r="O296" s="54" t="n"/>
      <c r="P296" s="54" t="n"/>
      <c r="Q296" s="54" t="n"/>
      <c r="R296" s="54" t="n"/>
      <c r="S296" s="54" t="n"/>
      <c r="T296" s="54" t="n"/>
      <c r="U296" s="54" t="n"/>
      <c r="V296" s="54" t="n"/>
      <c r="W296" s="54" t="n"/>
      <c r="X296" s="54" t="n"/>
      <c r="Y296" s="54" t="n"/>
      <c r="Z296" s="54" t="n"/>
    </row>
    <row r="297" ht="15.75" customHeight="1" s="57">
      <c r="A297" s="54" t="n"/>
      <c r="B297" s="54" t="n"/>
      <c r="C297" s="54" t="n"/>
      <c r="D297" s="54" t="n"/>
      <c r="E297" s="54" t="n"/>
      <c r="F297" s="54" t="n"/>
      <c r="G297" s="54" t="n"/>
      <c r="H297" s="54" t="n"/>
      <c r="I297" s="54" t="n"/>
      <c r="J297" s="54" t="n"/>
      <c r="K297" s="54" t="n"/>
      <c r="L297" s="54" t="n"/>
      <c r="M297" s="54" t="n"/>
      <c r="N297" s="54" t="n"/>
      <c r="O297" s="54" t="n"/>
      <c r="P297" s="54" t="n"/>
      <c r="Q297" s="54" t="n"/>
      <c r="R297" s="54" t="n"/>
      <c r="S297" s="54" t="n"/>
      <c r="T297" s="54" t="n"/>
      <c r="U297" s="54" t="n"/>
      <c r="V297" s="54" t="n"/>
      <c r="W297" s="54" t="n"/>
      <c r="X297" s="54" t="n"/>
      <c r="Y297" s="54" t="n"/>
      <c r="Z297" s="54" t="n"/>
    </row>
    <row r="298" ht="15.75" customHeight="1" s="57">
      <c r="A298" s="54" t="n"/>
      <c r="B298" s="54" t="n"/>
      <c r="C298" s="54" t="n"/>
      <c r="D298" s="54" t="n"/>
      <c r="E298" s="54" t="n"/>
      <c r="F298" s="54" t="n"/>
      <c r="G298" s="54" t="n"/>
      <c r="H298" s="54" t="n"/>
      <c r="I298" s="54" t="n"/>
      <c r="J298" s="54" t="n"/>
      <c r="K298" s="54" t="n"/>
      <c r="L298" s="54" t="n"/>
      <c r="M298" s="54" t="n"/>
      <c r="N298" s="54" t="n"/>
      <c r="O298" s="54" t="n"/>
      <c r="P298" s="54" t="n"/>
      <c r="Q298" s="54" t="n"/>
      <c r="R298" s="54" t="n"/>
      <c r="S298" s="54" t="n"/>
      <c r="T298" s="54" t="n"/>
      <c r="U298" s="54" t="n"/>
      <c r="V298" s="54" t="n"/>
      <c r="W298" s="54" t="n"/>
      <c r="X298" s="54" t="n"/>
      <c r="Y298" s="54" t="n"/>
      <c r="Z298" s="54" t="n"/>
    </row>
    <row r="299" ht="15.75" customHeight="1" s="57">
      <c r="A299" s="54" t="n"/>
      <c r="B299" s="54" t="n"/>
      <c r="C299" s="54" t="n"/>
      <c r="D299" s="54" t="n"/>
      <c r="E299" s="54" t="n"/>
      <c r="F299" s="54" t="n"/>
      <c r="G299" s="54" t="n"/>
      <c r="H299" s="54" t="n"/>
      <c r="I299" s="54" t="n"/>
      <c r="J299" s="54" t="n"/>
      <c r="K299" s="54" t="n"/>
      <c r="L299" s="54" t="n"/>
      <c r="M299" s="54" t="n"/>
      <c r="N299" s="54" t="n"/>
      <c r="O299" s="54" t="n"/>
      <c r="P299" s="54" t="n"/>
      <c r="Q299" s="54" t="n"/>
      <c r="R299" s="54" t="n"/>
      <c r="S299" s="54" t="n"/>
      <c r="T299" s="54" t="n"/>
      <c r="U299" s="54" t="n"/>
      <c r="V299" s="54" t="n"/>
      <c r="W299" s="54" t="n"/>
      <c r="X299" s="54" t="n"/>
      <c r="Y299" s="54" t="n"/>
      <c r="Z299" s="54" t="n"/>
    </row>
    <row r="300" ht="15.75" customHeight="1" s="57">
      <c r="A300" s="54" t="n"/>
      <c r="B300" s="54" t="n"/>
      <c r="C300" s="54" t="n"/>
      <c r="D300" s="54" t="n"/>
      <c r="E300" s="54" t="n"/>
      <c r="F300" s="54" t="n"/>
      <c r="G300" s="54" t="n"/>
      <c r="H300" s="54" t="n"/>
      <c r="I300" s="54" t="n"/>
      <c r="J300" s="54" t="n"/>
      <c r="K300" s="54" t="n"/>
      <c r="L300" s="54" t="n"/>
      <c r="M300" s="54" t="n"/>
      <c r="N300" s="54" t="n"/>
      <c r="O300" s="54" t="n"/>
      <c r="P300" s="54" t="n"/>
      <c r="Q300" s="54" t="n"/>
      <c r="R300" s="54" t="n"/>
      <c r="S300" s="54" t="n"/>
      <c r="T300" s="54" t="n"/>
      <c r="U300" s="54" t="n"/>
      <c r="V300" s="54" t="n"/>
      <c r="W300" s="54" t="n"/>
      <c r="X300" s="54" t="n"/>
      <c r="Y300" s="54" t="n"/>
      <c r="Z300" s="54" t="n"/>
    </row>
    <row r="301" ht="15.75" customHeight="1" s="57">
      <c r="A301" s="54" t="n"/>
      <c r="B301" s="54" t="n"/>
      <c r="C301" s="54" t="n"/>
      <c r="D301" s="54" t="n"/>
      <c r="E301" s="54" t="n"/>
      <c r="F301" s="54" t="n"/>
      <c r="G301" s="54" t="n"/>
      <c r="H301" s="54" t="n"/>
      <c r="I301" s="54" t="n"/>
      <c r="J301" s="54" t="n"/>
      <c r="K301" s="54" t="n"/>
      <c r="L301" s="54" t="n"/>
      <c r="M301" s="54" t="n"/>
      <c r="N301" s="54" t="n"/>
      <c r="O301" s="54" t="n"/>
      <c r="P301" s="54" t="n"/>
      <c r="Q301" s="54" t="n"/>
      <c r="R301" s="54" t="n"/>
      <c r="S301" s="54" t="n"/>
      <c r="T301" s="54" t="n"/>
      <c r="U301" s="54" t="n"/>
      <c r="V301" s="54" t="n"/>
      <c r="W301" s="54" t="n"/>
      <c r="X301" s="54" t="n"/>
      <c r="Y301" s="54" t="n"/>
      <c r="Z301" s="54" t="n"/>
    </row>
    <row r="302" ht="15.75" customHeight="1" s="57">
      <c r="A302" s="54" t="n"/>
      <c r="B302" s="54" t="n"/>
      <c r="C302" s="54" t="n"/>
      <c r="D302" s="54" t="n"/>
      <c r="E302" s="54" t="n"/>
      <c r="F302" s="54" t="n"/>
      <c r="G302" s="54" t="n"/>
      <c r="H302" s="54" t="n"/>
      <c r="I302" s="54" t="n"/>
      <c r="J302" s="54" t="n"/>
      <c r="K302" s="54" t="n"/>
      <c r="L302" s="54" t="n"/>
      <c r="M302" s="54" t="n"/>
      <c r="N302" s="54" t="n"/>
      <c r="O302" s="54" t="n"/>
      <c r="P302" s="54" t="n"/>
      <c r="Q302" s="54" t="n"/>
      <c r="R302" s="54" t="n"/>
      <c r="S302" s="54" t="n"/>
      <c r="T302" s="54" t="n"/>
      <c r="U302" s="54" t="n"/>
      <c r="V302" s="54" t="n"/>
      <c r="W302" s="54" t="n"/>
      <c r="X302" s="54" t="n"/>
      <c r="Y302" s="54" t="n"/>
      <c r="Z302" s="54" t="n"/>
    </row>
    <row r="303" ht="15.75" customHeight="1" s="57">
      <c r="A303" s="54" t="n"/>
      <c r="B303" s="54" t="n"/>
      <c r="C303" s="54" t="n"/>
      <c r="D303" s="54" t="n"/>
      <c r="E303" s="54" t="n"/>
      <c r="F303" s="54" t="n"/>
      <c r="G303" s="54" t="n"/>
      <c r="H303" s="54" t="n"/>
      <c r="I303" s="54" t="n"/>
      <c r="J303" s="54" t="n"/>
      <c r="K303" s="54" t="n"/>
      <c r="L303" s="54" t="n"/>
      <c r="M303" s="54" t="n"/>
      <c r="N303" s="54" t="n"/>
      <c r="O303" s="54" t="n"/>
      <c r="P303" s="54" t="n"/>
      <c r="Q303" s="54" t="n"/>
      <c r="R303" s="54" t="n"/>
      <c r="S303" s="54" t="n"/>
      <c r="T303" s="54" t="n"/>
      <c r="U303" s="54" t="n"/>
      <c r="V303" s="54" t="n"/>
      <c r="W303" s="54" t="n"/>
      <c r="X303" s="54" t="n"/>
      <c r="Y303" s="54" t="n"/>
      <c r="Z303" s="54" t="n"/>
    </row>
    <row r="304" ht="15.75" customHeight="1" s="57">
      <c r="A304" s="54" t="n"/>
      <c r="B304" s="54" t="n"/>
      <c r="C304" s="54" t="n"/>
      <c r="D304" s="54" t="n"/>
      <c r="E304" s="54" t="n"/>
      <c r="F304" s="54" t="n"/>
      <c r="G304" s="54" t="n"/>
      <c r="H304" s="54" t="n"/>
      <c r="I304" s="54" t="n"/>
      <c r="J304" s="54" t="n"/>
      <c r="K304" s="54" t="n"/>
      <c r="L304" s="54" t="n"/>
      <c r="M304" s="54" t="n"/>
      <c r="N304" s="54" t="n"/>
      <c r="O304" s="54" t="n"/>
      <c r="P304" s="54" t="n"/>
      <c r="Q304" s="54" t="n"/>
      <c r="R304" s="54" t="n"/>
      <c r="S304" s="54" t="n"/>
      <c r="T304" s="54" t="n"/>
      <c r="U304" s="54" t="n"/>
      <c r="V304" s="54" t="n"/>
      <c r="W304" s="54" t="n"/>
      <c r="X304" s="54" t="n"/>
      <c r="Y304" s="54" t="n"/>
      <c r="Z304" s="54" t="n"/>
    </row>
    <row r="305" ht="15.75" customHeight="1" s="57">
      <c r="A305" s="54" t="n"/>
      <c r="B305" s="54" t="n"/>
      <c r="C305" s="54" t="n"/>
      <c r="D305" s="54" t="n"/>
      <c r="E305" s="54" t="n"/>
      <c r="F305" s="54" t="n"/>
      <c r="G305" s="54" t="n"/>
      <c r="H305" s="54" t="n"/>
      <c r="I305" s="54" t="n"/>
      <c r="J305" s="54" t="n"/>
      <c r="K305" s="54" t="n"/>
      <c r="L305" s="54" t="n"/>
      <c r="M305" s="54" t="n"/>
      <c r="N305" s="54" t="n"/>
      <c r="O305" s="54" t="n"/>
      <c r="P305" s="54" t="n"/>
      <c r="Q305" s="54" t="n"/>
      <c r="R305" s="54" t="n"/>
      <c r="S305" s="54" t="n"/>
      <c r="T305" s="54" t="n"/>
      <c r="U305" s="54" t="n"/>
      <c r="V305" s="54" t="n"/>
      <c r="W305" s="54" t="n"/>
      <c r="X305" s="54" t="n"/>
      <c r="Y305" s="54" t="n"/>
      <c r="Z305" s="54" t="n"/>
    </row>
    <row r="306" ht="15.75" customHeight="1" s="57">
      <c r="A306" s="54" t="n"/>
      <c r="B306" s="54" t="n"/>
      <c r="C306" s="54" t="n"/>
      <c r="D306" s="54" t="n"/>
      <c r="E306" s="54" t="n"/>
      <c r="F306" s="54" t="n"/>
      <c r="G306" s="54" t="n"/>
      <c r="H306" s="54" t="n"/>
      <c r="I306" s="54" t="n"/>
      <c r="J306" s="54" t="n"/>
      <c r="K306" s="54" t="n"/>
      <c r="L306" s="54" t="n"/>
      <c r="M306" s="54" t="n"/>
      <c r="N306" s="54" t="n"/>
      <c r="O306" s="54" t="n"/>
      <c r="P306" s="54" t="n"/>
      <c r="Q306" s="54" t="n"/>
      <c r="R306" s="54" t="n"/>
      <c r="S306" s="54" t="n"/>
      <c r="T306" s="54" t="n"/>
      <c r="U306" s="54" t="n"/>
      <c r="V306" s="54" t="n"/>
      <c r="W306" s="54" t="n"/>
      <c r="X306" s="54" t="n"/>
      <c r="Y306" s="54" t="n"/>
      <c r="Z306" s="54" t="n"/>
    </row>
    <row r="307" ht="15.75" customHeight="1" s="57">
      <c r="A307" s="54" t="n"/>
      <c r="B307" s="54" t="n"/>
      <c r="C307" s="54" t="n"/>
      <c r="D307" s="54" t="n"/>
      <c r="E307" s="54" t="n"/>
      <c r="F307" s="54" t="n"/>
      <c r="G307" s="54" t="n"/>
      <c r="H307" s="54" t="n"/>
      <c r="I307" s="54" t="n"/>
      <c r="J307" s="54" t="n"/>
      <c r="K307" s="54" t="n"/>
      <c r="L307" s="54" t="n"/>
      <c r="M307" s="54" t="n"/>
      <c r="N307" s="54" t="n"/>
      <c r="O307" s="54" t="n"/>
      <c r="P307" s="54" t="n"/>
      <c r="Q307" s="54" t="n"/>
      <c r="R307" s="54" t="n"/>
      <c r="S307" s="54" t="n"/>
      <c r="T307" s="54" t="n"/>
      <c r="U307" s="54" t="n"/>
      <c r="V307" s="54" t="n"/>
      <c r="W307" s="54" t="n"/>
      <c r="X307" s="54" t="n"/>
      <c r="Y307" s="54" t="n"/>
      <c r="Z307" s="54" t="n"/>
    </row>
    <row r="308" ht="15.75" customHeight="1" s="57">
      <c r="A308" s="54" t="n"/>
      <c r="B308" s="54" t="n"/>
      <c r="C308" s="54" t="n"/>
      <c r="D308" s="54" t="n"/>
      <c r="E308" s="54" t="n"/>
      <c r="F308" s="54" t="n"/>
      <c r="G308" s="54" t="n"/>
      <c r="H308" s="54" t="n"/>
      <c r="I308" s="54" t="n"/>
      <c r="J308" s="54" t="n"/>
      <c r="K308" s="54" t="n"/>
      <c r="L308" s="54" t="n"/>
      <c r="M308" s="54" t="n"/>
      <c r="N308" s="54" t="n"/>
      <c r="O308" s="54" t="n"/>
      <c r="P308" s="54" t="n"/>
      <c r="Q308" s="54" t="n"/>
      <c r="R308" s="54" t="n"/>
      <c r="S308" s="54" t="n"/>
      <c r="T308" s="54" t="n"/>
      <c r="U308" s="54" t="n"/>
      <c r="V308" s="54" t="n"/>
      <c r="W308" s="54" t="n"/>
      <c r="X308" s="54" t="n"/>
      <c r="Y308" s="54" t="n"/>
      <c r="Z308" s="54" t="n"/>
    </row>
    <row r="309" ht="15.75" customHeight="1" s="57">
      <c r="A309" s="54" t="n"/>
      <c r="B309" s="54" t="n"/>
      <c r="C309" s="54" t="n"/>
      <c r="D309" s="54" t="n"/>
      <c r="E309" s="54" t="n"/>
      <c r="F309" s="54" t="n"/>
      <c r="G309" s="54" t="n"/>
      <c r="H309" s="54" t="n"/>
      <c r="I309" s="54" t="n"/>
      <c r="J309" s="54" t="n"/>
      <c r="K309" s="54" t="n"/>
      <c r="L309" s="54" t="n"/>
      <c r="M309" s="54" t="n"/>
      <c r="N309" s="54" t="n"/>
      <c r="O309" s="54" t="n"/>
      <c r="P309" s="54" t="n"/>
      <c r="Q309" s="54" t="n"/>
      <c r="R309" s="54" t="n"/>
      <c r="S309" s="54" t="n"/>
      <c r="T309" s="54" t="n"/>
      <c r="U309" s="54" t="n"/>
      <c r="V309" s="54" t="n"/>
      <c r="W309" s="54" t="n"/>
      <c r="X309" s="54" t="n"/>
      <c r="Y309" s="54" t="n"/>
      <c r="Z309" s="54" t="n"/>
    </row>
    <row r="310" ht="15.75" customHeight="1" s="57">
      <c r="A310" s="54" t="n"/>
      <c r="B310" s="54" t="n"/>
      <c r="C310" s="54" t="n"/>
      <c r="D310" s="54" t="n"/>
      <c r="E310" s="54" t="n"/>
      <c r="F310" s="54" t="n"/>
      <c r="G310" s="54" t="n"/>
      <c r="H310" s="54" t="n"/>
      <c r="I310" s="54" t="n"/>
      <c r="J310" s="54" t="n"/>
      <c r="K310" s="54" t="n"/>
      <c r="L310" s="54" t="n"/>
      <c r="M310" s="54" t="n"/>
      <c r="N310" s="54" t="n"/>
      <c r="O310" s="54" t="n"/>
      <c r="P310" s="54" t="n"/>
      <c r="Q310" s="54" t="n"/>
      <c r="R310" s="54" t="n"/>
      <c r="S310" s="54" t="n"/>
      <c r="T310" s="54" t="n"/>
      <c r="U310" s="54" t="n"/>
      <c r="V310" s="54" t="n"/>
      <c r="W310" s="54" t="n"/>
      <c r="X310" s="54" t="n"/>
      <c r="Y310" s="54" t="n"/>
      <c r="Z310" s="54" t="n"/>
    </row>
    <row r="311" ht="15.75" customHeight="1" s="57">
      <c r="A311" s="54" t="n"/>
      <c r="B311" s="54" t="n"/>
      <c r="C311" s="54" t="n"/>
      <c r="D311" s="54" t="n"/>
      <c r="E311" s="54" t="n"/>
      <c r="F311" s="54" t="n"/>
      <c r="G311" s="54" t="n"/>
      <c r="H311" s="54" t="n"/>
      <c r="I311" s="54" t="n"/>
      <c r="J311" s="54" t="n"/>
      <c r="K311" s="54" t="n"/>
      <c r="L311" s="54" t="n"/>
      <c r="M311" s="54" t="n"/>
      <c r="N311" s="54" t="n"/>
      <c r="O311" s="54" t="n"/>
      <c r="P311" s="54" t="n"/>
      <c r="Q311" s="54" t="n"/>
      <c r="R311" s="54" t="n"/>
      <c r="S311" s="54" t="n"/>
      <c r="T311" s="54" t="n"/>
      <c r="U311" s="54" t="n"/>
      <c r="V311" s="54" t="n"/>
      <c r="W311" s="54" t="n"/>
      <c r="X311" s="54" t="n"/>
      <c r="Y311" s="54" t="n"/>
      <c r="Z311" s="54" t="n"/>
    </row>
    <row r="312" ht="15.75" customHeight="1" s="57">
      <c r="A312" s="54" t="n"/>
      <c r="B312" s="54" t="n"/>
      <c r="C312" s="54" t="n"/>
      <c r="D312" s="54" t="n"/>
      <c r="E312" s="54" t="n"/>
      <c r="F312" s="54" t="n"/>
      <c r="G312" s="54" t="n"/>
      <c r="H312" s="54" t="n"/>
      <c r="I312" s="54" t="n"/>
      <c r="J312" s="54" t="n"/>
      <c r="K312" s="54" t="n"/>
      <c r="L312" s="54" t="n"/>
      <c r="M312" s="54" t="n"/>
      <c r="N312" s="54" t="n"/>
      <c r="O312" s="54" t="n"/>
      <c r="P312" s="54" t="n"/>
      <c r="Q312" s="54" t="n"/>
      <c r="R312" s="54" t="n"/>
      <c r="S312" s="54" t="n"/>
      <c r="T312" s="54" t="n"/>
      <c r="U312" s="54" t="n"/>
      <c r="V312" s="54" t="n"/>
      <c r="W312" s="54" t="n"/>
      <c r="X312" s="54" t="n"/>
      <c r="Y312" s="54" t="n"/>
      <c r="Z312" s="54" t="n"/>
    </row>
    <row r="313" ht="15.75" customHeight="1" s="57">
      <c r="A313" s="54" t="n"/>
      <c r="B313" s="54" t="n"/>
      <c r="C313" s="54" t="n"/>
      <c r="D313" s="54" t="n"/>
      <c r="E313" s="54" t="n"/>
      <c r="F313" s="54" t="n"/>
      <c r="G313" s="54" t="n"/>
      <c r="H313" s="54" t="n"/>
      <c r="I313" s="54" t="n"/>
      <c r="J313" s="54" t="n"/>
      <c r="K313" s="54" t="n"/>
      <c r="L313" s="54" t="n"/>
      <c r="M313" s="54" t="n"/>
      <c r="N313" s="54" t="n"/>
      <c r="O313" s="54" t="n"/>
      <c r="P313" s="54" t="n"/>
      <c r="Q313" s="54" t="n"/>
      <c r="R313" s="54" t="n"/>
      <c r="S313" s="54" t="n"/>
      <c r="T313" s="54" t="n"/>
      <c r="U313" s="54" t="n"/>
      <c r="V313" s="54" t="n"/>
      <c r="W313" s="54" t="n"/>
      <c r="X313" s="54" t="n"/>
      <c r="Y313" s="54" t="n"/>
      <c r="Z313" s="54" t="n"/>
    </row>
    <row r="314" ht="15.75" customHeight="1" s="57">
      <c r="A314" s="54" t="n"/>
      <c r="B314" s="54" t="n"/>
      <c r="C314" s="54" t="n"/>
      <c r="D314" s="54" t="n"/>
      <c r="E314" s="54" t="n"/>
      <c r="F314" s="54" t="n"/>
      <c r="G314" s="54" t="n"/>
      <c r="H314" s="54" t="n"/>
      <c r="I314" s="54" t="n"/>
      <c r="J314" s="54" t="n"/>
      <c r="K314" s="54" t="n"/>
      <c r="L314" s="54" t="n"/>
      <c r="M314" s="54" t="n"/>
      <c r="N314" s="54" t="n"/>
      <c r="O314" s="54" t="n"/>
      <c r="P314" s="54" t="n"/>
      <c r="Q314" s="54" t="n"/>
      <c r="R314" s="54" t="n"/>
      <c r="S314" s="54" t="n"/>
      <c r="T314" s="54" t="n"/>
      <c r="U314" s="54" t="n"/>
      <c r="V314" s="54" t="n"/>
      <c r="W314" s="54" t="n"/>
      <c r="X314" s="54" t="n"/>
      <c r="Y314" s="54" t="n"/>
      <c r="Z314" s="54" t="n"/>
    </row>
    <row r="315" ht="15.75" customHeight="1" s="57">
      <c r="A315" s="54" t="n"/>
      <c r="B315" s="54" t="n"/>
      <c r="C315" s="54" t="n"/>
      <c r="D315" s="54" t="n"/>
      <c r="E315" s="54" t="n"/>
      <c r="F315" s="54" t="n"/>
      <c r="G315" s="54" t="n"/>
      <c r="H315" s="54" t="n"/>
      <c r="I315" s="54" t="n"/>
      <c r="J315" s="54" t="n"/>
      <c r="K315" s="54" t="n"/>
      <c r="L315" s="54" t="n"/>
      <c r="M315" s="54" t="n"/>
      <c r="N315" s="54" t="n"/>
      <c r="O315" s="54" t="n"/>
      <c r="P315" s="54" t="n"/>
      <c r="Q315" s="54" t="n"/>
      <c r="R315" s="54" t="n"/>
      <c r="S315" s="54" t="n"/>
      <c r="T315" s="54" t="n"/>
      <c r="U315" s="54" t="n"/>
      <c r="V315" s="54" t="n"/>
      <c r="W315" s="54" t="n"/>
      <c r="X315" s="54" t="n"/>
      <c r="Y315" s="54" t="n"/>
      <c r="Z315" s="54" t="n"/>
    </row>
    <row r="316" ht="15.75" customHeight="1" s="57">
      <c r="A316" s="54" t="n"/>
      <c r="B316" s="54" t="n"/>
      <c r="C316" s="54" t="n"/>
      <c r="D316" s="54" t="n"/>
      <c r="E316" s="54" t="n"/>
      <c r="F316" s="54" t="n"/>
      <c r="G316" s="54" t="n"/>
      <c r="H316" s="54" t="n"/>
      <c r="I316" s="54" t="n"/>
      <c r="J316" s="54" t="n"/>
      <c r="K316" s="54" t="n"/>
      <c r="L316" s="54" t="n"/>
      <c r="M316" s="54" t="n"/>
      <c r="N316" s="54" t="n"/>
      <c r="O316" s="54" t="n"/>
      <c r="P316" s="54" t="n"/>
      <c r="Q316" s="54" t="n"/>
      <c r="R316" s="54" t="n"/>
      <c r="S316" s="54" t="n"/>
      <c r="T316" s="54" t="n"/>
      <c r="U316" s="54" t="n"/>
      <c r="V316" s="54" t="n"/>
      <c r="W316" s="54" t="n"/>
      <c r="X316" s="54" t="n"/>
      <c r="Y316" s="54" t="n"/>
      <c r="Z316" s="54" t="n"/>
    </row>
    <row r="317" ht="15.75" customHeight="1" s="57">
      <c r="A317" s="54" t="n"/>
      <c r="B317" s="54" t="n"/>
      <c r="C317" s="54" t="n"/>
      <c r="D317" s="54" t="n"/>
      <c r="E317" s="54" t="n"/>
      <c r="F317" s="54" t="n"/>
      <c r="G317" s="54" t="n"/>
      <c r="H317" s="54" t="n"/>
      <c r="I317" s="54" t="n"/>
      <c r="J317" s="54" t="n"/>
      <c r="K317" s="54" t="n"/>
      <c r="L317" s="54" t="n"/>
      <c r="M317" s="54" t="n"/>
      <c r="N317" s="54" t="n"/>
      <c r="O317" s="54" t="n"/>
      <c r="P317" s="54" t="n"/>
      <c r="Q317" s="54" t="n"/>
      <c r="R317" s="54" t="n"/>
      <c r="S317" s="54" t="n"/>
      <c r="T317" s="54" t="n"/>
      <c r="U317" s="54" t="n"/>
      <c r="V317" s="54" t="n"/>
      <c r="W317" s="54" t="n"/>
      <c r="X317" s="54" t="n"/>
      <c r="Y317" s="54" t="n"/>
      <c r="Z317" s="54" t="n"/>
    </row>
    <row r="318" ht="15.75" customHeight="1" s="57">
      <c r="A318" s="54" t="n"/>
      <c r="B318" s="54" t="n"/>
      <c r="C318" s="54" t="n"/>
      <c r="D318" s="54" t="n"/>
      <c r="E318" s="54" t="n"/>
      <c r="F318" s="54" t="n"/>
      <c r="G318" s="54" t="n"/>
      <c r="H318" s="54" t="n"/>
      <c r="I318" s="54" t="n"/>
      <c r="J318" s="54" t="n"/>
      <c r="K318" s="54" t="n"/>
      <c r="L318" s="54" t="n"/>
      <c r="M318" s="54" t="n"/>
      <c r="N318" s="54" t="n"/>
      <c r="O318" s="54" t="n"/>
      <c r="P318" s="54" t="n"/>
      <c r="Q318" s="54" t="n"/>
      <c r="R318" s="54" t="n"/>
      <c r="S318" s="54" t="n"/>
      <c r="T318" s="54" t="n"/>
      <c r="U318" s="54" t="n"/>
      <c r="V318" s="54" t="n"/>
      <c r="W318" s="54" t="n"/>
      <c r="X318" s="54" t="n"/>
      <c r="Y318" s="54" t="n"/>
      <c r="Z318" s="54" t="n"/>
    </row>
    <row r="319" ht="15.75" customHeight="1" s="57">
      <c r="A319" s="54" t="n"/>
      <c r="B319" s="54" t="n"/>
      <c r="C319" s="54" t="n"/>
      <c r="D319" s="54" t="n"/>
      <c r="E319" s="54" t="n"/>
      <c r="F319" s="54" t="n"/>
      <c r="G319" s="54" t="n"/>
      <c r="H319" s="54" t="n"/>
      <c r="I319" s="54" t="n"/>
      <c r="J319" s="54" t="n"/>
      <c r="K319" s="54" t="n"/>
      <c r="L319" s="54" t="n"/>
      <c r="M319" s="54" t="n"/>
      <c r="N319" s="54" t="n"/>
      <c r="O319" s="54" t="n"/>
      <c r="P319" s="54" t="n"/>
      <c r="Q319" s="54" t="n"/>
      <c r="R319" s="54" t="n"/>
      <c r="S319" s="54" t="n"/>
      <c r="T319" s="54" t="n"/>
      <c r="U319" s="54" t="n"/>
      <c r="V319" s="54" t="n"/>
      <c r="W319" s="54" t="n"/>
      <c r="X319" s="54" t="n"/>
      <c r="Y319" s="54" t="n"/>
      <c r="Z319" s="54" t="n"/>
    </row>
    <row r="320" ht="15.75" customHeight="1" s="57">
      <c r="A320" s="54" t="n"/>
      <c r="B320" s="54" t="n"/>
      <c r="C320" s="54" t="n"/>
      <c r="D320" s="54" t="n"/>
      <c r="E320" s="54" t="n"/>
      <c r="F320" s="54" t="n"/>
      <c r="G320" s="54" t="n"/>
      <c r="H320" s="54" t="n"/>
      <c r="I320" s="54" t="n"/>
      <c r="J320" s="54" t="n"/>
      <c r="K320" s="54" t="n"/>
      <c r="L320" s="54" t="n"/>
      <c r="M320" s="54" t="n"/>
      <c r="N320" s="54" t="n"/>
      <c r="O320" s="54" t="n"/>
      <c r="P320" s="54" t="n"/>
      <c r="Q320" s="54" t="n"/>
      <c r="R320" s="54" t="n"/>
      <c r="S320" s="54" t="n"/>
      <c r="T320" s="54" t="n"/>
      <c r="U320" s="54" t="n"/>
      <c r="V320" s="54" t="n"/>
      <c r="W320" s="54" t="n"/>
      <c r="X320" s="54" t="n"/>
      <c r="Y320" s="54" t="n"/>
      <c r="Z320" s="54" t="n"/>
    </row>
    <row r="321" ht="15.75" customHeight="1" s="57">
      <c r="A321" s="54" t="n"/>
      <c r="B321" s="54" t="n"/>
      <c r="C321" s="54" t="n"/>
      <c r="D321" s="54" t="n"/>
      <c r="E321" s="54" t="n"/>
      <c r="F321" s="54" t="n"/>
      <c r="G321" s="54" t="n"/>
      <c r="H321" s="54" t="n"/>
      <c r="I321" s="54" t="n"/>
      <c r="J321" s="54" t="n"/>
      <c r="K321" s="54" t="n"/>
      <c r="L321" s="54" t="n"/>
      <c r="M321" s="54" t="n"/>
      <c r="N321" s="54" t="n"/>
      <c r="O321" s="54" t="n"/>
      <c r="P321" s="54" t="n"/>
      <c r="Q321" s="54" t="n"/>
      <c r="R321" s="54" t="n"/>
      <c r="S321" s="54" t="n"/>
      <c r="T321" s="54" t="n"/>
      <c r="U321" s="54" t="n"/>
      <c r="V321" s="54" t="n"/>
      <c r="W321" s="54" t="n"/>
      <c r="X321" s="54" t="n"/>
      <c r="Y321" s="54" t="n"/>
      <c r="Z321" s="54" t="n"/>
    </row>
    <row r="322" ht="15.75" customHeight="1" s="57">
      <c r="A322" s="54" t="n"/>
      <c r="B322" s="54" t="n"/>
      <c r="C322" s="54" t="n"/>
      <c r="D322" s="54" t="n"/>
      <c r="E322" s="54" t="n"/>
      <c r="F322" s="54" t="n"/>
      <c r="G322" s="54" t="n"/>
      <c r="H322" s="54" t="n"/>
      <c r="I322" s="54" t="n"/>
      <c r="J322" s="54" t="n"/>
      <c r="K322" s="54" t="n"/>
      <c r="L322" s="54" t="n"/>
      <c r="M322" s="54" t="n"/>
      <c r="N322" s="54" t="n"/>
      <c r="O322" s="54" t="n"/>
      <c r="P322" s="54" t="n"/>
      <c r="Q322" s="54" t="n"/>
      <c r="R322" s="54" t="n"/>
      <c r="S322" s="54" t="n"/>
      <c r="T322" s="54" t="n"/>
      <c r="U322" s="54" t="n"/>
      <c r="V322" s="54" t="n"/>
      <c r="W322" s="54" t="n"/>
      <c r="X322" s="54" t="n"/>
      <c r="Y322" s="54" t="n"/>
      <c r="Z322" s="54" t="n"/>
    </row>
    <row r="323" ht="15.75" customHeight="1" s="57">
      <c r="A323" s="54" t="n"/>
      <c r="B323" s="54" t="n"/>
      <c r="C323" s="54" t="n"/>
      <c r="D323" s="54" t="n"/>
      <c r="E323" s="54" t="n"/>
      <c r="F323" s="54" t="n"/>
      <c r="G323" s="54" t="n"/>
      <c r="H323" s="54" t="n"/>
      <c r="I323" s="54" t="n"/>
      <c r="J323" s="54" t="n"/>
      <c r="K323" s="54" t="n"/>
      <c r="L323" s="54" t="n"/>
      <c r="M323" s="54" t="n"/>
      <c r="N323" s="54" t="n"/>
      <c r="O323" s="54" t="n"/>
      <c r="P323" s="54" t="n"/>
      <c r="Q323" s="54" t="n"/>
      <c r="R323" s="54" t="n"/>
      <c r="S323" s="54" t="n"/>
      <c r="T323" s="54" t="n"/>
      <c r="U323" s="54" t="n"/>
      <c r="V323" s="54" t="n"/>
      <c r="W323" s="54" t="n"/>
      <c r="X323" s="54" t="n"/>
      <c r="Y323" s="54" t="n"/>
      <c r="Z323" s="54" t="n"/>
    </row>
    <row r="324" ht="15.75" customHeight="1" s="57">
      <c r="A324" s="54" t="n"/>
      <c r="B324" s="54" t="n"/>
      <c r="C324" s="54" t="n"/>
      <c r="D324" s="54" t="n"/>
      <c r="E324" s="54" t="n"/>
      <c r="F324" s="54" t="n"/>
      <c r="G324" s="54" t="n"/>
      <c r="H324" s="54" t="n"/>
      <c r="I324" s="54" t="n"/>
      <c r="J324" s="54" t="n"/>
      <c r="K324" s="54" t="n"/>
      <c r="L324" s="54" t="n"/>
      <c r="M324" s="54" t="n"/>
      <c r="N324" s="54" t="n"/>
      <c r="O324" s="54" t="n"/>
      <c r="P324" s="54" t="n"/>
      <c r="Q324" s="54" t="n"/>
      <c r="R324" s="54" t="n"/>
      <c r="S324" s="54" t="n"/>
      <c r="T324" s="54" t="n"/>
      <c r="U324" s="54" t="n"/>
      <c r="V324" s="54" t="n"/>
      <c r="W324" s="54" t="n"/>
      <c r="X324" s="54" t="n"/>
      <c r="Y324" s="54" t="n"/>
      <c r="Z324" s="54" t="n"/>
    </row>
    <row r="325" ht="15.75" customHeight="1" s="57">
      <c r="A325" s="54" t="n"/>
      <c r="B325" s="54" t="n"/>
      <c r="C325" s="54" t="n"/>
      <c r="D325" s="54" t="n"/>
      <c r="E325" s="54" t="n"/>
      <c r="F325" s="54" t="n"/>
      <c r="G325" s="54" t="n"/>
      <c r="H325" s="54" t="n"/>
      <c r="I325" s="54" t="n"/>
      <c r="J325" s="54" t="n"/>
      <c r="K325" s="54" t="n"/>
      <c r="L325" s="54" t="n"/>
      <c r="M325" s="54" t="n"/>
      <c r="N325" s="54" t="n"/>
      <c r="O325" s="54" t="n"/>
      <c r="P325" s="54" t="n"/>
      <c r="Q325" s="54" t="n"/>
      <c r="R325" s="54" t="n"/>
      <c r="S325" s="54" t="n"/>
      <c r="T325" s="54" t="n"/>
      <c r="U325" s="54" t="n"/>
      <c r="V325" s="54" t="n"/>
      <c r="W325" s="54" t="n"/>
      <c r="X325" s="54" t="n"/>
      <c r="Y325" s="54" t="n"/>
      <c r="Z325" s="54" t="n"/>
    </row>
    <row r="326" ht="15.75" customHeight="1" s="57">
      <c r="A326" s="54" t="n"/>
      <c r="B326" s="54" t="n"/>
      <c r="C326" s="54" t="n"/>
      <c r="D326" s="54" t="n"/>
      <c r="E326" s="54" t="n"/>
      <c r="F326" s="54" t="n"/>
      <c r="G326" s="54" t="n"/>
      <c r="H326" s="54" t="n"/>
      <c r="I326" s="54" t="n"/>
      <c r="J326" s="54" t="n"/>
      <c r="K326" s="54" t="n"/>
      <c r="L326" s="54" t="n"/>
      <c r="M326" s="54" t="n"/>
      <c r="N326" s="54" t="n"/>
      <c r="O326" s="54" t="n"/>
      <c r="P326" s="54" t="n"/>
      <c r="Q326" s="54" t="n"/>
      <c r="R326" s="54" t="n"/>
      <c r="S326" s="54" t="n"/>
      <c r="T326" s="54" t="n"/>
      <c r="U326" s="54" t="n"/>
      <c r="V326" s="54" t="n"/>
      <c r="W326" s="54" t="n"/>
      <c r="X326" s="54" t="n"/>
      <c r="Y326" s="54" t="n"/>
      <c r="Z326" s="54" t="n"/>
    </row>
    <row r="327" ht="15.75" customHeight="1" s="57">
      <c r="A327" s="54" t="n"/>
      <c r="B327" s="54" t="n"/>
      <c r="C327" s="54" t="n"/>
      <c r="D327" s="54" t="n"/>
      <c r="E327" s="54" t="n"/>
      <c r="F327" s="54" t="n"/>
      <c r="G327" s="54" t="n"/>
      <c r="H327" s="54" t="n"/>
      <c r="I327" s="54" t="n"/>
      <c r="J327" s="54" t="n"/>
      <c r="K327" s="54" t="n"/>
      <c r="L327" s="54" t="n"/>
      <c r="M327" s="54" t="n"/>
      <c r="N327" s="54" t="n"/>
      <c r="O327" s="54" t="n"/>
      <c r="P327" s="54" t="n"/>
      <c r="Q327" s="54" t="n"/>
      <c r="R327" s="54" t="n"/>
      <c r="S327" s="54" t="n"/>
      <c r="T327" s="54" t="n"/>
      <c r="U327" s="54" t="n"/>
      <c r="V327" s="54" t="n"/>
      <c r="W327" s="54" t="n"/>
      <c r="X327" s="54" t="n"/>
      <c r="Y327" s="54" t="n"/>
      <c r="Z327" s="54" t="n"/>
    </row>
    <row r="328" ht="15.75" customHeight="1" s="57">
      <c r="A328" s="54" t="n"/>
      <c r="B328" s="54" t="n"/>
      <c r="C328" s="54" t="n"/>
      <c r="D328" s="54" t="n"/>
      <c r="E328" s="54" t="n"/>
      <c r="F328" s="54" t="n"/>
      <c r="G328" s="54" t="n"/>
      <c r="H328" s="54" t="n"/>
      <c r="I328" s="54" t="n"/>
      <c r="J328" s="54" t="n"/>
      <c r="K328" s="54" t="n"/>
      <c r="L328" s="54" t="n"/>
      <c r="M328" s="54" t="n"/>
      <c r="N328" s="54" t="n"/>
      <c r="O328" s="54" t="n"/>
      <c r="P328" s="54" t="n"/>
      <c r="Q328" s="54" t="n"/>
      <c r="R328" s="54" t="n"/>
      <c r="S328" s="54" t="n"/>
      <c r="T328" s="54" t="n"/>
      <c r="U328" s="54" t="n"/>
      <c r="V328" s="54" t="n"/>
      <c r="W328" s="54" t="n"/>
      <c r="X328" s="54" t="n"/>
      <c r="Y328" s="54" t="n"/>
      <c r="Z328" s="54" t="n"/>
    </row>
    <row r="329" ht="15.75" customHeight="1" s="57">
      <c r="A329" s="54" t="n"/>
      <c r="B329" s="54" t="n"/>
      <c r="C329" s="54" t="n"/>
      <c r="D329" s="54" t="n"/>
      <c r="E329" s="54" t="n"/>
      <c r="F329" s="54" t="n"/>
      <c r="G329" s="54" t="n"/>
      <c r="H329" s="54" t="n"/>
      <c r="I329" s="54" t="n"/>
      <c r="J329" s="54" t="n"/>
      <c r="K329" s="54" t="n"/>
      <c r="L329" s="54" t="n"/>
      <c r="M329" s="54" t="n"/>
      <c r="N329" s="54" t="n"/>
      <c r="O329" s="54" t="n"/>
      <c r="P329" s="54" t="n"/>
      <c r="Q329" s="54" t="n"/>
      <c r="R329" s="54" t="n"/>
      <c r="S329" s="54" t="n"/>
      <c r="T329" s="54" t="n"/>
      <c r="U329" s="54" t="n"/>
      <c r="V329" s="54" t="n"/>
      <c r="W329" s="54" t="n"/>
      <c r="X329" s="54" t="n"/>
      <c r="Y329" s="54" t="n"/>
      <c r="Z329" s="54" t="n"/>
    </row>
    <row r="330" ht="15.75" customHeight="1" s="57">
      <c r="A330" s="54" t="n"/>
      <c r="B330" s="54" t="n"/>
      <c r="C330" s="54" t="n"/>
      <c r="D330" s="54" t="n"/>
      <c r="E330" s="54" t="n"/>
      <c r="F330" s="54" t="n"/>
      <c r="G330" s="54" t="n"/>
      <c r="H330" s="54" t="n"/>
      <c r="I330" s="54" t="n"/>
      <c r="J330" s="54" t="n"/>
      <c r="K330" s="54" t="n"/>
      <c r="L330" s="54" t="n"/>
      <c r="M330" s="54" t="n"/>
      <c r="N330" s="54" t="n"/>
      <c r="O330" s="54" t="n"/>
      <c r="P330" s="54" t="n"/>
      <c r="Q330" s="54" t="n"/>
      <c r="R330" s="54" t="n"/>
      <c r="S330" s="54" t="n"/>
      <c r="T330" s="54" t="n"/>
      <c r="U330" s="54" t="n"/>
      <c r="V330" s="54" t="n"/>
      <c r="W330" s="54" t="n"/>
      <c r="X330" s="54" t="n"/>
      <c r="Y330" s="54" t="n"/>
      <c r="Z330" s="54" t="n"/>
    </row>
    <row r="331" ht="15.75" customHeight="1" s="57">
      <c r="A331" s="54" t="n"/>
      <c r="B331" s="54" t="n"/>
      <c r="C331" s="54" t="n"/>
      <c r="D331" s="54" t="n"/>
      <c r="E331" s="54" t="n"/>
      <c r="F331" s="54" t="n"/>
      <c r="G331" s="54" t="n"/>
      <c r="H331" s="54" t="n"/>
      <c r="I331" s="54" t="n"/>
      <c r="J331" s="54" t="n"/>
      <c r="K331" s="54" t="n"/>
      <c r="L331" s="54" t="n"/>
      <c r="M331" s="54" t="n"/>
      <c r="N331" s="54" t="n"/>
      <c r="O331" s="54" t="n"/>
      <c r="P331" s="54" t="n"/>
      <c r="Q331" s="54" t="n"/>
      <c r="R331" s="54" t="n"/>
      <c r="S331" s="54" t="n"/>
      <c r="T331" s="54" t="n"/>
      <c r="U331" s="54" t="n"/>
      <c r="V331" s="54" t="n"/>
      <c r="W331" s="54" t="n"/>
      <c r="X331" s="54" t="n"/>
      <c r="Y331" s="54" t="n"/>
      <c r="Z331" s="54" t="n"/>
    </row>
    <row r="332" ht="15.75" customHeight="1" s="57">
      <c r="A332" s="54" t="n"/>
      <c r="B332" s="54" t="n"/>
      <c r="C332" s="54" t="n"/>
      <c r="D332" s="54" t="n"/>
      <c r="E332" s="54" t="n"/>
      <c r="F332" s="54" t="n"/>
      <c r="G332" s="54" t="n"/>
      <c r="H332" s="54" t="n"/>
      <c r="I332" s="54" t="n"/>
      <c r="J332" s="54" t="n"/>
      <c r="K332" s="54" t="n"/>
      <c r="L332" s="54" t="n"/>
      <c r="M332" s="54" t="n"/>
      <c r="N332" s="54" t="n"/>
      <c r="O332" s="54" t="n"/>
      <c r="P332" s="54" t="n"/>
      <c r="Q332" s="54" t="n"/>
      <c r="R332" s="54" t="n"/>
      <c r="S332" s="54" t="n"/>
      <c r="T332" s="54" t="n"/>
      <c r="U332" s="54" t="n"/>
      <c r="V332" s="54" t="n"/>
      <c r="W332" s="54" t="n"/>
      <c r="X332" s="54" t="n"/>
      <c r="Y332" s="54" t="n"/>
      <c r="Z332" s="54" t="n"/>
    </row>
    <row r="333" ht="15.75" customHeight="1" s="57">
      <c r="A333" s="54" t="n"/>
      <c r="B333" s="54" t="n"/>
      <c r="C333" s="54" t="n"/>
      <c r="D333" s="54" t="n"/>
      <c r="E333" s="54" t="n"/>
      <c r="F333" s="54" t="n"/>
      <c r="G333" s="54" t="n"/>
      <c r="H333" s="54" t="n"/>
      <c r="I333" s="54" t="n"/>
      <c r="J333" s="54" t="n"/>
      <c r="K333" s="54" t="n"/>
      <c r="L333" s="54" t="n"/>
      <c r="M333" s="54" t="n"/>
      <c r="N333" s="54" t="n"/>
      <c r="O333" s="54" t="n"/>
      <c r="P333" s="54" t="n"/>
      <c r="Q333" s="54" t="n"/>
      <c r="R333" s="54" t="n"/>
      <c r="S333" s="54" t="n"/>
      <c r="T333" s="54" t="n"/>
      <c r="U333" s="54" t="n"/>
      <c r="V333" s="54" t="n"/>
      <c r="W333" s="54" t="n"/>
      <c r="X333" s="54" t="n"/>
      <c r="Y333" s="54" t="n"/>
      <c r="Z333" s="54" t="n"/>
    </row>
    <row r="334" ht="15.75" customHeight="1" s="57">
      <c r="A334" s="54" t="n"/>
      <c r="B334" s="54" t="n"/>
      <c r="C334" s="54" t="n"/>
      <c r="D334" s="54" t="n"/>
      <c r="E334" s="54" t="n"/>
      <c r="F334" s="54" t="n"/>
      <c r="G334" s="54" t="n"/>
      <c r="H334" s="54" t="n"/>
      <c r="I334" s="54" t="n"/>
      <c r="J334" s="54" t="n"/>
      <c r="K334" s="54" t="n"/>
      <c r="L334" s="54" t="n"/>
      <c r="M334" s="54" t="n"/>
      <c r="N334" s="54" t="n"/>
      <c r="O334" s="54" t="n"/>
      <c r="P334" s="54" t="n"/>
      <c r="Q334" s="54" t="n"/>
      <c r="R334" s="54" t="n"/>
      <c r="S334" s="54" t="n"/>
      <c r="T334" s="54" t="n"/>
      <c r="U334" s="54" t="n"/>
      <c r="V334" s="54" t="n"/>
      <c r="W334" s="54" t="n"/>
      <c r="X334" s="54" t="n"/>
      <c r="Y334" s="54" t="n"/>
      <c r="Z334" s="54" t="n"/>
    </row>
    <row r="335" ht="15.75" customHeight="1" s="57">
      <c r="A335" s="54" t="n"/>
      <c r="B335" s="54" t="n"/>
      <c r="C335" s="54" t="n"/>
      <c r="D335" s="54" t="n"/>
      <c r="E335" s="54" t="n"/>
      <c r="F335" s="54" t="n"/>
      <c r="G335" s="54" t="n"/>
      <c r="H335" s="54" t="n"/>
      <c r="I335" s="54" t="n"/>
      <c r="J335" s="54" t="n"/>
      <c r="K335" s="54" t="n"/>
      <c r="L335" s="54" t="n"/>
      <c r="M335" s="54" t="n"/>
      <c r="N335" s="54" t="n"/>
      <c r="O335" s="54" t="n"/>
      <c r="P335" s="54" t="n"/>
      <c r="Q335" s="54" t="n"/>
      <c r="R335" s="54" t="n"/>
      <c r="S335" s="54" t="n"/>
      <c r="T335" s="54" t="n"/>
      <c r="U335" s="54" t="n"/>
      <c r="V335" s="54" t="n"/>
      <c r="W335" s="54" t="n"/>
      <c r="X335" s="54" t="n"/>
      <c r="Y335" s="54" t="n"/>
      <c r="Z335" s="54" t="n"/>
    </row>
    <row r="336" ht="15.75" customHeight="1" s="57">
      <c r="A336" s="54" t="n"/>
      <c r="B336" s="54" t="n"/>
      <c r="C336" s="54" t="n"/>
      <c r="D336" s="54" t="n"/>
      <c r="E336" s="54" t="n"/>
      <c r="F336" s="54" t="n"/>
      <c r="G336" s="54" t="n"/>
      <c r="H336" s="54" t="n"/>
      <c r="I336" s="54" t="n"/>
      <c r="J336" s="54" t="n"/>
      <c r="K336" s="54" t="n"/>
      <c r="L336" s="54" t="n"/>
      <c r="M336" s="54" t="n"/>
      <c r="N336" s="54" t="n"/>
      <c r="O336" s="54" t="n"/>
      <c r="P336" s="54" t="n"/>
      <c r="Q336" s="54" t="n"/>
      <c r="R336" s="54" t="n"/>
      <c r="S336" s="54" t="n"/>
      <c r="T336" s="54" t="n"/>
      <c r="U336" s="54" t="n"/>
      <c r="V336" s="54" t="n"/>
      <c r="W336" s="54" t="n"/>
      <c r="X336" s="54" t="n"/>
      <c r="Y336" s="54" t="n"/>
      <c r="Z336" s="54" t="n"/>
    </row>
    <row r="337" ht="15.75" customHeight="1" s="57">
      <c r="A337" s="54" t="n"/>
      <c r="B337" s="54" t="n"/>
      <c r="C337" s="54" t="n"/>
      <c r="D337" s="54" t="n"/>
      <c r="E337" s="54" t="n"/>
      <c r="F337" s="54" t="n"/>
      <c r="G337" s="54" t="n"/>
      <c r="H337" s="54" t="n"/>
      <c r="I337" s="54" t="n"/>
      <c r="J337" s="54" t="n"/>
      <c r="K337" s="54" t="n"/>
      <c r="L337" s="54" t="n"/>
      <c r="M337" s="54" t="n"/>
      <c r="N337" s="54" t="n"/>
      <c r="O337" s="54" t="n"/>
      <c r="P337" s="54" t="n"/>
      <c r="Q337" s="54" t="n"/>
      <c r="R337" s="54" t="n"/>
      <c r="S337" s="54" t="n"/>
      <c r="T337" s="54" t="n"/>
      <c r="U337" s="54" t="n"/>
      <c r="V337" s="54" t="n"/>
      <c r="W337" s="54" t="n"/>
      <c r="X337" s="54" t="n"/>
      <c r="Y337" s="54" t="n"/>
      <c r="Z337" s="54" t="n"/>
    </row>
    <row r="338" ht="15.75" customHeight="1" s="57">
      <c r="A338" s="54" t="n"/>
      <c r="B338" s="54" t="n"/>
      <c r="C338" s="54" t="n"/>
      <c r="D338" s="54" t="n"/>
      <c r="E338" s="54" t="n"/>
      <c r="F338" s="54" t="n"/>
      <c r="G338" s="54" t="n"/>
      <c r="H338" s="54" t="n"/>
      <c r="I338" s="54" t="n"/>
      <c r="J338" s="54" t="n"/>
      <c r="K338" s="54" t="n"/>
      <c r="L338" s="54" t="n"/>
      <c r="M338" s="54" t="n"/>
      <c r="N338" s="54" t="n"/>
      <c r="O338" s="54" t="n"/>
      <c r="P338" s="54" t="n"/>
      <c r="Q338" s="54" t="n"/>
      <c r="R338" s="54" t="n"/>
      <c r="S338" s="54" t="n"/>
      <c r="T338" s="54" t="n"/>
      <c r="U338" s="54" t="n"/>
      <c r="V338" s="54" t="n"/>
      <c r="W338" s="54" t="n"/>
      <c r="X338" s="54" t="n"/>
      <c r="Y338" s="54" t="n"/>
      <c r="Z338" s="54" t="n"/>
    </row>
    <row r="339" ht="15.75" customHeight="1" s="57">
      <c r="A339" s="54" t="n"/>
      <c r="B339" s="54" t="n"/>
      <c r="C339" s="54" t="n"/>
      <c r="D339" s="54" t="n"/>
      <c r="E339" s="54" t="n"/>
      <c r="F339" s="54" t="n"/>
      <c r="G339" s="54" t="n"/>
      <c r="H339" s="54" t="n"/>
      <c r="I339" s="54" t="n"/>
      <c r="J339" s="54" t="n"/>
      <c r="K339" s="54" t="n"/>
      <c r="L339" s="54" t="n"/>
      <c r="M339" s="54" t="n"/>
      <c r="N339" s="54" t="n"/>
      <c r="O339" s="54" t="n"/>
      <c r="P339" s="54" t="n"/>
      <c r="Q339" s="54" t="n"/>
      <c r="R339" s="54" t="n"/>
      <c r="S339" s="54" t="n"/>
      <c r="T339" s="54" t="n"/>
      <c r="U339" s="54" t="n"/>
      <c r="V339" s="54" t="n"/>
      <c r="W339" s="54" t="n"/>
      <c r="X339" s="54" t="n"/>
      <c r="Y339" s="54" t="n"/>
      <c r="Z339" s="54" t="n"/>
    </row>
    <row r="340" ht="15.75" customHeight="1" s="57">
      <c r="A340" s="54" t="n"/>
      <c r="B340" s="54" t="n"/>
      <c r="C340" s="54" t="n"/>
      <c r="D340" s="54" t="n"/>
      <c r="E340" s="54" t="n"/>
      <c r="F340" s="54" t="n"/>
      <c r="G340" s="54" t="n"/>
      <c r="H340" s="54" t="n"/>
      <c r="I340" s="54" t="n"/>
      <c r="J340" s="54" t="n"/>
      <c r="K340" s="54" t="n"/>
      <c r="L340" s="54" t="n"/>
      <c r="M340" s="54" t="n"/>
      <c r="N340" s="54" t="n"/>
      <c r="O340" s="54" t="n"/>
      <c r="P340" s="54" t="n"/>
      <c r="Q340" s="54" t="n"/>
      <c r="R340" s="54" t="n"/>
      <c r="S340" s="54" t="n"/>
      <c r="T340" s="54" t="n"/>
      <c r="U340" s="54" t="n"/>
      <c r="V340" s="54" t="n"/>
      <c r="W340" s="54" t="n"/>
      <c r="X340" s="54" t="n"/>
      <c r="Y340" s="54" t="n"/>
      <c r="Z340" s="54" t="n"/>
    </row>
    <row r="341" ht="15.75" customHeight="1" s="57">
      <c r="A341" s="54" t="n"/>
      <c r="B341" s="54" t="n"/>
      <c r="C341" s="54" t="n"/>
      <c r="D341" s="54" t="n"/>
      <c r="E341" s="54" t="n"/>
      <c r="F341" s="54" t="n"/>
      <c r="G341" s="54" t="n"/>
      <c r="H341" s="54" t="n"/>
      <c r="I341" s="54" t="n"/>
      <c r="J341" s="54" t="n"/>
      <c r="K341" s="54" t="n"/>
      <c r="L341" s="54" t="n"/>
      <c r="M341" s="54" t="n"/>
      <c r="N341" s="54" t="n"/>
      <c r="O341" s="54" t="n"/>
      <c r="P341" s="54" t="n"/>
      <c r="Q341" s="54" t="n"/>
      <c r="R341" s="54" t="n"/>
      <c r="S341" s="54" t="n"/>
      <c r="T341" s="54" t="n"/>
      <c r="U341" s="54" t="n"/>
      <c r="V341" s="54" t="n"/>
      <c r="W341" s="54" t="n"/>
      <c r="X341" s="54" t="n"/>
      <c r="Y341" s="54" t="n"/>
      <c r="Z341" s="54" t="n"/>
    </row>
    <row r="342" ht="15.75" customHeight="1" s="57">
      <c r="A342" s="54" t="n"/>
      <c r="B342" s="54" t="n"/>
      <c r="C342" s="54" t="n"/>
      <c r="D342" s="54" t="n"/>
      <c r="E342" s="54" t="n"/>
      <c r="F342" s="54" t="n"/>
      <c r="G342" s="54" t="n"/>
      <c r="H342" s="54" t="n"/>
      <c r="I342" s="54" t="n"/>
      <c r="J342" s="54" t="n"/>
      <c r="K342" s="54" t="n"/>
      <c r="L342" s="54" t="n"/>
      <c r="M342" s="54" t="n"/>
      <c r="N342" s="54" t="n"/>
      <c r="O342" s="54" t="n"/>
      <c r="P342" s="54" t="n"/>
      <c r="Q342" s="54" t="n"/>
      <c r="R342" s="54" t="n"/>
      <c r="S342" s="54" t="n"/>
      <c r="T342" s="54" t="n"/>
      <c r="U342" s="54" t="n"/>
      <c r="V342" s="54" t="n"/>
      <c r="W342" s="54" t="n"/>
      <c r="X342" s="54" t="n"/>
      <c r="Y342" s="54" t="n"/>
      <c r="Z342" s="54" t="n"/>
    </row>
    <row r="343" ht="15.75" customHeight="1" s="57">
      <c r="A343" s="54" t="n"/>
      <c r="B343" s="54" t="n"/>
      <c r="C343" s="54" t="n"/>
      <c r="D343" s="54" t="n"/>
      <c r="E343" s="54" t="n"/>
      <c r="F343" s="54" t="n"/>
      <c r="G343" s="54" t="n"/>
      <c r="H343" s="54" t="n"/>
      <c r="I343" s="54" t="n"/>
      <c r="J343" s="54" t="n"/>
      <c r="K343" s="54" t="n"/>
      <c r="L343" s="54" t="n"/>
      <c r="M343" s="54" t="n"/>
      <c r="N343" s="54" t="n"/>
      <c r="O343" s="54" t="n"/>
      <c r="P343" s="54" t="n"/>
      <c r="Q343" s="54" t="n"/>
      <c r="R343" s="54" t="n"/>
      <c r="S343" s="54" t="n"/>
      <c r="T343" s="54" t="n"/>
      <c r="U343" s="54" t="n"/>
      <c r="V343" s="54" t="n"/>
      <c r="W343" s="54" t="n"/>
      <c r="X343" s="54" t="n"/>
      <c r="Y343" s="54" t="n"/>
      <c r="Z343" s="54" t="n"/>
    </row>
    <row r="344" ht="15.75" customHeight="1" s="57">
      <c r="A344" s="54" t="n"/>
      <c r="B344" s="54" t="n"/>
      <c r="C344" s="54" t="n"/>
      <c r="D344" s="54" t="n"/>
      <c r="E344" s="54" t="n"/>
      <c r="F344" s="54" t="n"/>
      <c r="G344" s="54" t="n"/>
      <c r="H344" s="54" t="n"/>
      <c r="I344" s="54" t="n"/>
      <c r="J344" s="54" t="n"/>
      <c r="K344" s="54" t="n"/>
      <c r="L344" s="54" t="n"/>
      <c r="M344" s="54" t="n"/>
      <c r="N344" s="54" t="n"/>
      <c r="O344" s="54" t="n"/>
      <c r="P344" s="54" t="n"/>
      <c r="Q344" s="54" t="n"/>
      <c r="R344" s="54" t="n"/>
      <c r="S344" s="54" t="n"/>
      <c r="T344" s="54" t="n"/>
      <c r="U344" s="54" t="n"/>
      <c r="V344" s="54" t="n"/>
      <c r="W344" s="54" t="n"/>
      <c r="X344" s="54" t="n"/>
      <c r="Y344" s="54" t="n"/>
      <c r="Z344" s="54" t="n"/>
    </row>
    <row r="345" ht="15.75" customHeight="1" s="57">
      <c r="A345" s="54" t="n"/>
      <c r="B345" s="54" t="n"/>
      <c r="C345" s="54" t="n"/>
      <c r="D345" s="54" t="n"/>
      <c r="E345" s="54" t="n"/>
      <c r="F345" s="54" t="n"/>
      <c r="G345" s="54" t="n"/>
      <c r="H345" s="54" t="n"/>
      <c r="I345" s="54" t="n"/>
      <c r="J345" s="54" t="n"/>
      <c r="K345" s="54" t="n"/>
      <c r="L345" s="54" t="n"/>
      <c r="M345" s="54" t="n"/>
      <c r="N345" s="54" t="n"/>
      <c r="O345" s="54" t="n"/>
      <c r="P345" s="54" t="n"/>
      <c r="Q345" s="54" t="n"/>
      <c r="R345" s="54" t="n"/>
      <c r="S345" s="54" t="n"/>
      <c r="T345" s="54" t="n"/>
      <c r="U345" s="54" t="n"/>
      <c r="V345" s="54" t="n"/>
      <c r="W345" s="54" t="n"/>
      <c r="X345" s="54" t="n"/>
      <c r="Y345" s="54" t="n"/>
      <c r="Z345" s="54" t="n"/>
    </row>
    <row r="346" ht="15.75" customHeight="1" s="57">
      <c r="A346" s="54" t="n"/>
      <c r="B346" s="54" t="n"/>
      <c r="C346" s="54" t="n"/>
      <c r="D346" s="54" t="n"/>
      <c r="E346" s="54" t="n"/>
      <c r="F346" s="54" t="n"/>
      <c r="G346" s="54" t="n"/>
      <c r="H346" s="54" t="n"/>
      <c r="I346" s="54" t="n"/>
      <c r="J346" s="54" t="n"/>
      <c r="K346" s="54" t="n"/>
      <c r="L346" s="54" t="n"/>
      <c r="M346" s="54" t="n"/>
      <c r="N346" s="54" t="n"/>
      <c r="O346" s="54" t="n"/>
      <c r="P346" s="54" t="n"/>
      <c r="Q346" s="54" t="n"/>
      <c r="R346" s="54" t="n"/>
      <c r="S346" s="54" t="n"/>
      <c r="T346" s="54" t="n"/>
      <c r="U346" s="54" t="n"/>
      <c r="V346" s="54" t="n"/>
      <c r="W346" s="54" t="n"/>
      <c r="X346" s="54" t="n"/>
      <c r="Y346" s="54" t="n"/>
      <c r="Z346" s="54" t="n"/>
    </row>
    <row r="347" ht="15.75" customHeight="1" s="57">
      <c r="A347" s="54" t="n"/>
      <c r="B347" s="54" t="n"/>
      <c r="C347" s="54" t="n"/>
      <c r="D347" s="54" t="n"/>
      <c r="E347" s="54" t="n"/>
      <c r="F347" s="54" t="n"/>
      <c r="G347" s="54" t="n"/>
      <c r="H347" s="54" t="n"/>
      <c r="I347" s="54" t="n"/>
      <c r="J347" s="54" t="n"/>
      <c r="K347" s="54" t="n"/>
      <c r="L347" s="54" t="n"/>
      <c r="M347" s="54" t="n"/>
      <c r="N347" s="54" t="n"/>
      <c r="O347" s="54" t="n"/>
      <c r="P347" s="54" t="n"/>
      <c r="Q347" s="54" t="n"/>
      <c r="R347" s="54" t="n"/>
      <c r="S347" s="54" t="n"/>
      <c r="T347" s="54" t="n"/>
      <c r="U347" s="54" t="n"/>
      <c r="V347" s="54" t="n"/>
      <c r="W347" s="54" t="n"/>
      <c r="X347" s="54" t="n"/>
      <c r="Y347" s="54" t="n"/>
      <c r="Z347" s="54" t="n"/>
    </row>
    <row r="348" ht="15.75" customHeight="1" s="57">
      <c r="A348" s="54" t="n"/>
      <c r="B348" s="54" t="n"/>
      <c r="C348" s="54" t="n"/>
      <c r="D348" s="54" t="n"/>
      <c r="E348" s="54" t="n"/>
      <c r="F348" s="54" t="n"/>
      <c r="G348" s="54" t="n"/>
      <c r="H348" s="54" t="n"/>
      <c r="I348" s="54" t="n"/>
      <c r="J348" s="54" t="n"/>
      <c r="K348" s="54" t="n"/>
      <c r="L348" s="54" t="n"/>
      <c r="M348" s="54" t="n"/>
      <c r="N348" s="54" t="n"/>
      <c r="O348" s="54" t="n"/>
      <c r="P348" s="54" t="n"/>
      <c r="Q348" s="54" t="n"/>
      <c r="R348" s="54" t="n"/>
      <c r="S348" s="54" t="n"/>
      <c r="T348" s="54" t="n"/>
      <c r="U348" s="54" t="n"/>
      <c r="V348" s="54" t="n"/>
      <c r="W348" s="54" t="n"/>
      <c r="X348" s="54" t="n"/>
      <c r="Y348" s="54" t="n"/>
      <c r="Z348" s="54" t="n"/>
    </row>
    <row r="349" ht="15.75" customHeight="1" s="57">
      <c r="A349" s="54" t="n"/>
      <c r="B349" s="54" t="n"/>
      <c r="C349" s="54" t="n"/>
      <c r="D349" s="54" t="n"/>
      <c r="E349" s="54" t="n"/>
      <c r="F349" s="54" t="n"/>
      <c r="G349" s="54" t="n"/>
      <c r="H349" s="54" t="n"/>
      <c r="I349" s="54" t="n"/>
      <c r="J349" s="54" t="n"/>
      <c r="K349" s="54" t="n"/>
      <c r="L349" s="54" t="n"/>
      <c r="M349" s="54" t="n"/>
      <c r="N349" s="54" t="n"/>
      <c r="O349" s="54" t="n"/>
      <c r="P349" s="54" t="n"/>
      <c r="Q349" s="54" t="n"/>
      <c r="R349" s="54" t="n"/>
      <c r="S349" s="54" t="n"/>
      <c r="T349" s="54" t="n"/>
      <c r="U349" s="54" t="n"/>
      <c r="V349" s="54" t="n"/>
      <c r="W349" s="54" t="n"/>
      <c r="X349" s="54" t="n"/>
      <c r="Y349" s="54" t="n"/>
      <c r="Z349" s="54" t="n"/>
    </row>
    <row r="350" ht="15.75" customHeight="1" s="57">
      <c r="A350" s="54" t="n"/>
      <c r="B350" s="54" t="n"/>
      <c r="C350" s="54" t="n"/>
      <c r="D350" s="54" t="n"/>
      <c r="E350" s="54" t="n"/>
      <c r="F350" s="54" t="n"/>
      <c r="G350" s="54" t="n"/>
      <c r="H350" s="54" t="n"/>
      <c r="I350" s="54" t="n"/>
      <c r="J350" s="54" t="n"/>
      <c r="K350" s="54" t="n"/>
      <c r="L350" s="54" t="n"/>
      <c r="M350" s="54" t="n"/>
      <c r="N350" s="54" t="n"/>
      <c r="O350" s="54" t="n"/>
      <c r="P350" s="54" t="n"/>
      <c r="Q350" s="54" t="n"/>
      <c r="R350" s="54" t="n"/>
      <c r="S350" s="54" t="n"/>
      <c r="T350" s="54" t="n"/>
      <c r="U350" s="54" t="n"/>
      <c r="V350" s="54" t="n"/>
      <c r="W350" s="54" t="n"/>
      <c r="X350" s="54" t="n"/>
      <c r="Y350" s="54" t="n"/>
      <c r="Z350" s="54" t="n"/>
    </row>
    <row r="351" ht="15.75" customHeight="1" s="57">
      <c r="A351" s="54" t="n"/>
      <c r="B351" s="54" t="n"/>
      <c r="C351" s="54" t="n"/>
      <c r="D351" s="54" t="n"/>
      <c r="E351" s="54" t="n"/>
      <c r="F351" s="54" t="n"/>
      <c r="G351" s="54" t="n"/>
      <c r="H351" s="54" t="n"/>
      <c r="I351" s="54" t="n"/>
      <c r="J351" s="54" t="n"/>
      <c r="K351" s="54" t="n"/>
      <c r="L351" s="54" t="n"/>
      <c r="M351" s="54" t="n"/>
      <c r="N351" s="54" t="n"/>
      <c r="O351" s="54" t="n"/>
      <c r="P351" s="54" t="n"/>
      <c r="Q351" s="54" t="n"/>
      <c r="R351" s="54" t="n"/>
      <c r="S351" s="54" t="n"/>
      <c r="T351" s="54" t="n"/>
      <c r="U351" s="54" t="n"/>
      <c r="V351" s="54" t="n"/>
      <c r="W351" s="54" t="n"/>
      <c r="X351" s="54" t="n"/>
      <c r="Y351" s="54" t="n"/>
      <c r="Z351" s="54" t="n"/>
    </row>
    <row r="352" ht="15.75" customHeight="1" s="57">
      <c r="A352" s="54" t="n"/>
      <c r="B352" s="54" t="n"/>
      <c r="C352" s="54" t="n"/>
      <c r="D352" s="54" t="n"/>
      <c r="E352" s="54" t="n"/>
      <c r="F352" s="54" t="n"/>
      <c r="G352" s="54" t="n"/>
      <c r="H352" s="54" t="n"/>
      <c r="I352" s="54" t="n"/>
      <c r="J352" s="54" t="n"/>
      <c r="K352" s="54" t="n"/>
      <c r="L352" s="54" t="n"/>
      <c r="M352" s="54" t="n"/>
      <c r="N352" s="54" t="n"/>
      <c r="O352" s="54" t="n"/>
      <c r="P352" s="54" t="n"/>
      <c r="Q352" s="54" t="n"/>
      <c r="R352" s="54" t="n"/>
      <c r="S352" s="54" t="n"/>
      <c r="T352" s="54" t="n"/>
      <c r="U352" s="54" t="n"/>
      <c r="V352" s="54" t="n"/>
      <c r="W352" s="54" t="n"/>
      <c r="X352" s="54" t="n"/>
      <c r="Y352" s="54" t="n"/>
      <c r="Z352" s="54" t="n"/>
    </row>
    <row r="353" ht="15.75" customHeight="1" s="57">
      <c r="A353" s="54" t="n"/>
      <c r="B353" s="54" t="n"/>
      <c r="C353" s="54" t="n"/>
      <c r="D353" s="54" t="n"/>
      <c r="E353" s="54" t="n"/>
      <c r="F353" s="54" t="n"/>
      <c r="G353" s="54" t="n"/>
      <c r="H353" s="54" t="n"/>
      <c r="I353" s="54" t="n"/>
      <c r="J353" s="54" t="n"/>
      <c r="K353" s="54" t="n"/>
      <c r="L353" s="54" t="n"/>
      <c r="M353" s="54" t="n"/>
      <c r="N353" s="54" t="n"/>
      <c r="O353" s="54" t="n"/>
      <c r="P353" s="54" t="n"/>
      <c r="Q353" s="54" t="n"/>
      <c r="R353" s="54" t="n"/>
      <c r="S353" s="54" t="n"/>
      <c r="T353" s="54" t="n"/>
      <c r="U353" s="54" t="n"/>
      <c r="V353" s="54" t="n"/>
      <c r="W353" s="54" t="n"/>
      <c r="X353" s="54" t="n"/>
      <c r="Y353" s="54" t="n"/>
      <c r="Z353" s="54" t="n"/>
    </row>
    <row r="354" ht="15.75" customHeight="1" s="57">
      <c r="A354" s="54" t="n"/>
      <c r="B354" s="54" t="n"/>
      <c r="C354" s="54" t="n"/>
      <c r="D354" s="54" t="n"/>
      <c r="E354" s="54" t="n"/>
      <c r="F354" s="54" t="n"/>
      <c r="G354" s="54" t="n"/>
      <c r="H354" s="54" t="n"/>
      <c r="I354" s="54" t="n"/>
      <c r="J354" s="54" t="n"/>
      <c r="K354" s="54" t="n"/>
      <c r="L354" s="54" t="n"/>
      <c r="M354" s="54" t="n"/>
      <c r="N354" s="54" t="n"/>
      <c r="O354" s="54" t="n"/>
      <c r="P354" s="54" t="n"/>
      <c r="Q354" s="54" t="n"/>
      <c r="R354" s="54" t="n"/>
      <c r="S354" s="54" t="n"/>
      <c r="T354" s="54" t="n"/>
      <c r="U354" s="54" t="n"/>
      <c r="V354" s="54" t="n"/>
      <c r="W354" s="54" t="n"/>
      <c r="X354" s="54" t="n"/>
      <c r="Y354" s="54" t="n"/>
      <c r="Z354" s="54" t="n"/>
    </row>
    <row r="355" ht="15.75" customHeight="1" s="57">
      <c r="A355" s="54" t="n"/>
      <c r="B355" s="54" t="n"/>
      <c r="C355" s="54" t="n"/>
      <c r="D355" s="54" t="n"/>
      <c r="E355" s="54" t="n"/>
      <c r="F355" s="54" t="n"/>
      <c r="G355" s="54" t="n"/>
      <c r="H355" s="54" t="n"/>
      <c r="I355" s="54" t="n"/>
      <c r="J355" s="54" t="n"/>
      <c r="K355" s="54" t="n"/>
      <c r="L355" s="54" t="n"/>
      <c r="M355" s="54" t="n"/>
      <c r="N355" s="54" t="n"/>
      <c r="O355" s="54" t="n"/>
      <c r="P355" s="54" t="n"/>
      <c r="Q355" s="54" t="n"/>
      <c r="R355" s="54" t="n"/>
      <c r="S355" s="54" t="n"/>
      <c r="T355" s="54" t="n"/>
      <c r="U355" s="54" t="n"/>
      <c r="V355" s="54" t="n"/>
      <c r="W355" s="54" t="n"/>
      <c r="X355" s="54" t="n"/>
      <c r="Y355" s="54" t="n"/>
      <c r="Z355" s="54" t="n"/>
    </row>
    <row r="356" ht="15.75" customHeight="1" s="57">
      <c r="A356" s="54" t="n"/>
      <c r="B356" s="54" t="n"/>
      <c r="C356" s="54" t="n"/>
      <c r="D356" s="54" t="n"/>
      <c r="E356" s="54" t="n"/>
      <c r="F356" s="54" t="n"/>
      <c r="G356" s="54" t="n"/>
      <c r="H356" s="54" t="n"/>
      <c r="I356" s="54" t="n"/>
      <c r="J356" s="54" t="n"/>
      <c r="K356" s="54" t="n"/>
      <c r="L356" s="54" t="n"/>
      <c r="M356" s="54" t="n"/>
      <c r="N356" s="54" t="n"/>
      <c r="O356" s="54" t="n"/>
      <c r="P356" s="54" t="n"/>
      <c r="Q356" s="54" t="n"/>
      <c r="R356" s="54" t="n"/>
      <c r="S356" s="54" t="n"/>
      <c r="T356" s="54" t="n"/>
      <c r="U356" s="54" t="n"/>
      <c r="V356" s="54" t="n"/>
      <c r="W356" s="54" t="n"/>
      <c r="X356" s="54" t="n"/>
      <c r="Y356" s="54" t="n"/>
      <c r="Z356" s="54" t="n"/>
    </row>
    <row r="357" ht="15.75" customHeight="1" s="57">
      <c r="A357" s="54" t="n"/>
      <c r="B357" s="54" t="n"/>
      <c r="C357" s="54" t="n"/>
      <c r="D357" s="54" t="n"/>
      <c r="E357" s="54" t="n"/>
      <c r="F357" s="54" t="n"/>
      <c r="G357" s="54" t="n"/>
      <c r="H357" s="54" t="n"/>
      <c r="I357" s="54" t="n"/>
      <c r="J357" s="54" t="n"/>
      <c r="K357" s="54" t="n"/>
      <c r="L357" s="54" t="n"/>
      <c r="M357" s="54" t="n"/>
      <c r="N357" s="54" t="n"/>
      <c r="O357" s="54" t="n"/>
      <c r="P357" s="54" t="n"/>
      <c r="Q357" s="54" t="n"/>
      <c r="R357" s="54" t="n"/>
      <c r="S357" s="54" t="n"/>
      <c r="T357" s="54" t="n"/>
      <c r="U357" s="54" t="n"/>
      <c r="V357" s="54" t="n"/>
      <c r="W357" s="54" t="n"/>
      <c r="X357" s="54" t="n"/>
      <c r="Y357" s="54" t="n"/>
      <c r="Z357" s="54" t="n"/>
    </row>
    <row r="358" ht="15.75" customHeight="1" s="57">
      <c r="A358" s="54" t="n"/>
      <c r="B358" s="54" t="n"/>
      <c r="C358" s="54" t="n"/>
      <c r="D358" s="54" t="n"/>
      <c r="E358" s="54" t="n"/>
      <c r="F358" s="54" t="n"/>
      <c r="G358" s="54" t="n"/>
      <c r="H358" s="54" t="n"/>
      <c r="I358" s="54" t="n"/>
      <c r="J358" s="54" t="n"/>
      <c r="K358" s="54" t="n"/>
      <c r="L358" s="54" t="n"/>
      <c r="M358" s="54" t="n"/>
      <c r="N358" s="54" t="n"/>
      <c r="O358" s="54" t="n"/>
      <c r="P358" s="54" t="n"/>
      <c r="Q358" s="54" t="n"/>
      <c r="R358" s="54" t="n"/>
      <c r="S358" s="54" t="n"/>
      <c r="T358" s="54" t="n"/>
      <c r="U358" s="54" t="n"/>
      <c r="V358" s="54" t="n"/>
      <c r="W358" s="54" t="n"/>
      <c r="X358" s="54" t="n"/>
      <c r="Y358" s="54" t="n"/>
      <c r="Z358" s="54" t="n"/>
    </row>
    <row r="359" ht="15.75" customHeight="1" s="57">
      <c r="A359" s="54" t="n"/>
      <c r="B359" s="54" t="n"/>
      <c r="C359" s="54" t="n"/>
      <c r="D359" s="54" t="n"/>
      <c r="E359" s="54" t="n"/>
      <c r="F359" s="54" t="n"/>
      <c r="G359" s="54" t="n"/>
      <c r="H359" s="54" t="n"/>
      <c r="I359" s="54" t="n"/>
      <c r="J359" s="54" t="n"/>
      <c r="K359" s="54" t="n"/>
      <c r="L359" s="54" t="n"/>
      <c r="M359" s="54" t="n"/>
      <c r="N359" s="54" t="n"/>
      <c r="O359" s="54" t="n"/>
      <c r="P359" s="54" t="n"/>
      <c r="Q359" s="54" t="n"/>
      <c r="R359" s="54" t="n"/>
      <c r="S359" s="54" t="n"/>
      <c r="T359" s="54" t="n"/>
      <c r="U359" s="54" t="n"/>
      <c r="V359" s="54" t="n"/>
      <c r="W359" s="54" t="n"/>
      <c r="X359" s="54" t="n"/>
      <c r="Y359" s="54" t="n"/>
      <c r="Z359" s="54" t="n"/>
    </row>
    <row r="360" ht="15.75" customHeight="1" s="57">
      <c r="A360" s="54" t="n"/>
      <c r="B360" s="54" t="n"/>
      <c r="C360" s="54" t="n"/>
      <c r="D360" s="54" t="n"/>
      <c r="E360" s="54" t="n"/>
      <c r="F360" s="54" t="n"/>
      <c r="G360" s="54" t="n"/>
      <c r="H360" s="54" t="n"/>
      <c r="I360" s="54" t="n"/>
      <c r="J360" s="54" t="n"/>
      <c r="K360" s="54" t="n"/>
      <c r="L360" s="54" t="n"/>
      <c r="M360" s="54" t="n"/>
      <c r="N360" s="54" t="n"/>
      <c r="O360" s="54" t="n"/>
      <c r="P360" s="54" t="n"/>
      <c r="Q360" s="54" t="n"/>
      <c r="R360" s="54" t="n"/>
      <c r="S360" s="54" t="n"/>
      <c r="T360" s="54" t="n"/>
      <c r="U360" s="54" t="n"/>
      <c r="V360" s="54" t="n"/>
      <c r="W360" s="54" t="n"/>
      <c r="X360" s="54" t="n"/>
      <c r="Y360" s="54" t="n"/>
      <c r="Z360" s="54" t="n"/>
    </row>
    <row r="361" ht="15.75" customHeight="1" s="57">
      <c r="A361" s="54" t="n"/>
      <c r="B361" s="54" t="n"/>
      <c r="C361" s="54" t="n"/>
      <c r="D361" s="54" t="n"/>
      <c r="E361" s="54" t="n"/>
      <c r="F361" s="54" t="n"/>
      <c r="G361" s="54" t="n"/>
      <c r="H361" s="54" t="n"/>
      <c r="I361" s="54" t="n"/>
      <c r="J361" s="54" t="n"/>
      <c r="K361" s="54" t="n"/>
      <c r="L361" s="54" t="n"/>
      <c r="M361" s="54" t="n"/>
      <c r="N361" s="54" t="n"/>
      <c r="O361" s="54" t="n"/>
      <c r="P361" s="54" t="n"/>
      <c r="Q361" s="54" t="n"/>
      <c r="R361" s="54" t="n"/>
      <c r="S361" s="54" t="n"/>
      <c r="T361" s="54" t="n"/>
      <c r="U361" s="54" t="n"/>
      <c r="V361" s="54" t="n"/>
      <c r="W361" s="54" t="n"/>
      <c r="X361" s="54" t="n"/>
      <c r="Y361" s="54" t="n"/>
      <c r="Z361" s="54" t="n"/>
    </row>
    <row r="362" ht="15.75" customHeight="1" s="57">
      <c r="A362" s="54" t="n"/>
      <c r="B362" s="54" t="n"/>
      <c r="C362" s="54" t="n"/>
      <c r="D362" s="54" t="n"/>
      <c r="E362" s="54" t="n"/>
      <c r="F362" s="54" t="n"/>
      <c r="G362" s="54" t="n"/>
      <c r="H362" s="54" t="n"/>
      <c r="I362" s="54" t="n"/>
      <c r="J362" s="54" t="n"/>
      <c r="K362" s="54" t="n"/>
      <c r="L362" s="54" t="n"/>
      <c r="M362" s="54" t="n"/>
      <c r="N362" s="54" t="n"/>
      <c r="O362" s="54" t="n"/>
      <c r="P362" s="54" t="n"/>
      <c r="Q362" s="54" t="n"/>
      <c r="R362" s="54" t="n"/>
      <c r="S362" s="54" t="n"/>
      <c r="T362" s="54" t="n"/>
      <c r="U362" s="54" t="n"/>
      <c r="V362" s="54" t="n"/>
      <c r="W362" s="54" t="n"/>
      <c r="X362" s="54" t="n"/>
      <c r="Y362" s="54" t="n"/>
      <c r="Z362" s="54" t="n"/>
    </row>
    <row r="363" ht="15.75" customHeight="1" s="57">
      <c r="A363" s="54" t="n"/>
      <c r="B363" s="54" t="n"/>
      <c r="C363" s="54" t="n"/>
      <c r="D363" s="54" t="n"/>
      <c r="E363" s="54" t="n"/>
      <c r="F363" s="54" t="n"/>
      <c r="G363" s="54" t="n"/>
      <c r="H363" s="54" t="n"/>
      <c r="I363" s="54" t="n"/>
      <c r="J363" s="54" t="n"/>
      <c r="K363" s="54" t="n"/>
      <c r="L363" s="54" t="n"/>
      <c r="M363" s="54" t="n"/>
      <c r="N363" s="54" t="n"/>
      <c r="O363" s="54" t="n"/>
      <c r="P363" s="54" t="n"/>
      <c r="Q363" s="54" t="n"/>
      <c r="R363" s="54" t="n"/>
      <c r="S363" s="54" t="n"/>
      <c r="T363" s="54" t="n"/>
      <c r="U363" s="54" t="n"/>
      <c r="V363" s="54" t="n"/>
      <c r="W363" s="54" t="n"/>
      <c r="X363" s="54" t="n"/>
      <c r="Y363" s="54" t="n"/>
      <c r="Z363" s="54" t="n"/>
    </row>
    <row r="364" ht="15.75" customHeight="1" s="57">
      <c r="A364" s="54" t="n"/>
      <c r="B364" s="54" t="n"/>
      <c r="C364" s="54" t="n"/>
      <c r="D364" s="54" t="n"/>
      <c r="E364" s="54" t="n"/>
      <c r="F364" s="54" t="n"/>
      <c r="G364" s="54" t="n"/>
      <c r="H364" s="54" t="n"/>
      <c r="I364" s="54" t="n"/>
      <c r="J364" s="54" t="n"/>
      <c r="K364" s="54" t="n"/>
      <c r="L364" s="54" t="n"/>
      <c r="M364" s="54" t="n"/>
      <c r="N364" s="54" t="n"/>
      <c r="O364" s="54" t="n"/>
      <c r="P364" s="54" t="n"/>
      <c r="Q364" s="54" t="n"/>
      <c r="R364" s="54" t="n"/>
      <c r="S364" s="54" t="n"/>
      <c r="T364" s="54" t="n"/>
      <c r="U364" s="54" t="n"/>
      <c r="V364" s="54" t="n"/>
      <c r="W364" s="54" t="n"/>
      <c r="X364" s="54" t="n"/>
      <c r="Y364" s="54" t="n"/>
      <c r="Z364" s="54" t="n"/>
    </row>
    <row r="365" ht="15.75" customHeight="1" s="57">
      <c r="A365" s="54" t="n"/>
      <c r="B365" s="54" t="n"/>
      <c r="C365" s="54" t="n"/>
      <c r="D365" s="54" t="n"/>
      <c r="E365" s="54" t="n"/>
      <c r="F365" s="54" t="n"/>
      <c r="G365" s="54" t="n"/>
      <c r="H365" s="54" t="n"/>
      <c r="I365" s="54" t="n"/>
      <c r="J365" s="54" t="n"/>
      <c r="K365" s="54" t="n"/>
      <c r="L365" s="54" t="n"/>
      <c r="M365" s="54" t="n"/>
      <c r="N365" s="54" t="n"/>
      <c r="O365" s="54" t="n"/>
      <c r="P365" s="54" t="n"/>
      <c r="Q365" s="54" t="n"/>
      <c r="R365" s="54" t="n"/>
      <c r="S365" s="54" t="n"/>
      <c r="T365" s="54" t="n"/>
      <c r="U365" s="54" t="n"/>
      <c r="V365" s="54" t="n"/>
      <c r="W365" s="54" t="n"/>
      <c r="X365" s="54" t="n"/>
      <c r="Y365" s="54" t="n"/>
      <c r="Z365" s="54" t="n"/>
    </row>
    <row r="366" ht="15.75" customHeight="1" s="57">
      <c r="A366" s="54" t="n"/>
      <c r="B366" s="54" t="n"/>
      <c r="C366" s="54" t="n"/>
      <c r="D366" s="54" t="n"/>
      <c r="E366" s="54" t="n"/>
      <c r="F366" s="54" t="n"/>
      <c r="G366" s="54" t="n"/>
      <c r="H366" s="54" t="n"/>
      <c r="I366" s="54" t="n"/>
      <c r="J366" s="54" t="n"/>
      <c r="K366" s="54" t="n"/>
      <c r="L366" s="54" t="n"/>
      <c r="M366" s="54" t="n"/>
      <c r="N366" s="54" t="n"/>
      <c r="O366" s="54" t="n"/>
      <c r="P366" s="54" t="n"/>
      <c r="Q366" s="54" t="n"/>
      <c r="R366" s="54" t="n"/>
      <c r="S366" s="54" t="n"/>
      <c r="T366" s="54" t="n"/>
      <c r="U366" s="54" t="n"/>
      <c r="V366" s="54" t="n"/>
      <c r="W366" s="54" t="n"/>
      <c r="X366" s="54" t="n"/>
      <c r="Y366" s="54" t="n"/>
      <c r="Z366" s="54" t="n"/>
    </row>
    <row r="367" ht="15.75" customHeight="1" s="57">
      <c r="A367" s="54" t="n"/>
      <c r="B367" s="54" t="n"/>
      <c r="C367" s="54" t="n"/>
      <c r="D367" s="54" t="n"/>
      <c r="E367" s="54" t="n"/>
      <c r="F367" s="54" t="n"/>
      <c r="G367" s="54" t="n"/>
      <c r="H367" s="54" t="n"/>
      <c r="I367" s="54" t="n"/>
      <c r="J367" s="54" t="n"/>
      <c r="K367" s="54" t="n"/>
      <c r="L367" s="54" t="n"/>
      <c r="M367" s="54" t="n"/>
      <c r="N367" s="54" t="n"/>
      <c r="O367" s="54" t="n"/>
      <c r="P367" s="54" t="n"/>
      <c r="Q367" s="54" t="n"/>
      <c r="R367" s="54" t="n"/>
      <c r="S367" s="54" t="n"/>
      <c r="T367" s="54" t="n"/>
      <c r="U367" s="54" t="n"/>
      <c r="V367" s="54" t="n"/>
      <c r="W367" s="54" t="n"/>
      <c r="X367" s="54" t="n"/>
      <c r="Y367" s="54" t="n"/>
      <c r="Z367" s="54" t="n"/>
    </row>
    <row r="368" ht="15.75" customHeight="1" s="57">
      <c r="A368" s="54" t="n"/>
      <c r="B368" s="54" t="n"/>
      <c r="C368" s="54" t="n"/>
      <c r="D368" s="54" t="n"/>
      <c r="E368" s="54" t="n"/>
      <c r="F368" s="54" t="n"/>
      <c r="G368" s="54" t="n"/>
      <c r="H368" s="54" t="n"/>
      <c r="I368" s="54" t="n"/>
      <c r="J368" s="54" t="n"/>
      <c r="K368" s="54" t="n"/>
      <c r="L368" s="54" t="n"/>
      <c r="M368" s="54" t="n"/>
      <c r="N368" s="54" t="n"/>
      <c r="O368" s="54" t="n"/>
      <c r="P368" s="54" t="n"/>
      <c r="Q368" s="54" t="n"/>
      <c r="R368" s="54" t="n"/>
      <c r="S368" s="54" t="n"/>
      <c r="T368" s="54" t="n"/>
      <c r="U368" s="54" t="n"/>
      <c r="V368" s="54" t="n"/>
      <c r="W368" s="54" t="n"/>
      <c r="X368" s="54" t="n"/>
      <c r="Y368" s="54" t="n"/>
      <c r="Z368" s="54" t="n"/>
    </row>
    <row r="369" ht="15.75" customHeight="1" s="57">
      <c r="A369" s="54" t="n"/>
      <c r="B369" s="54" t="n"/>
      <c r="C369" s="54" t="n"/>
      <c r="D369" s="54" t="n"/>
      <c r="E369" s="54" t="n"/>
      <c r="F369" s="54" t="n"/>
      <c r="G369" s="54" t="n"/>
      <c r="H369" s="54" t="n"/>
      <c r="I369" s="54" t="n"/>
      <c r="J369" s="54" t="n"/>
      <c r="K369" s="54" t="n"/>
      <c r="L369" s="54" t="n"/>
      <c r="M369" s="54" t="n"/>
      <c r="N369" s="54" t="n"/>
      <c r="O369" s="54" t="n"/>
      <c r="P369" s="54" t="n"/>
      <c r="Q369" s="54" t="n"/>
      <c r="R369" s="54" t="n"/>
      <c r="S369" s="54" t="n"/>
      <c r="T369" s="54" t="n"/>
      <c r="U369" s="54" t="n"/>
      <c r="V369" s="54" t="n"/>
      <c r="W369" s="54" t="n"/>
      <c r="X369" s="54" t="n"/>
      <c r="Y369" s="54" t="n"/>
      <c r="Z369" s="54" t="n"/>
    </row>
    <row r="370" ht="15.75" customHeight="1" s="57">
      <c r="A370" s="54" t="n"/>
      <c r="B370" s="54" t="n"/>
      <c r="C370" s="54" t="n"/>
      <c r="D370" s="54" t="n"/>
      <c r="E370" s="54" t="n"/>
      <c r="F370" s="54" t="n"/>
      <c r="G370" s="54" t="n"/>
      <c r="H370" s="54" t="n"/>
      <c r="I370" s="54" t="n"/>
      <c r="J370" s="54" t="n"/>
      <c r="K370" s="54" t="n"/>
      <c r="L370" s="54" t="n"/>
      <c r="M370" s="54" t="n"/>
      <c r="N370" s="54" t="n"/>
      <c r="O370" s="54" t="n"/>
      <c r="P370" s="54" t="n"/>
      <c r="Q370" s="54" t="n"/>
      <c r="R370" s="54" t="n"/>
      <c r="S370" s="54" t="n"/>
      <c r="T370" s="54" t="n"/>
      <c r="U370" s="54" t="n"/>
      <c r="V370" s="54" t="n"/>
      <c r="W370" s="54" t="n"/>
      <c r="X370" s="54" t="n"/>
      <c r="Y370" s="54" t="n"/>
      <c r="Z370" s="54" t="n"/>
    </row>
    <row r="371" ht="15.75" customHeight="1" s="57">
      <c r="A371" s="54" t="n"/>
      <c r="B371" s="54" t="n"/>
      <c r="C371" s="54" t="n"/>
      <c r="D371" s="54" t="n"/>
      <c r="E371" s="54" t="n"/>
      <c r="F371" s="54" t="n"/>
      <c r="G371" s="54" t="n"/>
      <c r="H371" s="54" t="n"/>
      <c r="I371" s="54" t="n"/>
      <c r="J371" s="54" t="n"/>
      <c r="K371" s="54" t="n"/>
      <c r="L371" s="54" t="n"/>
      <c r="M371" s="54" t="n"/>
      <c r="N371" s="54" t="n"/>
      <c r="O371" s="54" t="n"/>
      <c r="P371" s="54" t="n"/>
      <c r="Q371" s="54" t="n"/>
      <c r="R371" s="54" t="n"/>
      <c r="S371" s="54" t="n"/>
      <c r="T371" s="54" t="n"/>
      <c r="U371" s="54" t="n"/>
      <c r="V371" s="54" t="n"/>
      <c r="W371" s="54" t="n"/>
      <c r="X371" s="54" t="n"/>
      <c r="Y371" s="54" t="n"/>
      <c r="Z371" s="54" t="n"/>
    </row>
    <row r="372" ht="15.75" customHeight="1" s="57">
      <c r="A372" s="54" t="n"/>
      <c r="B372" s="54" t="n"/>
      <c r="C372" s="54" t="n"/>
      <c r="D372" s="54" t="n"/>
      <c r="E372" s="54" t="n"/>
      <c r="F372" s="54" t="n"/>
      <c r="G372" s="54" t="n"/>
      <c r="H372" s="54" t="n"/>
      <c r="I372" s="54" t="n"/>
      <c r="J372" s="54" t="n"/>
      <c r="K372" s="54" t="n"/>
      <c r="L372" s="54" t="n"/>
      <c r="M372" s="54" t="n"/>
      <c r="N372" s="54" t="n"/>
      <c r="O372" s="54" t="n"/>
      <c r="P372" s="54" t="n"/>
      <c r="Q372" s="54" t="n"/>
      <c r="R372" s="54" t="n"/>
      <c r="S372" s="54" t="n"/>
      <c r="T372" s="54" t="n"/>
      <c r="U372" s="54" t="n"/>
      <c r="V372" s="54" t="n"/>
      <c r="W372" s="54" t="n"/>
      <c r="X372" s="54" t="n"/>
      <c r="Y372" s="54" t="n"/>
      <c r="Z372" s="54" t="n"/>
    </row>
    <row r="373" ht="15.75" customHeight="1" s="57">
      <c r="A373" s="54" t="n"/>
      <c r="B373" s="54" t="n"/>
      <c r="C373" s="54" t="n"/>
      <c r="D373" s="54" t="n"/>
      <c r="E373" s="54" t="n"/>
      <c r="F373" s="54" t="n"/>
      <c r="G373" s="54" t="n"/>
      <c r="H373" s="54" t="n"/>
      <c r="I373" s="54" t="n"/>
      <c r="J373" s="54" t="n"/>
      <c r="K373" s="54" t="n"/>
      <c r="L373" s="54" t="n"/>
      <c r="M373" s="54" t="n"/>
      <c r="N373" s="54" t="n"/>
      <c r="O373" s="54" t="n"/>
      <c r="P373" s="54" t="n"/>
      <c r="Q373" s="54" t="n"/>
      <c r="R373" s="54" t="n"/>
      <c r="S373" s="54" t="n"/>
      <c r="T373" s="54" t="n"/>
      <c r="U373" s="54" t="n"/>
      <c r="V373" s="54" t="n"/>
      <c r="W373" s="54" t="n"/>
      <c r="X373" s="54" t="n"/>
      <c r="Y373" s="54" t="n"/>
      <c r="Z373" s="54" t="n"/>
    </row>
    <row r="374" ht="15.75" customHeight="1" s="57">
      <c r="A374" s="54" t="n"/>
      <c r="B374" s="54" t="n"/>
      <c r="C374" s="54" t="n"/>
      <c r="D374" s="54" t="n"/>
      <c r="E374" s="54" t="n"/>
      <c r="F374" s="54" t="n"/>
      <c r="G374" s="54" t="n"/>
      <c r="H374" s="54" t="n"/>
      <c r="I374" s="54" t="n"/>
      <c r="J374" s="54" t="n"/>
      <c r="K374" s="54" t="n"/>
      <c r="L374" s="54" t="n"/>
      <c r="M374" s="54" t="n"/>
      <c r="N374" s="54" t="n"/>
      <c r="O374" s="54" t="n"/>
      <c r="P374" s="54" t="n"/>
      <c r="Q374" s="54" t="n"/>
      <c r="R374" s="54" t="n"/>
      <c r="S374" s="54" t="n"/>
      <c r="T374" s="54" t="n"/>
      <c r="U374" s="54" t="n"/>
      <c r="V374" s="54" t="n"/>
      <c r="W374" s="54" t="n"/>
      <c r="X374" s="54" t="n"/>
      <c r="Y374" s="54" t="n"/>
      <c r="Z374" s="54" t="n"/>
    </row>
    <row r="375" ht="15.75" customHeight="1" s="57">
      <c r="A375" s="54" t="n"/>
      <c r="B375" s="54" t="n"/>
      <c r="C375" s="54" t="n"/>
      <c r="D375" s="54" t="n"/>
      <c r="E375" s="54" t="n"/>
      <c r="F375" s="54" t="n"/>
      <c r="G375" s="54" t="n"/>
      <c r="H375" s="54" t="n"/>
      <c r="I375" s="54" t="n"/>
      <c r="J375" s="54" t="n"/>
      <c r="K375" s="54" t="n"/>
      <c r="L375" s="54" t="n"/>
      <c r="M375" s="54" t="n"/>
      <c r="N375" s="54" t="n"/>
      <c r="O375" s="54" t="n"/>
      <c r="P375" s="54" t="n"/>
      <c r="Q375" s="54" t="n"/>
      <c r="R375" s="54" t="n"/>
      <c r="S375" s="54" t="n"/>
      <c r="T375" s="54" t="n"/>
      <c r="U375" s="54" t="n"/>
      <c r="V375" s="54" t="n"/>
      <c r="W375" s="54" t="n"/>
      <c r="X375" s="54" t="n"/>
      <c r="Y375" s="54" t="n"/>
      <c r="Z375" s="54" t="n"/>
    </row>
    <row r="376" ht="15.75" customHeight="1" s="57">
      <c r="A376" s="54" t="n"/>
      <c r="B376" s="54" t="n"/>
      <c r="C376" s="54" t="n"/>
      <c r="D376" s="54" t="n"/>
      <c r="E376" s="54" t="n"/>
      <c r="F376" s="54" t="n"/>
      <c r="G376" s="54" t="n"/>
      <c r="H376" s="54" t="n"/>
      <c r="I376" s="54" t="n"/>
      <c r="J376" s="54" t="n"/>
      <c r="K376" s="54" t="n"/>
      <c r="L376" s="54" t="n"/>
      <c r="M376" s="54" t="n"/>
      <c r="N376" s="54" t="n"/>
      <c r="O376" s="54" t="n"/>
      <c r="P376" s="54" t="n"/>
      <c r="Q376" s="54" t="n"/>
      <c r="R376" s="54" t="n"/>
      <c r="S376" s="54" t="n"/>
      <c r="T376" s="54" t="n"/>
      <c r="U376" s="54" t="n"/>
      <c r="V376" s="54" t="n"/>
      <c r="W376" s="54" t="n"/>
      <c r="X376" s="54" t="n"/>
      <c r="Y376" s="54" t="n"/>
      <c r="Z376" s="54" t="n"/>
    </row>
    <row r="377" ht="15.75" customHeight="1" s="57">
      <c r="A377" s="54" t="n"/>
      <c r="B377" s="54" t="n"/>
      <c r="C377" s="54" t="n"/>
      <c r="D377" s="54" t="n"/>
      <c r="E377" s="54" t="n"/>
      <c r="F377" s="54" t="n"/>
      <c r="G377" s="54" t="n"/>
      <c r="H377" s="54" t="n"/>
      <c r="I377" s="54" t="n"/>
      <c r="J377" s="54" t="n"/>
      <c r="K377" s="54" t="n"/>
      <c r="L377" s="54" t="n"/>
      <c r="M377" s="54" t="n"/>
      <c r="N377" s="54" t="n"/>
      <c r="O377" s="54" t="n"/>
      <c r="P377" s="54" t="n"/>
      <c r="Q377" s="54" t="n"/>
      <c r="R377" s="54" t="n"/>
      <c r="S377" s="54" t="n"/>
      <c r="T377" s="54" t="n"/>
      <c r="U377" s="54" t="n"/>
      <c r="V377" s="54" t="n"/>
      <c r="W377" s="54" t="n"/>
      <c r="X377" s="54" t="n"/>
      <c r="Y377" s="54" t="n"/>
      <c r="Z377" s="54" t="n"/>
    </row>
    <row r="378" ht="15.75" customHeight="1" s="57">
      <c r="A378" s="54" t="n"/>
      <c r="B378" s="54" t="n"/>
      <c r="C378" s="54" t="n"/>
      <c r="D378" s="54" t="n"/>
      <c r="E378" s="54" t="n"/>
      <c r="F378" s="54" t="n"/>
      <c r="G378" s="54" t="n"/>
      <c r="H378" s="54" t="n"/>
      <c r="I378" s="54" t="n"/>
      <c r="J378" s="54" t="n"/>
      <c r="K378" s="54" t="n"/>
      <c r="L378" s="54" t="n"/>
      <c r="M378" s="54" t="n"/>
      <c r="N378" s="54" t="n"/>
      <c r="O378" s="54" t="n"/>
      <c r="P378" s="54" t="n"/>
      <c r="Q378" s="54" t="n"/>
      <c r="R378" s="54" t="n"/>
      <c r="S378" s="54" t="n"/>
      <c r="T378" s="54" t="n"/>
      <c r="U378" s="54" t="n"/>
      <c r="V378" s="54" t="n"/>
      <c r="W378" s="54" t="n"/>
      <c r="X378" s="54" t="n"/>
      <c r="Y378" s="54" t="n"/>
      <c r="Z378" s="54" t="n"/>
    </row>
    <row r="379" ht="15.75" customHeight="1" s="57">
      <c r="A379" s="54" t="n"/>
      <c r="B379" s="54" t="n"/>
      <c r="C379" s="54" t="n"/>
      <c r="D379" s="54" t="n"/>
      <c r="E379" s="54" t="n"/>
      <c r="F379" s="54" t="n"/>
      <c r="G379" s="54" t="n"/>
      <c r="H379" s="54" t="n"/>
      <c r="I379" s="54" t="n"/>
      <c r="J379" s="54" t="n"/>
      <c r="K379" s="54" t="n"/>
      <c r="L379" s="54" t="n"/>
      <c r="M379" s="54" t="n"/>
      <c r="N379" s="54" t="n"/>
      <c r="O379" s="54" t="n"/>
      <c r="P379" s="54" t="n"/>
      <c r="Q379" s="54" t="n"/>
      <c r="R379" s="54" t="n"/>
      <c r="S379" s="54" t="n"/>
      <c r="T379" s="54" t="n"/>
      <c r="U379" s="54" t="n"/>
      <c r="V379" s="54" t="n"/>
      <c r="W379" s="54" t="n"/>
      <c r="X379" s="54" t="n"/>
      <c r="Y379" s="54" t="n"/>
      <c r="Z379" s="54" t="n"/>
    </row>
    <row r="380" ht="15.75" customHeight="1" s="57">
      <c r="A380" s="54" t="n"/>
      <c r="B380" s="54" t="n"/>
      <c r="C380" s="54" t="n"/>
      <c r="D380" s="54" t="n"/>
      <c r="E380" s="54" t="n"/>
      <c r="F380" s="54" t="n"/>
      <c r="G380" s="54" t="n"/>
      <c r="H380" s="54" t="n"/>
      <c r="I380" s="54" t="n"/>
      <c r="J380" s="54" t="n"/>
      <c r="K380" s="54" t="n"/>
      <c r="L380" s="54" t="n"/>
      <c r="M380" s="54" t="n"/>
      <c r="N380" s="54" t="n"/>
      <c r="O380" s="54" t="n"/>
      <c r="P380" s="54" t="n"/>
      <c r="Q380" s="54" t="n"/>
      <c r="R380" s="54" t="n"/>
      <c r="S380" s="54" t="n"/>
      <c r="T380" s="54" t="n"/>
      <c r="U380" s="54" t="n"/>
      <c r="V380" s="54" t="n"/>
      <c r="W380" s="54" t="n"/>
      <c r="X380" s="54" t="n"/>
      <c r="Y380" s="54" t="n"/>
      <c r="Z380" s="54" t="n"/>
    </row>
    <row r="381" ht="15.75" customHeight="1" s="57">
      <c r="A381" s="54" t="n"/>
      <c r="B381" s="54" t="n"/>
      <c r="C381" s="54" t="n"/>
      <c r="D381" s="54" t="n"/>
      <c r="E381" s="54" t="n"/>
      <c r="F381" s="54" t="n"/>
      <c r="G381" s="54" t="n"/>
      <c r="H381" s="54" t="n"/>
      <c r="I381" s="54" t="n"/>
      <c r="J381" s="54" t="n"/>
      <c r="K381" s="54" t="n"/>
      <c r="L381" s="54" t="n"/>
      <c r="M381" s="54" t="n"/>
      <c r="N381" s="54" t="n"/>
      <c r="O381" s="54" t="n"/>
      <c r="P381" s="54" t="n"/>
      <c r="Q381" s="54" t="n"/>
      <c r="R381" s="54" t="n"/>
      <c r="S381" s="54" t="n"/>
      <c r="T381" s="54" t="n"/>
      <c r="U381" s="54" t="n"/>
      <c r="V381" s="54" t="n"/>
      <c r="W381" s="54" t="n"/>
      <c r="X381" s="54" t="n"/>
      <c r="Y381" s="54" t="n"/>
      <c r="Z381" s="54" t="n"/>
    </row>
    <row r="382" ht="15.75" customHeight="1" s="57">
      <c r="A382" s="54" t="n"/>
      <c r="B382" s="54" t="n"/>
      <c r="C382" s="54" t="n"/>
      <c r="D382" s="54" t="n"/>
      <c r="E382" s="54" t="n"/>
      <c r="F382" s="54" t="n"/>
      <c r="G382" s="54" t="n"/>
      <c r="H382" s="54" t="n"/>
      <c r="I382" s="54" t="n"/>
      <c r="J382" s="54" t="n"/>
      <c r="K382" s="54" t="n"/>
      <c r="L382" s="54" t="n"/>
      <c r="M382" s="54" t="n"/>
      <c r="N382" s="54" t="n"/>
      <c r="O382" s="54" t="n"/>
      <c r="P382" s="54" t="n"/>
      <c r="Q382" s="54" t="n"/>
      <c r="R382" s="54" t="n"/>
      <c r="S382" s="54" t="n"/>
      <c r="T382" s="54" t="n"/>
      <c r="U382" s="54" t="n"/>
      <c r="V382" s="54" t="n"/>
      <c r="W382" s="54" t="n"/>
      <c r="X382" s="54" t="n"/>
      <c r="Y382" s="54" t="n"/>
      <c r="Z382" s="54" t="n"/>
    </row>
    <row r="383" ht="15.75" customHeight="1" s="57">
      <c r="A383" s="54" t="n"/>
      <c r="B383" s="54" t="n"/>
      <c r="C383" s="54" t="n"/>
      <c r="D383" s="54" t="n"/>
      <c r="E383" s="54" t="n"/>
      <c r="F383" s="54" t="n"/>
      <c r="G383" s="54" t="n"/>
      <c r="H383" s="54" t="n"/>
      <c r="I383" s="54" t="n"/>
      <c r="J383" s="54" t="n"/>
      <c r="K383" s="54" t="n"/>
      <c r="L383" s="54" t="n"/>
      <c r="M383" s="54" t="n"/>
      <c r="N383" s="54" t="n"/>
      <c r="O383" s="54" t="n"/>
      <c r="P383" s="54" t="n"/>
      <c r="Q383" s="54" t="n"/>
      <c r="R383" s="54" t="n"/>
      <c r="S383" s="54" t="n"/>
      <c r="T383" s="54" t="n"/>
      <c r="U383" s="54" t="n"/>
      <c r="V383" s="54" t="n"/>
      <c r="W383" s="54" t="n"/>
      <c r="X383" s="54" t="n"/>
      <c r="Y383" s="54" t="n"/>
      <c r="Z383" s="54" t="n"/>
    </row>
    <row r="384" ht="15.75" customHeight="1" s="57">
      <c r="A384" s="54" t="n"/>
      <c r="B384" s="54" t="n"/>
      <c r="C384" s="54" t="n"/>
      <c r="D384" s="54" t="n"/>
      <c r="E384" s="54" t="n"/>
      <c r="F384" s="54" t="n"/>
      <c r="G384" s="54" t="n"/>
      <c r="H384" s="54" t="n"/>
      <c r="I384" s="54" t="n"/>
      <c r="J384" s="54" t="n"/>
      <c r="K384" s="54" t="n"/>
      <c r="L384" s="54" t="n"/>
      <c r="M384" s="54" t="n"/>
      <c r="N384" s="54" t="n"/>
      <c r="O384" s="54" t="n"/>
      <c r="P384" s="54" t="n"/>
      <c r="Q384" s="54" t="n"/>
      <c r="R384" s="54" t="n"/>
      <c r="S384" s="54" t="n"/>
      <c r="T384" s="54" t="n"/>
      <c r="U384" s="54" t="n"/>
      <c r="V384" s="54" t="n"/>
      <c r="W384" s="54" t="n"/>
      <c r="X384" s="54" t="n"/>
      <c r="Y384" s="54" t="n"/>
      <c r="Z384" s="54" t="n"/>
    </row>
    <row r="385" ht="15.75" customHeight="1" s="57">
      <c r="A385" s="54" t="n"/>
      <c r="B385" s="54" t="n"/>
      <c r="C385" s="54" t="n"/>
      <c r="D385" s="54" t="n"/>
      <c r="E385" s="54" t="n"/>
      <c r="F385" s="54" t="n"/>
      <c r="G385" s="54" t="n"/>
      <c r="H385" s="54" t="n"/>
      <c r="I385" s="54" t="n"/>
      <c r="J385" s="54" t="n"/>
      <c r="K385" s="54" t="n"/>
      <c r="L385" s="54" t="n"/>
      <c r="M385" s="54" t="n"/>
      <c r="N385" s="54" t="n"/>
      <c r="O385" s="54" t="n"/>
      <c r="P385" s="54" t="n"/>
      <c r="Q385" s="54" t="n"/>
      <c r="R385" s="54" t="n"/>
      <c r="S385" s="54" t="n"/>
      <c r="T385" s="54" t="n"/>
      <c r="U385" s="54" t="n"/>
      <c r="V385" s="54" t="n"/>
      <c r="W385" s="54" t="n"/>
      <c r="X385" s="54" t="n"/>
      <c r="Y385" s="54" t="n"/>
      <c r="Z385" s="54" t="n"/>
    </row>
    <row r="386" ht="15.75" customHeight="1" s="57">
      <c r="A386" s="54" t="n"/>
      <c r="B386" s="54" t="n"/>
      <c r="C386" s="54" t="n"/>
      <c r="D386" s="54" t="n"/>
      <c r="E386" s="54" t="n"/>
      <c r="F386" s="54" t="n"/>
      <c r="G386" s="54" t="n"/>
      <c r="H386" s="54" t="n"/>
      <c r="I386" s="54" t="n"/>
      <c r="J386" s="54" t="n"/>
      <c r="K386" s="54" t="n"/>
      <c r="L386" s="54" t="n"/>
      <c r="M386" s="54" t="n"/>
      <c r="N386" s="54" t="n"/>
      <c r="O386" s="54" t="n"/>
      <c r="P386" s="54" t="n"/>
      <c r="Q386" s="54" t="n"/>
      <c r="R386" s="54" t="n"/>
      <c r="S386" s="54" t="n"/>
      <c r="T386" s="54" t="n"/>
      <c r="U386" s="54" t="n"/>
      <c r="V386" s="54" t="n"/>
      <c r="W386" s="54" t="n"/>
      <c r="X386" s="54" t="n"/>
      <c r="Y386" s="54" t="n"/>
      <c r="Z386" s="54" t="n"/>
    </row>
    <row r="387" ht="15.75" customHeight="1" s="57">
      <c r="A387" s="54" t="n"/>
      <c r="B387" s="54" t="n"/>
      <c r="C387" s="54" t="n"/>
      <c r="D387" s="54" t="n"/>
      <c r="E387" s="54" t="n"/>
      <c r="F387" s="54" t="n"/>
      <c r="G387" s="54" t="n"/>
      <c r="H387" s="54" t="n"/>
      <c r="I387" s="54" t="n"/>
      <c r="J387" s="54" t="n"/>
      <c r="K387" s="54" t="n"/>
      <c r="L387" s="54" t="n"/>
      <c r="M387" s="54" t="n"/>
      <c r="N387" s="54" t="n"/>
      <c r="O387" s="54" t="n"/>
      <c r="P387" s="54" t="n"/>
      <c r="Q387" s="54" t="n"/>
      <c r="R387" s="54" t="n"/>
      <c r="S387" s="54" t="n"/>
      <c r="T387" s="54" t="n"/>
      <c r="U387" s="54" t="n"/>
      <c r="V387" s="54" t="n"/>
      <c r="W387" s="54" t="n"/>
      <c r="X387" s="54" t="n"/>
      <c r="Y387" s="54" t="n"/>
      <c r="Z387" s="54" t="n"/>
    </row>
    <row r="388" ht="15.75" customHeight="1" s="57">
      <c r="A388" s="54" t="n"/>
      <c r="B388" s="54" t="n"/>
      <c r="C388" s="54" t="n"/>
      <c r="D388" s="54" t="n"/>
      <c r="E388" s="54" t="n"/>
      <c r="F388" s="54" t="n"/>
      <c r="G388" s="54" t="n"/>
      <c r="H388" s="54" t="n"/>
      <c r="I388" s="54" t="n"/>
      <c r="J388" s="54" t="n"/>
      <c r="K388" s="54" t="n"/>
      <c r="L388" s="54" t="n"/>
      <c r="M388" s="54" t="n"/>
      <c r="N388" s="54" t="n"/>
      <c r="O388" s="54" t="n"/>
      <c r="P388" s="54" t="n"/>
      <c r="Q388" s="54" t="n"/>
      <c r="R388" s="54" t="n"/>
      <c r="S388" s="54" t="n"/>
      <c r="T388" s="54" t="n"/>
      <c r="U388" s="54" t="n"/>
      <c r="V388" s="54" t="n"/>
      <c r="W388" s="54" t="n"/>
      <c r="X388" s="54" t="n"/>
      <c r="Y388" s="54" t="n"/>
      <c r="Z388" s="54" t="n"/>
    </row>
    <row r="389" ht="15.75" customHeight="1" s="57">
      <c r="A389" s="54" t="n"/>
      <c r="B389" s="54" t="n"/>
      <c r="C389" s="54" t="n"/>
      <c r="D389" s="54" t="n"/>
      <c r="E389" s="54" t="n"/>
      <c r="F389" s="54" t="n"/>
      <c r="G389" s="54" t="n"/>
      <c r="H389" s="54" t="n"/>
      <c r="I389" s="54" t="n"/>
      <c r="J389" s="54" t="n"/>
      <c r="K389" s="54" t="n"/>
      <c r="L389" s="54" t="n"/>
      <c r="M389" s="54" t="n"/>
      <c r="N389" s="54" t="n"/>
      <c r="O389" s="54" t="n"/>
      <c r="P389" s="54" t="n"/>
      <c r="Q389" s="54" t="n"/>
      <c r="R389" s="54" t="n"/>
      <c r="S389" s="54" t="n"/>
      <c r="T389" s="54" t="n"/>
      <c r="U389" s="54" t="n"/>
      <c r="V389" s="54" t="n"/>
      <c r="W389" s="54" t="n"/>
      <c r="X389" s="54" t="n"/>
      <c r="Y389" s="54" t="n"/>
      <c r="Z389" s="54" t="n"/>
    </row>
    <row r="390" ht="15.75" customHeight="1" s="57">
      <c r="A390" s="54" t="n"/>
      <c r="B390" s="54" t="n"/>
      <c r="C390" s="54" t="n"/>
      <c r="D390" s="54" t="n"/>
      <c r="E390" s="54" t="n"/>
      <c r="F390" s="54" t="n"/>
      <c r="G390" s="54" t="n"/>
      <c r="H390" s="54" t="n"/>
      <c r="I390" s="54" t="n"/>
      <c r="J390" s="54" t="n"/>
      <c r="K390" s="54" t="n"/>
      <c r="L390" s="54" t="n"/>
      <c r="M390" s="54" t="n"/>
      <c r="N390" s="54" t="n"/>
      <c r="O390" s="54" t="n"/>
      <c r="P390" s="54" t="n"/>
      <c r="Q390" s="54" t="n"/>
      <c r="R390" s="54" t="n"/>
      <c r="S390" s="54" t="n"/>
      <c r="T390" s="54" t="n"/>
      <c r="U390" s="54" t="n"/>
      <c r="V390" s="54" t="n"/>
      <c r="W390" s="54" t="n"/>
      <c r="X390" s="54" t="n"/>
      <c r="Y390" s="54" t="n"/>
      <c r="Z390" s="54" t="n"/>
    </row>
    <row r="391" ht="15.75" customHeight="1" s="57">
      <c r="A391" s="54" t="n"/>
      <c r="B391" s="54" t="n"/>
      <c r="C391" s="54" t="n"/>
      <c r="D391" s="54" t="n"/>
      <c r="E391" s="54" t="n"/>
      <c r="F391" s="54" t="n"/>
      <c r="G391" s="54" t="n"/>
      <c r="H391" s="54" t="n"/>
      <c r="I391" s="54" t="n"/>
      <c r="J391" s="54" t="n"/>
      <c r="K391" s="54" t="n"/>
      <c r="L391" s="54" t="n"/>
      <c r="M391" s="54" t="n"/>
      <c r="N391" s="54" t="n"/>
      <c r="O391" s="54" t="n"/>
      <c r="P391" s="54" t="n"/>
      <c r="Q391" s="54" t="n"/>
      <c r="R391" s="54" t="n"/>
      <c r="S391" s="54" t="n"/>
      <c r="T391" s="54" t="n"/>
      <c r="U391" s="54" t="n"/>
      <c r="V391" s="54" t="n"/>
      <c r="W391" s="54" t="n"/>
      <c r="X391" s="54" t="n"/>
      <c r="Y391" s="54" t="n"/>
      <c r="Z391" s="54" t="n"/>
    </row>
    <row r="392" ht="15.75" customHeight="1" s="57">
      <c r="A392" s="54" t="n"/>
      <c r="B392" s="54" t="n"/>
      <c r="C392" s="54" t="n"/>
      <c r="D392" s="54" t="n"/>
      <c r="E392" s="54" t="n"/>
      <c r="F392" s="54" t="n"/>
      <c r="G392" s="54" t="n"/>
      <c r="H392" s="54" t="n"/>
      <c r="I392" s="54" t="n"/>
      <c r="J392" s="54" t="n"/>
      <c r="K392" s="54" t="n"/>
      <c r="L392" s="54" t="n"/>
      <c r="M392" s="54" t="n"/>
      <c r="N392" s="54" t="n"/>
      <c r="O392" s="54" t="n"/>
      <c r="P392" s="54" t="n"/>
      <c r="Q392" s="54" t="n"/>
      <c r="R392" s="54" t="n"/>
      <c r="S392" s="54" t="n"/>
      <c r="T392" s="54" t="n"/>
      <c r="U392" s="54" t="n"/>
      <c r="V392" s="54" t="n"/>
      <c r="W392" s="54" t="n"/>
      <c r="X392" s="54" t="n"/>
      <c r="Y392" s="54" t="n"/>
      <c r="Z392" s="54" t="n"/>
    </row>
    <row r="393" ht="15.75" customHeight="1" s="57">
      <c r="A393" s="54" t="n"/>
      <c r="B393" s="54" t="n"/>
      <c r="C393" s="54" t="n"/>
      <c r="D393" s="54" t="n"/>
      <c r="E393" s="54" t="n"/>
      <c r="F393" s="54" t="n"/>
      <c r="G393" s="54" t="n"/>
      <c r="H393" s="54" t="n"/>
      <c r="I393" s="54" t="n"/>
      <c r="J393" s="54" t="n"/>
      <c r="K393" s="54" t="n"/>
      <c r="L393" s="54" t="n"/>
      <c r="M393" s="54" t="n"/>
      <c r="N393" s="54" t="n"/>
      <c r="O393" s="54" t="n"/>
      <c r="P393" s="54" t="n"/>
      <c r="Q393" s="54" t="n"/>
      <c r="R393" s="54" t="n"/>
      <c r="S393" s="54" t="n"/>
      <c r="T393" s="54" t="n"/>
      <c r="U393" s="54" t="n"/>
      <c r="V393" s="54" t="n"/>
      <c r="W393" s="54" t="n"/>
      <c r="X393" s="54" t="n"/>
      <c r="Y393" s="54" t="n"/>
      <c r="Z393" s="54" t="n"/>
    </row>
    <row r="394" ht="15.75" customHeight="1" s="57">
      <c r="A394" s="54" t="n"/>
      <c r="B394" s="54" t="n"/>
      <c r="C394" s="54" t="n"/>
      <c r="D394" s="54" t="n"/>
      <c r="E394" s="54" t="n"/>
      <c r="F394" s="54" t="n"/>
      <c r="G394" s="54" t="n"/>
      <c r="H394" s="54" t="n"/>
      <c r="I394" s="54" t="n"/>
      <c r="J394" s="54" t="n"/>
      <c r="K394" s="54" t="n"/>
      <c r="L394" s="54" t="n"/>
      <c r="M394" s="54" t="n"/>
      <c r="N394" s="54" t="n"/>
      <c r="O394" s="54" t="n"/>
      <c r="P394" s="54" t="n"/>
      <c r="Q394" s="54" t="n"/>
      <c r="R394" s="54" t="n"/>
      <c r="S394" s="54" t="n"/>
      <c r="T394" s="54" t="n"/>
      <c r="U394" s="54" t="n"/>
      <c r="V394" s="54" t="n"/>
      <c r="W394" s="54" t="n"/>
      <c r="X394" s="54" t="n"/>
      <c r="Y394" s="54" t="n"/>
      <c r="Z394" s="54" t="n"/>
    </row>
    <row r="395" ht="15.75" customHeight="1" s="57">
      <c r="A395" s="54" t="n"/>
      <c r="B395" s="54" t="n"/>
      <c r="C395" s="54" t="n"/>
      <c r="D395" s="54" t="n"/>
      <c r="E395" s="54" t="n"/>
      <c r="F395" s="54" t="n"/>
      <c r="G395" s="54" t="n"/>
      <c r="H395" s="54" t="n"/>
      <c r="I395" s="54" t="n"/>
      <c r="J395" s="54" t="n"/>
      <c r="K395" s="54" t="n"/>
      <c r="L395" s="54" t="n"/>
      <c r="M395" s="54" t="n"/>
      <c r="N395" s="54" t="n"/>
      <c r="O395" s="54" t="n"/>
      <c r="P395" s="54" t="n"/>
      <c r="Q395" s="54" t="n"/>
      <c r="R395" s="54" t="n"/>
      <c r="S395" s="54" t="n"/>
      <c r="T395" s="54" t="n"/>
      <c r="U395" s="54" t="n"/>
      <c r="V395" s="54" t="n"/>
      <c r="W395" s="54" t="n"/>
      <c r="X395" s="54" t="n"/>
      <c r="Y395" s="54" t="n"/>
      <c r="Z395" s="54" t="n"/>
    </row>
    <row r="396" ht="15.75" customHeight="1" s="57">
      <c r="A396" s="54" t="n"/>
      <c r="B396" s="54" t="n"/>
      <c r="C396" s="54" t="n"/>
      <c r="D396" s="54" t="n"/>
      <c r="E396" s="54" t="n"/>
      <c r="F396" s="54" t="n"/>
      <c r="G396" s="54" t="n"/>
      <c r="H396" s="54" t="n"/>
      <c r="I396" s="54" t="n"/>
      <c r="J396" s="54" t="n"/>
      <c r="K396" s="54" t="n"/>
      <c r="L396" s="54" t="n"/>
      <c r="M396" s="54" t="n"/>
      <c r="N396" s="54" t="n"/>
      <c r="O396" s="54" t="n"/>
      <c r="P396" s="54" t="n"/>
      <c r="Q396" s="54" t="n"/>
      <c r="R396" s="54" t="n"/>
      <c r="S396" s="54" t="n"/>
      <c r="T396" s="54" t="n"/>
      <c r="U396" s="54" t="n"/>
      <c r="V396" s="54" t="n"/>
      <c r="W396" s="54" t="n"/>
      <c r="X396" s="54" t="n"/>
      <c r="Y396" s="54" t="n"/>
      <c r="Z396" s="54" t="n"/>
    </row>
    <row r="397" ht="15.75" customHeight="1" s="57">
      <c r="A397" s="54" t="n"/>
      <c r="B397" s="54" t="n"/>
      <c r="C397" s="54" t="n"/>
      <c r="D397" s="54" t="n"/>
      <c r="E397" s="54" t="n"/>
      <c r="F397" s="54" t="n"/>
      <c r="G397" s="54" t="n"/>
      <c r="H397" s="54" t="n"/>
      <c r="I397" s="54" t="n"/>
      <c r="J397" s="54" t="n"/>
      <c r="K397" s="54" t="n"/>
      <c r="L397" s="54" t="n"/>
      <c r="M397" s="54" t="n"/>
      <c r="N397" s="54" t="n"/>
      <c r="O397" s="54" t="n"/>
      <c r="P397" s="54" t="n"/>
      <c r="Q397" s="54" t="n"/>
      <c r="R397" s="54" t="n"/>
      <c r="S397" s="54" t="n"/>
      <c r="T397" s="54" t="n"/>
      <c r="U397" s="54" t="n"/>
      <c r="V397" s="54" t="n"/>
      <c r="W397" s="54" t="n"/>
      <c r="X397" s="54" t="n"/>
      <c r="Y397" s="54" t="n"/>
      <c r="Z397" s="54" t="n"/>
    </row>
    <row r="398" ht="15.75" customHeight="1" s="57">
      <c r="A398" s="54" t="n"/>
      <c r="B398" s="54" t="n"/>
      <c r="C398" s="54" t="n"/>
      <c r="D398" s="54" t="n"/>
      <c r="E398" s="54" t="n"/>
      <c r="F398" s="54" t="n"/>
      <c r="G398" s="54" t="n"/>
      <c r="H398" s="54" t="n"/>
      <c r="I398" s="54" t="n"/>
      <c r="J398" s="54" t="n"/>
      <c r="K398" s="54" t="n"/>
      <c r="L398" s="54" t="n"/>
      <c r="M398" s="54" t="n"/>
      <c r="N398" s="54" t="n"/>
      <c r="O398" s="54" t="n"/>
      <c r="P398" s="54" t="n"/>
      <c r="Q398" s="54" t="n"/>
      <c r="R398" s="54" t="n"/>
      <c r="S398" s="54" t="n"/>
      <c r="T398" s="54" t="n"/>
      <c r="U398" s="54" t="n"/>
      <c r="V398" s="54" t="n"/>
      <c r="W398" s="54" t="n"/>
      <c r="X398" s="54" t="n"/>
      <c r="Y398" s="54" t="n"/>
      <c r="Z398" s="54" t="n"/>
    </row>
    <row r="399" ht="15.75" customHeight="1" s="57">
      <c r="A399" s="54" t="n"/>
      <c r="B399" s="54" t="n"/>
      <c r="C399" s="54" t="n"/>
      <c r="D399" s="54" t="n"/>
      <c r="E399" s="54" t="n"/>
      <c r="F399" s="54" t="n"/>
      <c r="G399" s="54" t="n"/>
      <c r="H399" s="54" t="n"/>
      <c r="I399" s="54" t="n"/>
      <c r="J399" s="54" t="n"/>
      <c r="K399" s="54" t="n"/>
      <c r="L399" s="54" t="n"/>
      <c r="M399" s="54" t="n"/>
      <c r="N399" s="54" t="n"/>
      <c r="O399" s="54" t="n"/>
      <c r="P399" s="54" t="n"/>
      <c r="Q399" s="54" t="n"/>
      <c r="R399" s="54" t="n"/>
      <c r="S399" s="54" t="n"/>
      <c r="T399" s="54" t="n"/>
      <c r="U399" s="54" t="n"/>
      <c r="V399" s="54" t="n"/>
      <c r="W399" s="54" t="n"/>
      <c r="X399" s="54" t="n"/>
      <c r="Y399" s="54" t="n"/>
      <c r="Z399" s="54" t="n"/>
    </row>
    <row r="400" ht="15.75" customHeight="1" s="57">
      <c r="A400" s="54" t="n"/>
      <c r="B400" s="54" t="n"/>
      <c r="C400" s="54" t="n"/>
      <c r="D400" s="54" t="n"/>
      <c r="E400" s="54" t="n"/>
      <c r="F400" s="54" t="n"/>
      <c r="G400" s="54" t="n"/>
      <c r="H400" s="54" t="n"/>
      <c r="I400" s="54" t="n"/>
      <c r="J400" s="54" t="n"/>
      <c r="K400" s="54" t="n"/>
      <c r="L400" s="54" t="n"/>
      <c r="M400" s="54" t="n"/>
      <c r="N400" s="54" t="n"/>
      <c r="O400" s="54" t="n"/>
      <c r="P400" s="54" t="n"/>
      <c r="Q400" s="54" t="n"/>
      <c r="R400" s="54" t="n"/>
      <c r="S400" s="54" t="n"/>
      <c r="T400" s="54" t="n"/>
      <c r="U400" s="54" t="n"/>
      <c r="V400" s="54" t="n"/>
      <c r="W400" s="54" t="n"/>
      <c r="X400" s="54" t="n"/>
      <c r="Y400" s="54" t="n"/>
      <c r="Z400" s="54" t="n"/>
    </row>
    <row r="401" ht="15.75" customHeight="1" s="57">
      <c r="A401" s="54" t="n"/>
      <c r="B401" s="54" t="n"/>
      <c r="C401" s="54" t="n"/>
      <c r="D401" s="54" t="n"/>
      <c r="E401" s="54" t="n"/>
      <c r="F401" s="54" t="n"/>
      <c r="G401" s="54" t="n"/>
      <c r="H401" s="54" t="n"/>
      <c r="I401" s="54" t="n"/>
      <c r="J401" s="54" t="n"/>
      <c r="K401" s="54" t="n"/>
      <c r="L401" s="54" t="n"/>
      <c r="M401" s="54" t="n"/>
      <c r="N401" s="54" t="n"/>
      <c r="O401" s="54" t="n"/>
      <c r="P401" s="54" t="n"/>
      <c r="Q401" s="54" t="n"/>
      <c r="R401" s="54" t="n"/>
      <c r="S401" s="54" t="n"/>
      <c r="T401" s="54" t="n"/>
      <c r="U401" s="54" t="n"/>
      <c r="V401" s="54" t="n"/>
      <c r="W401" s="54" t="n"/>
      <c r="X401" s="54" t="n"/>
      <c r="Y401" s="54" t="n"/>
      <c r="Z401" s="54" t="n"/>
    </row>
    <row r="402" ht="15.75" customHeight="1" s="57">
      <c r="A402" s="54" t="n"/>
      <c r="B402" s="54" t="n"/>
      <c r="C402" s="54" t="n"/>
      <c r="D402" s="54" t="n"/>
      <c r="E402" s="54" t="n"/>
      <c r="F402" s="54" t="n"/>
      <c r="G402" s="54" t="n"/>
      <c r="H402" s="54" t="n"/>
      <c r="I402" s="54" t="n"/>
      <c r="J402" s="54" t="n"/>
      <c r="K402" s="54" t="n"/>
      <c r="L402" s="54" t="n"/>
      <c r="M402" s="54" t="n"/>
      <c r="N402" s="54" t="n"/>
      <c r="O402" s="54" t="n"/>
      <c r="P402" s="54" t="n"/>
      <c r="Q402" s="54" t="n"/>
      <c r="R402" s="54" t="n"/>
      <c r="S402" s="54" t="n"/>
      <c r="T402" s="54" t="n"/>
      <c r="U402" s="54" t="n"/>
      <c r="V402" s="54" t="n"/>
      <c r="W402" s="54" t="n"/>
      <c r="X402" s="54" t="n"/>
      <c r="Y402" s="54" t="n"/>
      <c r="Z402" s="54" t="n"/>
    </row>
    <row r="403" ht="15.75" customHeight="1" s="57">
      <c r="A403" s="54" t="n"/>
      <c r="B403" s="54" t="n"/>
      <c r="C403" s="54" t="n"/>
      <c r="D403" s="54" t="n"/>
      <c r="E403" s="54" t="n"/>
      <c r="F403" s="54" t="n"/>
      <c r="G403" s="54" t="n"/>
      <c r="H403" s="54" t="n"/>
      <c r="I403" s="54" t="n"/>
      <c r="J403" s="54" t="n"/>
      <c r="K403" s="54" t="n"/>
      <c r="L403" s="54" t="n"/>
      <c r="M403" s="54" t="n"/>
      <c r="N403" s="54" t="n"/>
      <c r="O403" s="54" t="n"/>
      <c r="P403" s="54" t="n"/>
      <c r="Q403" s="54" t="n"/>
      <c r="R403" s="54" t="n"/>
      <c r="S403" s="54" t="n"/>
      <c r="T403" s="54" t="n"/>
      <c r="U403" s="54" t="n"/>
      <c r="V403" s="54" t="n"/>
      <c r="W403" s="54" t="n"/>
      <c r="X403" s="54" t="n"/>
      <c r="Y403" s="54" t="n"/>
      <c r="Z403" s="54" t="n"/>
    </row>
    <row r="404" ht="15.75" customHeight="1" s="57">
      <c r="A404" s="54" t="n"/>
      <c r="B404" s="54" t="n"/>
      <c r="C404" s="54" t="n"/>
      <c r="D404" s="54" t="n"/>
      <c r="E404" s="54" t="n"/>
      <c r="F404" s="54" t="n"/>
      <c r="G404" s="54" t="n"/>
      <c r="H404" s="54" t="n"/>
      <c r="I404" s="54" t="n"/>
      <c r="J404" s="54" t="n"/>
      <c r="K404" s="54" t="n"/>
      <c r="L404" s="54" t="n"/>
      <c r="M404" s="54" t="n"/>
      <c r="N404" s="54" t="n"/>
      <c r="O404" s="54" t="n"/>
      <c r="P404" s="54" t="n"/>
      <c r="Q404" s="54" t="n"/>
      <c r="R404" s="54" t="n"/>
      <c r="S404" s="54" t="n"/>
      <c r="T404" s="54" t="n"/>
      <c r="U404" s="54" t="n"/>
      <c r="V404" s="54" t="n"/>
      <c r="W404" s="54" t="n"/>
      <c r="X404" s="54" t="n"/>
      <c r="Y404" s="54" t="n"/>
      <c r="Z404" s="54" t="n"/>
    </row>
    <row r="405" ht="15.75" customHeight="1" s="57">
      <c r="A405" s="54" t="n"/>
      <c r="B405" s="54" t="n"/>
      <c r="C405" s="54" t="n"/>
      <c r="D405" s="54" t="n"/>
      <c r="E405" s="54" t="n"/>
      <c r="F405" s="54" t="n"/>
      <c r="G405" s="54" t="n"/>
      <c r="H405" s="54" t="n"/>
      <c r="I405" s="54" t="n"/>
      <c r="J405" s="54" t="n"/>
      <c r="K405" s="54" t="n"/>
      <c r="L405" s="54" t="n"/>
      <c r="M405" s="54" t="n"/>
      <c r="N405" s="54" t="n"/>
      <c r="O405" s="54" t="n"/>
      <c r="P405" s="54" t="n"/>
      <c r="Q405" s="54" t="n"/>
      <c r="R405" s="54" t="n"/>
      <c r="S405" s="54" t="n"/>
      <c r="T405" s="54" t="n"/>
      <c r="U405" s="54" t="n"/>
      <c r="V405" s="54" t="n"/>
      <c r="W405" s="54" t="n"/>
      <c r="X405" s="54" t="n"/>
      <c r="Y405" s="54" t="n"/>
      <c r="Z405" s="54" t="n"/>
    </row>
    <row r="406" ht="15.75" customHeight="1" s="57">
      <c r="A406" s="54" t="n"/>
      <c r="B406" s="54" t="n"/>
      <c r="C406" s="54" t="n"/>
      <c r="D406" s="54" t="n"/>
      <c r="E406" s="54" t="n"/>
      <c r="F406" s="54" t="n"/>
      <c r="G406" s="54" t="n"/>
      <c r="H406" s="54" t="n"/>
      <c r="I406" s="54" t="n"/>
      <c r="J406" s="54" t="n"/>
      <c r="K406" s="54" t="n"/>
      <c r="L406" s="54" t="n"/>
      <c r="M406" s="54" t="n"/>
      <c r="N406" s="54" t="n"/>
      <c r="O406" s="54" t="n"/>
      <c r="P406" s="54" t="n"/>
      <c r="Q406" s="54" t="n"/>
      <c r="R406" s="54" t="n"/>
      <c r="S406" s="54" t="n"/>
      <c r="T406" s="54" t="n"/>
      <c r="U406" s="54" t="n"/>
      <c r="V406" s="54" t="n"/>
      <c r="W406" s="54" t="n"/>
      <c r="X406" s="54" t="n"/>
      <c r="Y406" s="54" t="n"/>
      <c r="Z406" s="54" t="n"/>
    </row>
    <row r="407" ht="15.75" customHeight="1" s="57">
      <c r="A407" s="54" t="n"/>
      <c r="B407" s="54" t="n"/>
      <c r="C407" s="54" t="n"/>
      <c r="D407" s="54" t="n"/>
      <c r="E407" s="54" t="n"/>
      <c r="F407" s="54" t="n"/>
      <c r="G407" s="54" t="n"/>
      <c r="H407" s="54" t="n"/>
      <c r="I407" s="54" t="n"/>
      <c r="J407" s="54" t="n"/>
      <c r="K407" s="54" t="n"/>
      <c r="L407" s="54" t="n"/>
      <c r="M407" s="54" t="n"/>
      <c r="N407" s="54" t="n"/>
      <c r="O407" s="54" t="n"/>
      <c r="P407" s="54" t="n"/>
      <c r="Q407" s="54" t="n"/>
      <c r="R407" s="54" t="n"/>
      <c r="S407" s="54" t="n"/>
      <c r="T407" s="54" t="n"/>
      <c r="U407" s="54" t="n"/>
      <c r="V407" s="54" t="n"/>
      <c r="W407" s="54" t="n"/>
      <c r="X407" s="54" t="n"/>
      <c r="Y407" s="54" t="n"/>
      <c r="Z407" s="54" t="n"/>
    </row>
    <row r="408" ht="15.75" customHeight="1" s="57">
      <c r="A408" s="54" t="n"/>
      <c r="B408" s="54" t="n"/>
      <c r="C408" s="54" t="n"/>
      <c r="D408" s="54" t="n"/>
      <c r="E408" s="54" t="n"/>
      <c r="F408" s="54" t="n"/>
      <c r="G408" s="54" t="n"/>
      <c r="H408" s="54" t="n"/>
      <c r="I408" s="54" t="n"/>
      <c r="J408" s="54" t="n"/>
      <c r="K408" s="54" t="n"/>
      <c r="L408" s="54" t="n"/>
      <c r="M408" s="54" t="n"/>
      <c r="N408" s="54" t="n"/>
      <c r="O408" s="54" t="n"/>
      <c r="P408" s="54" t="n"/>
      <c r="Q408" s="54" t="n"/>
      <c r="R408" s="54" t="n"/>
      <c r="S408" s="54" t="n"/>
      <c r="T408" s="54" t="n"/>
      <c r="U408" s="54" t="n"/>
      <c r="V408" s="54" t="n"/>
      <c r="W408" s="54" t="n"/>
      <c r="X408" s="54" t="n"/>
      <c r="Y408" s="54" t="n"/>
      <c r="Z408" s="54" t="n"/>
    </row>
    <row r="409" ht="15.75" customHeight="1" s="57">
      <c r="A409" s="54" t="n"/>
      <c r="B409" s="54" t="n"/>
      <c r="C409" s="54" t="n"/>
      <c r="D409" s="54" t="n"/>
      <c r="E409" s="54" t="n"/>
      <c r="F409" s="54" t="n"/>
      <c r="G409" s="54" t="n"/>
      <c r="H409" s="54" t="n"/>
      <c r="I409" s="54" t="n"/>
      <c r="J409" s="54" t="n"/>
      <c r="K409" s="54" t="n"/>
      <c r="L409" s="54" t="n"/>
      <c r="M409" s="54" t="n"/>
      <c r="N409" s="54" t="n"/>
      <c r="O409" s="54" t="n"/>
      <c r="P409" s="54" t="n"/>
      <c r="Q409" s="54" t="n"/>
      <c r="R409" s="54" t="n"/>
      <c r="S409" s="54" t="n"/>
      <c r="T409" s="54" t="n"/>
      <c r="U409" s="54" t="n"/>
      <c r="V409" s="54" t="n"/>
      <c r="W409" s="54" t="n"/>
      <c r="X409" s="54" t="n"/>
      <c r="Y409" s="54" t="n"/>
      <c r="Z409" s="54" t="n"/>
    </row>
    <row r="410" ht="15.75" customHeight="1" s="57">
      <c r="A410" s="54" t="n"/>
      <c r="B410" s="54" t="n"/>
      <c r="C410" s="54" t="n"/>
      <c r="D410" s="54" t="n"/>
      <c r="E410" s="54" t="n"/>
      <c r="F410" s="54" t="n"/>
      <c r="G410" s="54" t="n"/>
      <c r="H410" s="54" t="n"/>
      <c r="I410" s="54" t="n"/>
      <c r="J410" s="54" t="n"/>
      <c r="K410" s="54" t="n"/>
      <c r="L410" s="54" t="n"/>
      <c r="M410" s="54" t="n"/>
      <c r="N410" s="54" t="n"/>
      <c r="O410" s="54" t="n"/>
      <c r="P410" s="54" t="n"/>
      <c r="Q410" s="54" t="n"/>
      <c r="R410" s="54" t="n"/>
      <c r="S410" s="54" t="n"/>
      <c r="T410" s="54" t="n"/>
      <c r="U410" s="54" t="n"/>
      <c r="V410" s="54" t="n"/>
      <c r="W410" s="54" t="n"/>
      <c r="X410" s="54" t="n"/>
      <c r="Y410" s="54" t="n"/>
      <c r="Z410" s="54" t="n"/>
    </row>
    <row r="411" ht="15.75" customHeight="1" s="57">
      <c r="A411" s="54" t="n"/>
      <c r="B411" s="54" t="n"/>
      <c r="C411" s="54" t="n"/>
      <c r="D411" s="54" t="n"/>
      <c r="E411" s="54" t="n"/>
      <c r="F411" s="54" t="n"/>
      <c r="G411" s="54" t="n"/>
      <c r="H411" s="54" t="n"/>
      <c r="I411" s="54" t="n"/>
      <c r="J411" s="54" t="n"/>
      <c r="K411" s="54" t="n"/>
      <c r="L411" s="54" t="n"/>
      <c r="M411" s="54" t="n"/>
      <c r="N411" s="54" t="n"/>
      <c r="O411" s="54" t="n"/>
      <c r="P411" s="54" t="n"/>
      <c r="Q411" s="54" t="n"/>
      <c r="R411" s="54" t="n"/>
      <c r="S411" s="54" t="n"/>
      <c r="T411" s="54" t="n"/>
      <c r="U411" s="54" t="n"/>
      <c r="V411" s="54" t="n"/>
      <c r="W411" s="54" t="n"/>
      <c r="X411" s="54" t="n"/>
      <c r="Y411" s="54" t="n"/>
      <c r="Z411" s="54" t="n"/>
    </row>
    <row r="412" ht="15.75" customHeight="1" s="57">
      <c r="A412" s="54" t="n"/>
      <c r="B412" s="54" t="n"/>
      <c r="C412" s="54" t="n"/>
      <c r="D412" s="54" t="n"/>
      <c r="E412" s="54" t="n"/>
      <c r="F412" s="54" t="n"/>
      <c r="G412" s="54" t="n"/>
      <c r="H412" s="54" t="n"/>
      <c r="I412" s="54" t="n"/>
      <c r="J412" s="54" t="n"/>
      <c r="K412" s="54" t="n"/>
      <c r="L412" s="54" t="n"/>
      <c r="M412" s="54" t="n"/>
      <c r="N412" s="54" t="n"/>
      <c r="O412" s="54" t="n"/>
      <c r="P412" s="54" t="n"/>
      <c r="Q412" s="54" t="n"/>
      <c r="R412" s="54" t="n"/>
      <c r="S412" s="54" t="n"/>
      <c r="T412" s="54" t="n"/>
      <c r="U412" s="54" t="n"/>
      <c r="V412" s="54" t="n"/>
      <c r="W412" s="54" t="n"/>
      <c r="X412" s="54" t="n"/>
      <c r="Y412" s="54" t="n"/>
      <c r="Z412" s="54" t="n"/>
    </row>
    <row r="413" ht="15.75" customHeight="1" s="57">
      <c r="A413" s="54" t="n"/>
      <c r="B413" s="54" t="n"/>
      <c r="C413" s="54" t="n"/>
      <c r="D413" s="54" t="n"/>
      <c r="E413" s="54" t="n"/>
      <c r="F413" s="54" t="n"/>
      <c r="G413" s="54" t="n"/>
      <c r="H413" s="54" t="n"/>
      <c r="I413" s="54" t="n"/>
      <c r="J413" s="54" t="n"/>
      <c r="K413" s="54" t="n"/>
      <c r="L413" s="54" t="n"/>
      <c r="M413" s="54" t="n"/>
      <c r="N413" s="54" t="n"/>
      <c r="O413" s="54" t="n"/>
      <c r="P413" s="54" t="n"/>
      <c r="Q413" s="54" t="n"/>
      <c r="R413" s="54" t="n"/>
      <c r="S413" s="54" t="n"/>
      <c r="T413" s="54" t="n"/>
      <c r="U413" s="54" t="n"/>
      <c r="V413" s="54" t="n"/>
      <c r="W413" s="54" t="n"/>
      <c r="X413" s="54" t="n"/>
      <c r="Y413" s="54" t="n"/>
      <c r="Z413" s="54" t="n"/>
    </row>
    <row r="414" ht="15.75" customHeight="1" s="57">
      <c r="A414" s="54" t="n"/>
      <c r="B414" s="54" t="n"/>
      <c r="C414" s="54" t="n"/>
      <c r="D414" s="54" t="n"/>
      <c r="E414" s="54" t="n"/>
      <c r="F414" s="54" t="n"/>
      <c r="G414" s="54" t="n"/>
      <c r="H414" s="54" t="n"/>
      <c r="I414" s="54" t="n"/>
      <c r="J414" s="54" t="n"/>
      <c r="K414" s="54" t="n"/>
      <c r="L414" s="54" t="n"/>
      <c r="M414" s="54" t="n"/>
      <c r="N414" s="54" t="n"/>
      <c r="O414" s="54" t="n"/>
      <c r="P414" s="54" t="n"/>
      <c r="Q414" s="54" t="n"/>
      <c r="R414" s="54" t="n"/>
      <c r="S414" s="54" t="n"/>
      <c r="T414" s="54" t="n"/>
      <c r="U414" s="54" t="n"/>
      <c r="V414" s="54" t="n"/>
      <c r="W414" s="54" t="n"/>
      <c r="X414" s="54" t="n"/>
      <c r="Y414" s="54" t="n"/>
      <c r="Z414" s="54" t="n"/>
    </row>
    <row r="415" ht="15.75" customHeight="1" s="57">
      <c r="A415" s="54" t="n"/>
      <c r="B415" s="54" t="n"/>
      <c r="C415" s="54" t="n"/>
      <c r="D415" s="54" t="n"/>
      <c r="E415" s="54" t="n"/>
      <c r="F415" s="54" t="n"/>
      <c r="G415" s="54" t="n"/>
      <c r="H415" s="54" t="n"/>
      <c r="I415" s="54" t="n"/>
      <c r="J415" s="54" t="n"/>
      <c r="K415" s="54" t="n"/>
      <c r="L415" s="54" t="n"/>
      <c r="M415" s="54" t="n"/>
      <c r="N415" s="54" t="n"/>
      <c r="O415" s="54" t="n"/>
      <c r="P415" s="54" t="n"/>
      <c r="Q415" s="54" t="n"/>
      <c r="R415" s="54" t="n"/>
      <c r="S415" s="54" t="n"/>
      <c r="T415" s="54" t="n"/>
      <c r="U415" s="54" t="n"/>
      <c r="V415" s="54" t="n"/>
      <c r="W415" s="54" t="n"/>
      <c r="X415" s="54" t="n"/>
      <c r="Y415" s="54" t="n"/>
      <c r="Z415" s="54" t="n"/>
    </row>
    <row r="416" ht="15.75" customHeight="1" s="57">
      <c r="A416" s="54" t="n"/>
      <c r="B416" s="54" t="n"/>
      <c r="C416" s="54" t="n"/>
      <c r="D416" s="54" t="n"/>
      <c r="E416" s="54" t="n"/>
      <c r="F416" s="54" t="n"/>
      <c r="G416" s="54" t="n"/>
      <c r="H416" s="54" t="n"/>
      <c r="I416" s="54" t="n"/>
      <c r="J416" s="54" t="n"/>
      <c r="K416" s="54" t="n"/>
      <c r="L416" s="54" t="n"/>
      <c r="M416" s="54" t="n"/>
      <c r="N416" s="54" t="n"/>
      <c r="O416" s="54" t="n"/>
      <c r="P416" s="54" t="n"/>
      <c r="Q416" s="54" t="n"/>
      <c r="R416" s="54" t="n"/>
      <c r="S416" s="54" t="n"/>
      <c r="T416" s="54" t="n"/>
      <c r="U416" s="54" t="n"/>
      <c r="V416" s="54" t="n"/>
      <c r="W416" s="54" t="n"/>
      <c r="X416" s="54" t="n"/>
      <c r="Y416" s="54" t="n"/>
      <c r="Z416" s="54" t="n"/>
    </row>
    <row r="417" ht="15.75" customHeight="1" s="57">
      <c r="A417" s="54" t="n"/>
      <c r="B417" s="54" t="n"/>
      <c r="C417" s="54" t="n"/>
      <c r="D417" s="54" t="n"/>
      <c r="E417" s="54" t="n"/>
      <c r="F417" s="54" t="n"/>
      <c r="G417" s="54" t="n"/>
      <c r="H417" s="54" t="n"/>
      <c r="I417" s="54" t="n"/>
      <c r="J417" s="54" t="n"/>
      <c r="K417" s="54" t="n"/>
      <c r="L417" s="54" t="n"/>
      <c r="M417" s="54" t="n"/>
      <c r="N417" s="54" t="n"/>
      <c r="O417" s="54" t="n"/>
      <c r="P417" s="54" t="n"/>
      <c r="Q417" s="54" t="n"/>
      <c r="R417" s="54" t="n"/>
      <c r="S417" s="54" t="n"/>
      <c r="T417" s="54" t="n"/>
      <c r="U417" s="54" t="n"/>
      <c r="V417" s="54" t="n"/>
      <c r="W417" s="54" t="n"/>
      <c r="X417" s="54" t="n"/>
      <c r="Y417" s="54" t="n"/>
      <c r="Z417" s="54" t="n"/>
    </row>
    <row r="418" ht="15.75" customHeight="1" s="57">
      <c r="A418" s="54" t="n"/>
      <c r="B418" s="54" t="n"/>
      <c r="C418" s="54" t="n"/>
      <c r="D418" s="54" t="n"/>
      <c r="E418" s="54" t="n"/>
      <c r="F418" s="54" t="n"/>
      <c r="G418" s="54" t="n"/>
      <c r="H418" s="54" t="n"/>
      <c r="I418" s="54" t="n"/>
      <c r="J418" s="54" t="n"/>
      <c r="K418" s="54" t="n"/>
      <c r="L418" s="54" t="n"/>
      <c r="M418" s="54" t="n"/>
      <c r="N418" s="54" t="n"/>
      <c r="O418" s="54" t="n"/>
      <c r="P418" s="54" t="n"/>
      <c r="Q418" s="54" t="n"/>
      <c r="R418" s="54" t="n"/>
      <c r="S418" s="54" t="n"/>
      <c r="T418" s="54" t="n"/>
      <c r="U418" s="54" t="n"/>
      <c r="V418" s="54" t="n"/>
      <c r="W418" s="54" t="n"/>
      <c r="X418" s="54" t="n"/>
      <c r="Y418" s="54" t="n"/>
      <c r="Z418" s="54" t="n"/>
    </row>
    <row r="419" ht="15.75" customHeight="1" s="57">
      <c r="A419" s="54" t="n"/>
      <c r="B419" s="54" t="n"/>
      <c r="C419" s="54" t="n"/>
      <c r="D419" s="54" t="n"/>
      <c r="E419" s="54" t="n"/>
      <c r="F419" s="54" t="n"/>
      <c r="G419" s="54" t="n"/>
      <c r="H419" s="54" t="n"/>
      <c r="I419" s="54" t="n"/>
      <c r="J419" s="54" t="n"/>
      <c r="K419" s="54" t="n"/>
      <c r="L419" s="54" t="n"/>
      <c r="M419" s="54" t="n"/>
      <c r="N419" s="54" t="n"/>
      <c r="O419" s="54" t="n"/>
      <c r="P419" s="54" t="n"/>
      <c r="Q419" s="54" t="n"/>
      <c r="R419" s="54" t="n"/>
      <c r="S419" s="54" t="n"/>
      <c r="T419" s="54" t="n"/>
      <c r="U419" s="54" t="n"/>
      <c r="V419" s="54" t="n"/>
      <c r="W419" s="54" t="n"/>
      <c r="X419" s="54" t="n"/>
      <c r="Y419" s="54" t="n"/>
      <c r="Z419" s="54" t="n"/>
    </row>
    <row r="420" ht="15.75" customHeight="1" s="57">
      <c r="A420" s="54" t="n"/>
      <c r="B420" s="54" t="n"/>
      <c r="C420" s="54" t="n"/>
      <c r="D420" s="54" t="n"/>
      <c r="E420" s="54" t="n"/>
      <c r="F420" s="54" t="n"/>
      <c r="G420" s="54" t="n"/>
      <c r="H420" s="54" t="n"/>
      <c r="I420" s="54" t="n"/>
      <c r="J420" s="54" t="n"/>
      <c r="K420" s="54" t="n"/>
      <c r="L420" s="54" t="n"/>
      <c r="M420" s="54" t="n"/>
      <c r="N420" s="54" t="n"/>
      <c r="O420" s="54" t="n"/>
      <c r="P420" s="54" t="n"/>
      <c r="Q420" s="54" t="n"/>
      <c r="R420" s="54" t="n"/>
      <c r="S420" s="54" t="n"/>
      <c r="T420" s="54" t="n"/>
      <c r="U420" s="54" t="n"/>
      <c r="V420" s="54" t="n"/>
      <c r="W420" s="54" t="n"/>
      <c r="X420" s="54" t="n"/>
      <c r="Y420" s="54" t="n"/>
      <c r="Z420" s="54" t="n"/>
    </row>
    <row r="421" ht="15.75" customHeight="1" s="57">
      <c r="A421" s="54" t="n"/>
      <c r="B421" s="54" t="n"/>
      <c r="C421" s="54" t="n"/>
      <c r="D421" s="54" t="n"/>
      <c r="E421" s="54" t="n"/>
      <c r="F421" s="54" t="n"/>
      <c r="G421" s="54" t="n"/>
      <c r="H421" s="54" t="n"/>
      <c r="I421" s="54" t="n"/>
      <c r="J421" s="54" t="n"/>
      <c r="K421" s="54" t="n"/>
      <c r="L421" s="54" t="n"/>
      <c r="M421" s="54" t="n"/>
      <c r="N421" s="54" t="n"/>
      <c r="O421" s="54" t="n"/>
      <c r="P421" s="54" t="n"/>
      <c r="Q421" s="54" t="n"/>
      <c r="R421" s="54" t="n"/>
      <c r="S421" s="54" t="n"/>
      <c r="T421" s="54" t="n"/>
      <c r="U421" s="54" t="n"/>
      <c r="V421" s="54" t="n"/>
      <c r="W421" s="54" t="n"/>
      <c r="X421" s="54" t="n"/>
      <c r="Y421" s="54" t="n"/>
      <c r="Z421" s="54" t="n"/>
    </row>
    <row r="422" ht="15.75" customHeight="1" s="57">
      <c r="A422" s="54" t="n"/>
      <c r="B422" s="54" t="n"/>
      <c r="C422" s="54" t="n"/>
      <c r="D422" s="54" t="n"/>
      <c r="E422" s="54" t="n"/>
      <c r="F422" s="54" t="n"/>
      <c r="G422" s="54" t="n"/>
      <c r="H422" s="54" t="n"/>
      <c r="I422" s="54" t="n"/>
      <c r="J422" s="54" t="n"/>
      <c r="K422" s="54" t="n"/>
      <c r="L422" s="54" t="n"/>
      <c r="M422" s="54" t="n"/>
      <c r="N422" s="54" t="n"/>
      <c r="O422" s="54" t="n"/>
      <c r="P422" s="54" t="n"/>
      <c r="Q422" s="54" t="n"/>
      <c r="R422" s="54" t="n"/>
      <c r="S422" s="54" t="n"/>
      <c r="T422" s="54" t="n"/>
      <c r="U422" s="54" t="n"/>
      <c r="V422" s="54" t="n"/>
      <c r="W422" s="54" t="n"/>
      <c r="X422" s="54" t="n"/>
      <c r="Y422" s="54" t="n"/>
      <c r="Z422" s="54" t="n"/>
    </row>
    <row r="423" ht="15.75" customHeight="1" s="57">
      <c r="A423" s="54" t="n"/>
      <c r="B423" s="54" t="n"/>
      <c r="C423" s="54" t="n"/>
      <c r="D423" s="54" t="n"/>
      <c r="E423" s="54" t="n"/>
      <c r="F423" s="54" t="n"/>
      <c r="G423" s="54" t="n"/>
      <c r="H423" s="54" t="n"/>
      <c r="I423" s="54" t="n"/>
      <c r="J423" s="54" t="n"/>
      <c r="K423" s="54" t="n"/>
      <c r="L423" s="54" t="n"/>
      <c r="M423" s="54" t="n"/>
      <c r="N423" s="54" t="n"/>
      <c r="O423" s="54" t="n"/>
      <c r="P423" s="54" t="n"/>
      <c r="Q423" s="54" t="n"/>
      <c r="R423" s="54" t="n"/>
      <c r="S423" s="54" t="n"/>
      <c r="T423" s="54" t="n"/>
      <c r="U423" s="54" t="n"/>
      <c r="V423" s="54" t="n"/>
      <c r="W423" s="54" t="n"/>
      <c r="X423" s="54" t="n"/>
      <c r="Y423" s="54" t="n"/>
      <c r="Z423" s="54" t="n"/>
    </row>
    <row r="424" ht="15.75" customHeight="1" s="57">
      <c r="A424" s="54" t="n"/>
      <c r="B424" s="54" t="n"/>
      <c r="C424" s="54" t="n"/>
      <c r="D424" s="54" t="n"/>
      <c r="E424" s="54" t="n"/>
      <c r="F424" s="54" t="n"/>
      <c r="G424" s="54" t="n"/>
      <c r="H424" s="54" t="n"/>
      <c r="I424" s="54" t="n"/>
      <c r="J424" s="54" t="n"/>
      <c r="K424" s="54" t="n"/>
      <c r="L424" s="54" t="n"/>
      <c r="M424" s="54" t="n"/>
      <c r="N424" s="54" t="n"/>
      <c r="O424" s="54" t="n"/>
      <c r="P424" s="54" t="n"/>
      <c r="Q424" s="54" t="n"/>
      <c r="R424" s="54" t="n"/>
      <c r="S424" s="54" t="n"/>
      <c r="T424" s="54" t="n"/>
      <c r="U424" s="54" t="n"/>
      <c r="V424" s="54" t="n"/>
      <c r="W424" s="54" t="n"/>
      <c r="X424" s="54" t="n"/>
      <c r="Y424" s="54" t="n"/>
      <c r="Z424" s="54" t="n"/>
    </row>
    <row r="425" ht="15.75" customHeight="1" s="57">
      <c r="A425" s="54" t="n"/>
      <c r="B425" s="54" t="n"/>
      <c r="C425" s="54" t="n"/>
      <c r="D425" s="54" t="n"/>
      <c r="E425" s="54" t="n"/>
      <c r="F425" s="54" t="n"/>
      <c r="G425" s="54" t="n"/>
      <c r="H425" s="54" t="n"/>
      <c r="I425" s="54" t="n"/>
      <c r="J425" s="54" t="n"/>
      <c r="K425" s="54" t="n"/>
      <c r="L425" s="54" t="n"/>
      <c r="M425" s="54" t="n"/>
      <c r="N425" s="54" t="n"/>
      <c r="O425" s="54" t="n"/>
      <c r="P425" s="54" t="n"/>
      <c r="Q425" s="54" t="n"/>
      <c r="R425" s="54" t="n"/>
      <c r="S425" s="54" t="n"/>
      <c r="T425" s="54" t="n"/>
      <c r="U425" s="54" t="n"/>
      <c r="V425" s="54" t="n"/>
      <c r="W425" s="54" t="n"/>
      <c r="X425" s="54" t="n"/>
      <c r="Y425" s="54" t="n"/>
      <c r="Z425" s="54" t="n"/>
    </row>
    <row r="426" ht="15.75" customHeight="1" s="57">
      <c r="A426" s="54" t="n"/>
      <c r="B426" s="54" t="n"/>
      <c r="C426" s="54" t="n"/>
      <c r="D426" s="54" t="n"/>
      <c r="E426" s="54" t="n"/>
      <c r="F426" s="54" t="n"/>
      <c r="G426" s="54" t="n"/>
      <c r="H426" s="54" t="n"/>
      <c r="I426" s="54" t="n"/>
      <c r="J426" s="54" t="n"/>
      <c r="K426" s="54" t="n"/>
      <c r="L426" s="54" t="n"/>
      <c r="M426" s="54" t="n"/>
      <c r="N426" s="54" t="n"/>
      <c r="O426" s="54" t="n"/>
      <c r="P426" s="54" t="n"/>
      <c r="Q426" s="54" t="n"/>
      <c r="R426" s="54" t="n"/>
      <c r="S426" s="54" t="n"/>
      <c r="T426" s="54" t="n"/>
      <c r="U426" s="54" t="n"/>
      <c r="V426" s="54" t="n"/>
      <c r="W426" s="54" t="n"/>
      <c r="X426" s="54" t="n"/>
      <c r="Y426" s="54" t="n"/>
      <c r="Z426" s="54" t="n"/>
    </row>
    <row r="427" ht="15.75" customHeight="1" s="57">
      <c r="A427" s="54" t="n"/>
      <c r="B427" s="54" t="n"/>
      <c r="C427" s="54" t="n"/>
      <c r="D427" s="54" t="n"/>
      <c r="E427" s="54" t="n"/>
      <c r="F427" s="54" t="n"/>
      <c r="G427" s="54" t="n"/>
      <c r="H427" s="54" t="n"/>
      <c r="I427" s="54" t="n"/>
      <c r="J427" s="54" t="n"/>
      <c r="K427" s="54" t="n"/>
      <c r="L427" s="54" t="n"/>
      <c r="M427" s="54" t="n"/>
      <c r="N427" s="54" t="n"/>
      <c r="O427" s="54" t="n"/>
      <c r="P427" s="54" t="n"/>
      <c r="Q427" s="54" t="n"/>
      <c r="R427" s="54" t="n"/>
      <c r="S427" s="54" t="n"/>
      <c r="T427" s="54" t="n"/>
      <c r="U427" s="54" t="n"/>
      <c r="V427" s="54" t="n"/>
      <c r="W427" s="54" t="n"/>
      <c r="X427" s="54" t="n"/>
      <c r="Y427" s="54" t="n"/>
      <c r="Z427" s="54" t="n"/>
    </row>
    <row r="428" ht="15.75" customHeight="1" s="57">
      <c r="A428" s="54" t="n"/>
      <c r="B428" s="54" t="n"/>
      <c r="C428" s="54" t="n"/>
      <c r="D428" s="54" t="n"/>
      <c r="E428" s="54" t="n"/>
      <c r="F428" s="54" t="n"/>
      <c r="G428" s="54" t="n"/>
      <c r="H428" s="54" t="n"/>
      <c r="I428" s="54" t="n"/>
      <c r="J428" s="54" t="n"/>
      <c r="K428" s="54" t="n"/>
      <c r="L428" s="54" t="n"/>
      <c r="M428" s="54" t="n"/>
      <c r="N428" s="54" t="n"/>
      <c r="O428" s="54" t="n"/>
      <c r="P428" s="54" t="n"/>
      <c r="Q428" s="54" t="n"/>
      <c r="R428" s="54" t="n"/>
      <c r="S428" s="54" t="n"/>
      <c r="T428" s="54" t="n"/>
      <c r="U428" s="54" t="n"/>
      <c r="V428" s="54" t="n"/>
      <c r="W428" s="54" t="n"/>
      <c r="X428" s="54" t="n"/>
      <c r="Y428" s="54" t="n"/>
      <c r="Z428" s="54" t="n"/>
    </row>
    <row r="429" ht="15.75" customHeight="1" s="57">
      <c r="A429" s="54" t="n"/>
      <c r="B429" s="54" t="n"/>
      <c r="C429" s="54" t="n"/>
      <c r="D429" s="54" t="n"/>
      <c r="E429" s="54" t="n"/>
      <c r="F429" s="54" t="n"/>
      <c r="G429" s="54" t="n"/>
      <c r="H429" s="54" t="n"/>
      <c r="I429" s="54" t="n"/>
      <c r="J429" s="54" t="n"/>
      <c r="K429" s="54" t="n"/>
      <c r="L429" s="54" t="n"/>
      <c r="M429" s="54" t="n"/>
      <c r="N429" s="54" t="n"/>
      <c r="O429" s="54" t="n"/>
      <c r="P429" s="54" t="n"/>
      <c r="Q429" s="54" t="n"/>
      <c r="R429" s="54" t="n"/>
      <c r="S429" s="54" t="n"/>
      <c r="T429" s="54" t="n"/>
      <c r="U429" s="54" t="n"/>
      <c r="V429" s="54" t="n"/>
      <c r="W429" s="54" t="n"/>
      <c r="X429" s="54" t="n"/>
      <c r="Y429" s="54" t="n"/>
      <c r="Z429" s="54" t="n"/>
    </row>
    <row r="430" ht="15.75" customHeight="1" s="57">
      <c r="A430" s="54" t="n"/>
      <c r="B430" s="54" t="n"/>
      <c r="C430" s="54" t="n"/>
      <c r="D430" s="54" t="n"/>
      <c r="E430" s="54" t="n"/>
      <c r="F430" s="54" t="n"/>
      <c r="G430" s="54" t="n"/>
      <c r="H430" s="54" t="n"/>
      <c r="I430" s="54" t="n"/>
      <c r="J430" s="54" t="n"/>
      <c r="K430" s="54" t="n"/>
      <c r="L430" s="54" t="n"/>
      <c r="M430" s="54" t="n"/>
      <c r="N430" s="54" t="n"/>
      <c r="O430" s="54" t="n"/>
      <c r="P430" s="54" t="n"/>
      <c r="Q430" s="54" t="n"/>
      <c r="R430" s="54" t="n"/>
      <c r="S430" s="54" t="n"/>
      <c r="T430" s="54" t="n"/>
      <c r="U430" s="54" t="n"/>
      <c r="V430" s="54" t="n"/>
      <c r="W430" s="54" t="n"/>
      <c r="X430" s="54" t="n"/>
      <c r="Y430" s="54" t="n"/>
      <c r="Z430" s="54" t="n"/>
    </row>
    <row r="431" ht="15.75" customHeight="1" s="57">
      <c r="A431" s="54" t="n"/>
      <c r="B431" s="54" t="n"/>
      <c r="C431" s="54" t="n"/>
      <c r="D431" s="54" t="n"/>
      <c r="E431" s="54" t="n"/>
      <c r="F431" s="54" t="n"/>
      <c r="G431" s="54" t="n"/>
      <c r="H431" s="54" t="n"/>
      <c r="I431" s="54" t="n"/>
      <c r="J431" s="54" t="n"/>
      <c r="K431" s="54" t="n"/>
      <c r="L431" s="54" t="n"/>
      <c r="M431" s="54" t="n"/>
      <c r="N431" s="54" t="n"/>
      <c r="O431" s="54" t="n"/>
      <c r="P431" s="54" t="n"/>
      <c r="Q431" s="54" t="n"/>
      <c r="R431" s="54" t="n"/>
      <c r="S431" s="54" t="n"/>
      <c r="T431" s="54" t="n"/>
      <c r="U431" s="54" t="n"/>
      <c r="V431" s="54" t="n"/>
      <c r="W431" s="54" t="n"/>
      <c r="X431" s="54" t="n"/>
      <c r="Y431" s="54" t="n"/>
      <c r="Z431" s="54" t="n"/>
    </row>
    <row r="432" ht="15.75" customHeight="1" s="57">
      <c r="A432" s="54" t="n"/>
      <c r="B432" s="54" t="n"/>
      <c r="C432" s="54" t="n"/>
      <c r="D432" s="54" t="n"/>
      <c r="E432" s="54" t="n"/>
      <c r="F432" s="54" t="n"/>
      <c r="G432" s="54" t="n"/>
      <c r="H432" s="54" t="n"/>
      <c r="I432" s="54" t="n"/>
      <c r="J432" s="54" t="n"/>
      <c r="K432" s="54" t="n"/>
      <c r="L432" s="54" t="n"/>
      <c r="M432" s="54" t="n"/>
      <c r="N432" s="54" t="n"/>
      <c r="O432" s="54" t="n"/>
      <c r="P432" s="54" t="n"/>
      <c r="Q432" s="54" t="n"/>
      <c r="R432" s="54" t="n"/>
      <c r="S432" s="54" t="n"/>
      <c r="T432" s="54" t="n"/>
      <c r="U432" s="54" t="n"/>
      <c r="V432" s="54" t="n"/>
      <c r="W432" s="54" t="n"/>
      <c r="X432" s="54" t="n"/>
      <c r="Y432" s="54" t="n"/>
      <c r="Z432" s="54" t="n"/>
    </row>
    <row r="433" ht="15.75" customHeight="1" s="57">
      <c r="A433" s="54" t="n"/>
      <c r="B433" s="54" t="n"/>
      <c r="C433" s="54" t="n"/>
      <c r="D433" s="54" t="n"/>
      <c r="E433" s="54" t="n"/>
      <c r="F433" s="54" t="n"/>
      <c r="G433" s="54" t="n"/>
      <c r="H433" s="54" t="n"/>
      <c r="I433" s="54" t="n"/>
      <c r="J433" s="54" t="n"/>
      <c r="K433" s="54" t="n"/>
      <c r="L433" s="54" t="n"/>
      <c r="M433" s="54" t="n"/>
      <c r="N433" s="54" t="n"/>
      <c r="O433" s="54" t="n"/>
      <c r="P433" s="54" t="n"/>
      <c r="Q433" s="54" t="n"/>
      <c r="R433" s="54" t="n"/>
      <c r="S433" s="54" t="n"/>
      <c r="T433" s="54" t="n"/>
      <c r="U433" s="54" t="n"/>
      <c r="V433" s="54" t="n"/>
      <c r="W433" s="54" t="n"/>
      <c r="X433" s="54" t="n"/>
      <c r="Y433" s="54" t="n"/>
      <c r="Z433" s="54" t="n"/>
    </row>
    <row r="434" ht="15.75" customHeight="1" s="57">
      <c r="A434" s="54" t="n"/>
      <c r="B434" s="54" t="n"/>
      <c r="C434" s="54" t="n"/>
      <c r="D434" s="54" t="n"/>
      <c r="E434" s="54" t="n"/>
      <c r="F434" s="54" t="n"/>
      <c r="G434" s="54" t="n"/>
      <c r="H434" s="54" t="n"/>
      <c r="I434" s="54" t="n"/>
      <c r="J434" s="54" t="n"/>
      <c r="K434" s="54" t="n"/>
      <c r="L434" s="54" t="n"/>
      <c r="M434" s="54" t="n"/>
      <c r="N434" s="54" t="n"/>
      <c r="O434" s="54" t="n"/>
      <c r="P434" s="54" t="n"/>
      <c r="Q434" s="54" t="n"/>
      <c r="R434" s="54" t="n"/>
      <c r="S434" s="54" t="n"/>
      <c r="T434" s="54" t="n"/>
      <c r="U434" s="54" t="n"/>
      <c r="V434" s="54" t="n"/>
      <c r="W434" s="54" t="n"/>
      <c r="X434" s="54" t="n"/>
      <c r="Y434" s="54" t="n"/>
      <c r="Z434" s="54" t="n"/>
    </row>
    <row r="435" ht="15.75" customHeight="1" s="57">
      <c r="A435" s="54" t="n"/>
      <c r="B435" s="54" t="n"/>
      <c r="C435" s="54" t="n"/>
      <c r="D435" s="54" t="n"/>
      <c r="E435" s="54" t="n"/>
      <c r="F435" s="54" t="n"/>
      <c r="G435" s="54" t="n"/>
      <c r="H435" s="54" t="n"/>
      <c r="I435" s="54" t="n"/>
      <c r="J435" s="54" t="n"/>
      <c r="K435" s="54" t="n"/>
      <c r="L435" s="54" t="n"/>
      <c r="M435" s="54" t="n"/>
      <c r="N435" s="54" t="n"/>
      <c r="O435" s="54" t="n"/>
      <c r="P435" s="54" t="n"/>
      <c r="Q435" s="54" t="n"/>
      <c r="R435" s="54" t="n"/>
      <c r="S435" s="54" t="n"/>
      <c r="T435" s="54" t="n"/>
      <c r="U435" s="54" t="n"/>
      <c r="V435" s="54" t="n"/>
      <c r="W435" s="54" t="n"/>
      <c r="X435" s="54" t="n"/>
      <c r="Y435" s="54" t="n"/>
      <c r="Z435" s="54" t="n"/>
    </row>
    <row r="436" ht="15.75" customHeight="1" s="57">
      <c r="A436" s="54" t="n"/>
      <c r="B436" s="54" t="n"/>
      <c r="C436" s="54" t="n"/>
      <c r="D436" s="54" t="n"/>
      <c r="E436" s="54" t="n"/>
      <c r="F436" s="54" t="n"/>
      <c r="G436" s="54" t="n"/>
      <c r="H436" s="54" t="n"/>
      <c r="I436" s="54" t="n"/>
      <c r="J436" s="54" t="n"/>
      <c r="K436" s="54" t="n"/>
      <c r="L436" s="54" t="n"/>
      <c r="M436" s="54" t="n"/>
      <c r="N436" s="54" t="n"/>
      <c r="O436" s="54" t="n"/>
      <c r="P436" s="54" t="n"/>
      <c r="Q436" s="54" t="n"/>
      <c r="R436" s="54" t="n"/>
      <c r="S436" s="54" t="n"/>
      <c r="T436" s="54" t="n"/>
      <c r="U436" s="54" t="n"/>
      <c r="V436" s="54" t="n"/>
      <c r="W436" s="54" t="n"/>
      <c r="X436" s="54" t="n"/>
      <c r="Y436" s="54" t="n"/>
      <c r="Z436" s="54" t="n"/>
    </row>
    <row r="437" ht="15.75" customHeight="1" s="57">
      <c r="A437" s="54" t="n"/>
      <c r="B437" s="54" t="n"/>
      <c r="C437" s="54" t="n"/>
      <c r="D437" s="54" t="n"/>
      <c r="E437" s="54" t="n"/>
      <c r="F437" s="54" t="n"/>
      <c r="G437" s="54" t="n"/>
      <c r="H437" s="54" t="n"/>
      <c r="I437" s="54" t="n"/>
      <c r="J437" s="54" t="n"/>
      <c r="K437" s="54" t="n"/>
      <c r="L437" s="54" t="n"/>
      <c r="M437" s="54" t="n"/>
      <c r="N437" s="54" t="n"/>
      <c r="O437" s="54" t="n"/>
      <c r="P437" s="54" t="n"/>
      <c r="Q437" s="54" t="n"/>
      <c r="R437" s="54" t="n"/>
      <c r="S437" s="54" t="n"/>
      <c r="T437" s="54" t="n"/>
      <c r="U437" s="54" t="n"/>
      <c r="V437" s="54" t="n"/>
      <c r="W437" s="54" t="n"/>
      <c r="X437" s="54" t="n"/>
      <c r="Y437" s="54" t="n"/>
      <c r="Z437" s="54" t="n"/>
    </row>
    <row r="438" ht="15.75" customHeight="1" s="57">
      <c r="A438" s="54" t="n"/>
      <c r="B438" s="54" t="n"/>
      <c r="C438" s="54" t="n"/>
      <c r="D438" s="54" t="n"/>
      <c r="E438" s="54" t="n"/>
      <c r="F438" s="54" t="n"/>
      <c r="G438" s="54" t="n"/>
      <c r="H438" s="54" t="n"/>
      <c r="I438" s="54" t="n"/>
      <c r="J438" s="54" t="n"/>
      <c r="K438" s="54" t="n"/>
      <c r="L438" s="54" t="n"/>
      <c r="M438" s="54" t="n"/>
      <c r="N438" s="54" t="n"/>
      <c r="O438" s="54" t="n"/>
      <c r="P438" s="54" t="n"/>
      <c r="Q438" s="54" t="n"/>
      <c r="R438" s="54" t="n"/>
      <c r="S438" s="54" t="n"/>
      <c r="T438" s="54" t="n"/>
      <c r="U438" s="54" t="n"/>
      <c r="V438" s="54" t="n"/>
      <c r="W438" s="54" t="n"/>
      <c r="X438" s="54" t="n"/>
      <c r="Y438" s="54" t="n"/>
      <c r="Z438" s="54" t="n"/>
    </row>
    <row r="439" ht="15.75" customHeight="1" s="57">
      <c r="A439" s="54" t="n"/>
      <c r="B439" s="54" t="n"/>
      <c r="C439" s="54" t="n"/>
      <c r="D439" s="54" t="n"/>
      <c r="E439" s="54" t="n"/>
      <c r="F439" s="54" t="n"/>
      <c r="G439" s="54" t="n"/>
      <c r="H439" s="54" t="n"/>
      <c r="I439" s="54" t="n"/>
      <c r="J439" s="54" t="n"/>
      <c r="K439" s="54" t="n"/>
      <c r="L439" s="54" t="n"/>
      <c r="M439" s="54" t="n"/>
      <c r="N439" s="54" t="n"/>
      <c r="O439" s="54" t="n"/>
      <c r="P439" s="54" t="n"/>
      <c r="Q439" s="54" t="n"/>
      <c r="R439" s="54" t="n"/>
      <c r="S439" s="54" t="n"/>
      <c r="T439" s="54" t="n"/>
      <c r="U439" s="54" t="n"/>
      <c r="V439" s="54" t="n"/>
      <c r="W439" s="54" t="n"/>
      <c r="X439" s="54" t="n"/>
      <c r="Y439" s="54" t="n"/>
      <c r="Z439" s="54" t="n"/>
    </row>
    <row r="440" ht="15.75" customHeight="1" s="57">
      <c r="A440" s="54" t="n"/>
      <c r="B440" s="54" t="n"/>
      <c r="C440" s="54" t="n"/>
      <c r="D440" s="54" t="n"/>
      <c r="E440" s="54" t="n"/>
      <c r="F440" s="54" t="n"/>
      <c r="G440" s="54" t="n"/>
      <c r="H440" s="54" t="n"/>
      <c r="I440" s="54" t="n"/>
      <c r="J440" s="54" t="n"/>
      <c r="K440" s="54" t="n"/>
      <c r="L440" s="54" t="n"/>
      <c r="M440" s="54" t="n"/>
      <c r="N440" s="54" t="n"/>
      <c r="O440" s="54" t="n"/>
      <c r="P440" s="54" t="n"/>
      <c r="Q440" s="54" t="n"/>
      <c r="R440" s="54" t="n"/>
      <c r="S440" s="54" t="n"/>
      <c r="T440" s="54" t="n"/>
      <c r="U440" s="54" t="n"/>
      <c r="V440" s="54" t="n"/>
      <c r="W440" s="54" t="n"/>
      <c r="X440" s="54" t="n"/>
      <c r="Y440" s="54" t="n"/>
      <c r="Z440" s="54" t="n"/>
    </row>
    <row r="441" ht="15.75" customHeight="1" s="57">
      <c r="A441" s="54" t="n"/>
      <c r="B441" s="54" t="n"/>
      <c r="C441" s="54" t="n"/>
      <c r="D441" s="54" t="n"/>
      <c r="E441" s="54" t="n"/>
      <c r="F441" s="54" t="n"/>
      <c r="G441" s="54" t="n"/>
      <c r="H441" s="54" t="n"/>
      <c r="I441" s="54" t="n"/>
      <c r="J441" s="54" t="n"/>
      <c r="K441" s="54" t="n"/>
      <c r="L441" s="54" t="n"/>
      <c r="M441" s="54" t="n"/>
      <c r="N441" s="54" t="n"/>
      <c r="O441" s="54" t="n"/>
      <c r="P441" s="54" t="n"/>
      <c r="Q441" s="54" t="n"/>
      <c r="R441" s="54" t="n"/>
      <c r="S441" s="54" t="n"/>
      <c r="T441" s="54" t="n"/>
      <c r="U441" s="54" t="n"/>
      <c r="V441" s="54" t="n"/>
      <c r="W441" s="54" t="n"/>
      <c r="X441" s="54" t="n"/>
      <c r="Y441" s="54" t="n"/>
      <c r="Z441" s="54" t="n"/>
    </row>
    <row r="442" ht="15.75" customHeight="1" s="57">
      <c r="A442" s="54" t="n"/>
      <c r="B442" s="54" t="n"/>
      <c r="C442" s="54" t="n"/>
      <c r="D442" s="54" t="n"/>
      <c r="E442" s="54" t="n"/>
      <c r="F442" s="54" t="n"/>
      <c r="G442" s="54" t="n"/>
      <c r="H442" s="54" t="n"/>
      <c r="I442" s="54" t="n"/>
      <c r="J442" s="54" t="n"/>
      <c r="K442" s="54" t="n"/>
      <c r="L442" s="54" t="n"/>
      <c r="M442" s="54" t="n"/>
      <c r="N442" s="54" t="n"/>
      <c r="O442" s="54" t="n"/>
      <c r="P442" s="54" t="n"/>
      <c r="Q442" s="54" t="n"/>
      <c r="R442" s="54" t="n"/>
      <c r="S442" s="54" t="n"/>
      <c r="T442" s="54" t="n"/>
      <c r="U442" s="54" t="n"/>
      <c r="V442" s="54" t="n"/>
      <c r="W442" s="54" t="n"/>
      <c r="X442" s="54" t="n"/>
      <c r="Y442" s="54" t="n"/>
      <c r="Z442" s="54" t="n"/>
    </row>
    <row r="443" ht="15.75" customHeight="1" s="57">
      <c r="A443" s="54" t="n"/>
      <c r="B443" s="54" t="n"/>
      <c r="C443" s="54" t="n"/>
      <c r="D443" s="54" t="n"/>
      <c r="E443" s="54" t="n"/>
      <c r="F443" s="54" t="n"/>
      <c r="G443" s="54" t="n"/>
      <c r="H443" s="54" t="n"/>
      <c r="I443" s="54" t="n"/>
      <c r="J443" s="54" t="n"/>
      <c r="K443" s="54" t="n"/>
      <c r="L443" s="54" t="n"/>
      <c r="M443" s="54" t="n"/>
      <c r="N443" s="54" t="n"/>
      <c r="O443" s="54" t="n"/>
      <c r="P443" s="54" t="n"/>
      <c r="Q443" s="54" t="n"/>
      <c r="R443" s="54" t="n"/>
      <c r="S443" s="54" t="n"/>
      <c r="T443" s="54" t="n"/>
      <c r="U443" s="54" t="n"/>
      <c r="V443" s="54" t="n"/>
      <c r="W443" s="54" t="n"/>
      <c r="X443" s="54" t="n"/>
      <c r="Y443" s="54" t="n"/>
      <c r="Z443" s="54" t="n"/>
    </row>
    <row r="444" ht="15.75" customHeight="1" s="57">
      <c r="A444" s="54" t="n"/>
      <c r="B444" s="54" t="n"/>
      <c r="C444" s="54" t="n"/>
      <c r="D444" s="54" t="n"/>
      <c r="E444" s="54" t="n"/>
      <c r="F444" s="54" t="n"/>
      <c r="G444" s="54" t="n"/>
      <c r="H444" s="54" t="n"/>
      <c r="I444" s="54" t="n"/>
      <c r="J444" s="54" t="n"/>
      <c r="K444" s="54" t="n"/>
      <c r="L444" s="54" t="n"/>
      <c r="M444" s="54" t="n"/>
      <c r="N444" s="54" t="n"/>
      <c r="O444" s="54" t="n"/>
      <c r="P444" s="54" t="n"/>
      <c r="Q444" s="54" t="n"/>
      <c r="R444" s="54" t="n"/>
      <c r="S444" s="54" t="n"/>
      <c r="T444" s="54" t="n"/>
      <c r="U444" s="54" t="n"/>
      <c r="V444" s="54" t="n"/>
      <c r="W444" s="54" t="n"/>
      <c r="X444" s="54" t="n"/>
      <c r="Y444" s="54" t="n"/>
      <c r="Z444" s="54" t="n"/>
    </row>
    <row r="445" ht="15.75" customHeight="1" s="57">
      <c r="A445" s="54" t="n"/>
      <c r="B445" s="54" t="n"/>
      <c r="C445" s="54" t="n"/>
      <c r="D445" s="54" t="n"/>
      <c r="E445" s="54" t="n"/>
      <c r="F445" s="54" t="n"/>
      <c r="G445" s="54" t="n"/>
      <c r="H445" s="54" t="n"/>
      <c r="I445" s="54" t="n"/>
      <c r="J445" s="54" t="n"/>
      <c r="K445" s="54" t="n"/>
      <c r="L445" s="54" t="n"/>
      <c r="M445" s="54" t="n"/>
      <c r="N445" s="54" t="n"/>
      <c r="O445" s="54" t="n"/>
      <c r="P445" s="54" t="n"/>
      <c r="Q445" s="54" t="n"/>
      <c r="R445" s="54" t="n"/>
      <c r="S445" s="54" t="n"/>
      <c r="T445" s="54" t="n"/>
      <c r="U445" s="54" t="n"/>
      <c r="V445" s="54" t="n"/>
      <c r="W445" s="54" t="n"/>
      <c r="X445" s="54" t="n"/>
      <c r="Y445" s="54" t="n"/>
      <c r="Z445" s="54" t="n"/>
    </row>
    <row r="446" ht="15.75" customHeight="1" s="57">
      <c r="A446" s="54" t="n"/>
      <c r="B446" s="54" t="n"/>
      <c r="C446" s="54" t="n"/>
      <c r="D446" s="54" t="n"/>
      <c r="E446" s="54" t="n"/>
      <c r="F446" s="54" t="n"/>
      <c r="G446" s="54" t="n"/>
      <c r="H446" s="54" t="n"/>
      <c r="I446" s="54" t="n"/>
      <c r="J446" s="54" t="n"/>
      <c r="K446" s="54" t="n"/>
      <c r="L446" s="54" t="n"/>
      <c r="M446" s="54" t="n"/>
      <c r="N446" s="54" t="n"/>
      <c r="O446" s="54" t="n"/>
      <c r="P446" s="54" t="n"/>
      <c r="Q446" s="54" t="n"/>
      <c r="R446" s="54" t="n"/>
      <c r="S446" s="54" t="n"/>
      <c r="T446" s="54" t="n"/>
      <c r="U446" s="54" t="n"/>
      <c r="V446" s="54" t="n"/>
      <c r="W446" s="54" t="n"/>
      <c r="X446" s="54" t="n"/>
      <c r="Y446" s="54" t="n"/>
      <c r="Z446" s="54" t="n"/>
    </row>
    <row r="447" ht="15.75" customHeight="1" s="57">
      <c r="A447" s="54" t="n"/>
      <c r="B447" s="54" t="n"/>
      <c r="C447" s="54" t="n"/>
      <c r="D447" s="54" t="n"/>
      <c r="E447" s="54" t="n"/>
      <c r="F447" s="54" t="n"/>
      <c r="G447" s="54" t="n"/>
      <c r="H447" s="54" t="n"/>
      <c r="I447" s="54" t="n"/>
      <c r="J447" s="54" t="n"/>
      <c r="K447" s="54" t="n"/>
      <c r="L447" s="54" t="n"/>
      <c r="M447" s="54" t="n"/>
      <c r="N447" s="54" t="n"/>
      <c r="O447" s="54" t="n"/>
      <c r="P447" s="54" t="n"/>
      <c r="Q447" s="54" t="n"/>
      <c r="R447" s="54" t="n"/>
      <c r="S447" s="54" t="n"/>
      <c r="T447" s="54" t="n"/>
      <c r="U447" s="54" t="n"/>
      <c r="V447" s="54" t="n"/>
      <c r="W447" s="54" t="n"/>
      <c r="X447" s="54" t="n"/>
      <c r="Y447" s="54" t="n"/>
      <c r="Z447" s="54" t="n"/>
    </row>
    <row r="448" ht="15.75" customHeight="1" s="57">
      <c r="A448" s="54" t="n"/>
      <c r="B448" s="54" t="n"/>
      <c r="C448" s="54" t="n"/>
      <c r="D448" s="54" t="n"/>
      <c r="E448" s="54" t="n"/>
      <c r="F448" s="54" t="n"/>
      <c r="G448" s="54" t="n"/>
      <c r="H448" s="54" t="n"/>
      <c r="I448" s="54" t="n"/>
      <c r="J448" s="54" t="n"/>
      <c r="K448" s="54" t="n"/>
      <c r="L448" s="54" t="n"/>
      <c r="M448" s="54" t="n"/>
      <c r="N448" s="54" t="n"/>
      <c r="O448" s="54" t="n"/>
      <c r="P448" s="54" t="n"/>
      <c r="Q448" s="54" t="n"/>
      <c r="R448" s="54" t="n"/>
      <c r="S448" s="54" t="n"/>
      <c r="T448" s="54" t="n"/>
      <c r="U448" s="54" t="n"/>
      <c r="V448" s="54" t="n"/>
      <c r="W448" s="54" t="n"/>
      <c r="X448" s="54" t="n"/>
      <c r="Y448" s="54" t="n"/>
      <c r="Z448" s="54" t="n"/>
    </row>
    <row r="449" ht="15.75" customHeight="1" s="57">
      <c r="A449" s="54" t="n"/>
      <c r="B449" s="54" t="n"/>
      <c r="C449" s="54" t="n"/>
      <c r="D449" s="54" t="n"/>
      <c r="E449" s="54" t="n"/>
      <c r="F449" s="54" t="n"/>
      <c r="G449" s="54" t="n"/>
      <c r="H449" s="54" t="n"/>
      <c r="I449" s="54" t="n"/>
      <c r="J449" s="54" t="n"/>
      <c r="K449" s="54" t="n"/>
      <c r="L449" s="54" t="n"/>
      <c r="M449" s="54" t="n"/>
      <c r="N449" s="54" t="n"/>
      <c r="O449" s="54" t="n"/>
      <c r="P449" s="54" t="n"/>
      <c r="Q449" s="54" t="n"/>
      <c r="R449" s="54" t="n"/>
      <c r="S449" s="54" t="n"/>
      <c r="T449" s="54" t="n"/>
      <c r="U449" s="54" t="n"/>
      <c r="V449" s="54" t="n"/>
      <c r="W449" s="54" t="n"/>
      <c r="X449" s="54" t="n"/>
      <c r="Y449" s="54" t="n"/>
      <c r="Z449" s="54" t="n"/>
    </row>
    <row r="450" ht="15.75" customHeight="1" s="57">
      <c r="A450" s="54" t="n"/>
      <c r="B450" s="54" t="n"/>
      <c r="C450" s="54" t="n"/>
      <c r="D450" s="54" t="n"/>
      <c r="E450" s="54" t="n"/>
      <c r="F450" s="54" t="n"/>
      <c r="G450" s="54" t="n"/>
      <c r="H450" s="54" t="n"/>
      <c r="I450" s="54" t="n"/>
      <c r="J450" s="54" t="n"/>
      <c r="K450" s="54" t="n"/>
      <c r="L450" s="54" t="n"/>
      <c r="M450" s="54" t="n"/>
      <c r="N450" s="54" t="n"/>
      <c r="O450" s="54" t="n"/>
      <c r="P450" s="54" t="n"/>
      <c r="Q450" s="54" t="n"/>
      <c r="R450" s="54" t="n"/>
      <c r="S450" s="54" t="n"/>
      <c r="T450" s="54" t="n"/>
      <c r="U450" s="54" t="n"/>
      <c r="V450" s="54" t="n"/>
      <c r="W450" s="54" t="n"/>
      <c r="X450" s="54" t="n"/>
      <c r="Y450" s="54" t="n"/>
      <c r="Z450" s="54" t="n"/>
    </row>
    <row r="451" ht="15.75" customHeight="1" s="57">
      <c r="A451" s="54" t="n"/>
      <c r="B451" s="54" t="n"/>
      <c r="C451" s="54" t="n"/>
      <c r="D451" s="54" t="n"/>
      <c r="E451" s="54" t="n"/>
      <c r="F451" s="54" t="n"/>
      <c r="G451" s="54" t="n"/>
      <c r="H451" s="54" t="n"/>
      <c r="I451" s="54" t="n"/>
      <c r="J451" s="54" t="n"/>
      <c r="K451" s="54" t="n"/>
      <c r="L451" s="54" t="n"/>
      <c r="M451" s="54" t="n"/>
      <c r="N451" s="54" t="n"/>
      <c r="O451" s="54" t="n"/>
      <c r="P451" s="54" t="n"/>
      <c r="Q451" s="54" t="n"/>
      <c r="R451" s="54" t="n"/>
      <c r="S451" s="54" t="n"/>
      <c r="T451" s="54" t="n"/>
      <c r="U451" s="54" t="n"/>
      <c r="V451" s="54" t="n"/>
      <c r="W451" s="54" t="n"/>
      <c r="X451" s="54" t="n"/>
      <c r="Y451" s="54" t="n"/>
      <c r="Z451" s="54" t="n"/>
    </row>
    <row r="452" ht="15.75" customHeight="1" s="57">
      <c r="A452" s="54" t="n"/>
      <c r="B452" s="54" t="n"/>
      <c r="C452" s="54" t="n"/>
      <c r="D452" s="54" t="n"/>
      <c r="E452" s="54" t="n"/>
      <c r="F452" s="54" t="n"/>
      <c r="G452" s="54" t="n"/>
      <c r="H452" s="54" t="n"/>
      <c r="I452" s="54" t="n"/>
      <c r="J452" s="54" t="n"/>
      <c r="K452" s="54" t="n"/>
      <c r="L452" s="54" t="n"/>
      <c r="M452" s="54" t="n"/>
      <c r="N452" s="54" t="n"/>
      <c r="O452" s="54" t="n"/>
      <c r="P452" s="54" t="n"/>
      <c r="Q452" s="54" t="n"/>
      <c r="R452" s="54" t="n"/>
      <c r="S452" s="54" t="n"/>
      <c r="T452" s="54" t="n"/>
      <c r="U452" s="54" t="n"/>
      <c r="V452" s="54" t="n"/>
      <c r="W452" s="54" t="n"/>
      <c r="X452" s="54" t="n"/>
      <c r="Y452" s="54" t="n"/>
      <c r="Z452" s="54" t="n"/>
    </row>
    <row r="453" ht="15.75" customHeight="1" s="57">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row>
    <row r="454" ht="15.75" customHeight="1" s="57">
      <c r="A454" s="54" t="n"/>
      <c r="B454" s="54" t="n"/>
      <c r="C454" s="54" t="n"/>
      <c r="D454" s="54" t="n"/>
      <c r="E454" s="54" t="n"/>
      <c r="F454" s="54" t="n"/>
      <c r="G454" s="54" t="n"/>
      <c r="H454" s="54" t="n"/>
      <c r="I454" s="54" t="n"/>
      <c r="J454" s="54" t="n"/>
      <c r="K454" s="54" t="n"/>
      <c r="L454" s="54" t="n"/>
      <c r="M454" s="54" t="n"/>
      <c r="N454" s="54" t="n"/>
      <c r="O454" s="54" t="n"/>
      <c r="P454" s="54" t="n"/>
      <c r="Q454" s="54" t="n"/>
      <c r="R454" s="54" t="n"/>
      <c r="S454" s="54" t="n"/>
      <c r="T454" s="54" t="n"/>
      <c r="U454" s="54" t="n"/>
      <c r="V454" s="54" t="n"/>
      <c r="W454" s="54" t="n"/>
      <c r="X454" s="54" t="n"/>
      <c r="Y454" s="54" t="n"/>
      <c r="Z454" s="54" t="n"/>
    </row>
    <row r="455" ht="15.75" customHeight="1" s="57">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row>
    <row r="456" ht="15.75" customHeight="1" s="57">
      <c r="A456" s="54" t="n"/>
      <c r="B456" s="54" t="n"/>
      <c r="C456" s="54" t="n"/>
      <c r="D456" s="54" t="n"/>
      <c r="E456" s="54" t="n"/>
      <c r="F456" s="54" t="n"/>
      <c r="G456" s="54" t="n"/>
      <c r="H456" s="54" t="n"/>
      <c r="I456" s="54" t="n"/>
      <c r="J456" s="54" t="n"/>
      <c r="K456" s="54" t="n"/>
      <c r="L456" s="54" t="n"/>
      <c r="M456" s="54" t="n"/>
      <c r="N456" s="54" t="n"/>
      <c r="O456" s="54" t="n"/>
      <c r="P456" s="54" t="n"/>
      <c r="Q456" s="54" t="n"/>
      <c r="R456" s="54" t="n"/>
      <c r="S456" s="54" t="n"/>
      <c r="T456" s="54" t="n"/>
      <c r="U456" s="54" t="n"/>
      <c r="V456" s="54" t="n"/>
      <c r="W456" s="54" t="n"/>
      <c r="X456" s="54" t="n"/>
      <c r="Y456" s="54" t="n"/>
      <c r="Z456" s="54" t="n"/>
    </row>
    <row r="457" ht="15.75" customHeight="1" s="57">
      <c r="A457" s="54" t="n"/>
      <c r="B457" s="54" t="n"/>
      <c r="C457" s="54" t="n"/>
      <c r="D457" s="54" t="n"/>
      <c r="E457" s="54" t="n"/>
      <c r="F457" s="54" t="n"/>
      <c r="G457" s="54" t="n"/>
      <c r="H457" s="54" t="n"/>
      <c r="I457" s="54" t="n"/>
      <c r="J457" s="54" t="n"/>
      <c r="K457" s="54" t="n"/>
      <c r="L457" s="54" t="n"/>
      <c r="M457" s="54" t="n"/>
      <c r="N457" s="54" t="n"/>
      <c r="O457" s="54" t="n"/>
      <c r="P457" s="54" t="n"/>
      <c r="Q457" s="54" t="n"/>
      <c r="R457" s="54" t="n"/>
      <c r="S457" s="54" t="n"/>
      <c r="T457" s="54" t="n"/>
      <c r="U457" s="54" t="n"/>
      <c r="V457" s="54" t="n"/>
      <c r="W457" s="54" t="n"/>
      <c r="X457" s="54" t="n"/>
      <c r="Y457" s="54" t="n"/>
      <c r="Z457" s="54" t="n"/>
    </row>
    <row r="458" ht="15.75" customHeight="1" s="57">
      <c r="A458" s="54" t="n"/>
      <c r="B458" s="54" t="n"/>
      <c r="C458" s="54" t="n"/>
      <c r="D458" s="54" t="n"/>
      <c r="E458" s="54" t="n"/>
      <c r="F458" s="54" t="n"/>
      <c r="G458" s="54" t="n"/>
      <c r="H458" s="54" t="n"/>
      <c r="I458" s="54" t="n"/>
      <c r="J458" s="54" t="n"/>
      <c r="K458" s="54" t="n"/>
      <c r="L458" s="54" t="n"/>
      <c r="M458" s="54" t="n"/>
      <c r="N458" s="54" t="n"/>
      <c r="O458" s="54" t="n"/>
      <c r="P458" s="54" t="n"/>
      <c r="Q458" s="54" t="n"/>
      <c r="R458" s="54" t="n"/>
      <c r="S458" s="54" t="n"/>
      <c r="T458" s="54" t="n"/>
      <c r="U458" s="54" t="n"/>
      <c r="V458" s="54" t="n"/>
      <c r="W458" s="54" t="n"/>
      <c r="X458" s="54" t="n"/>
      <c r="Y458" s="54" t="n"/>
      <c r="Z458" s="54" t="n"/>
    </row>
    <row r="459" ht="15.75" customHeight="1" s="57">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row>
    <row r="460" ht="15.75" customHeight="1" s="57">
      <c r="A460" s="54" t="n"/>
      <c r="B460" s="54" t="n"/>
      <c r="C460" s="54" t="n"/>
      <c r="D460" s="54" t="n"/>
      <c r="E460" s="54" t="n"/>
      <c r="F460" s="54" t="n"/>
      <c r="G460" s="54" t="n"/>
      <c r="H460" s="54" t="n"/>
      <c r="I460" s="54" t="n"/>
      <c r="J460" s="54" t="n"/>
      <c r="K460" s="54" t="n"/>
      <c r="L460" s="54" t="n"/>
      <c r="M460" s="54" t="n"/>
      <c r="N460" s="54" t="n"/>
      <c r="O460" s="54" t="n"/>
      <c r="P460" s="54" t="n"/>
      <c r="Q460" s="54" t="n"/>
      <c r="R460" s="54" t="n"/>
      <c r="S460" s="54" t="n"/>
      <c r="T460" s="54" t="n"/>
      <c r="U460" s="54" t="n"/>
      <c r="V460" s="54" t="n"/>
      <c r="W460" s="54" t="n"/>
      <c r="X460" s="54" t="n"/>
      <c r="Y460" s="54" t="n"/>
      <c r="Z460" s="54" t="n"/>
    </row>
    <row r="461" ht="15.75" customHeight="1" s="57">
      <c r="A461" s="54" t="n"/>
      <c r="B461" s="54" t="n"/>
      <c r="C461" s="54" t="n"/>
      <c r="D461" s="54" t="n"/>
      <c r="E461" s="54" t="n"/>
      <c r="F461" s="54" t="n"/>
      <c r="G461" s="54" t="n"/>
      <c r="H461" s="54" t="n"/>
      <c r="I461" s="54" t="n"/>
      <c r="J461" s="54" t="n"/>
      <c r="K461" s="54" t="n"/>
      <c r="L461" s="54" t="n"/>
      <c r="M461" s="54" t="n"/>
      <c r="N461" s="54" t="n"/>
      <c r="O461" s="54" t="n"/>
      <c r="P461" s="54" t="n"/>
      <c r="Q461" s="54" t="n"/>
      <c r="R461" s="54" t="n"/>
      <c r="S461" s="54" t="n"/>
      <c r="T461" s="54" t="n"/>
      <c r="U461" s="54" t="n"/>
      <c r="V461" s="54" t="n"/>
      <c r="W461" s="54" t="n"/>
      <c r="X461" s="54" t="n"/>
      <c r="Y461" s="54" t="n"/>
      <c r="Z461" s="54" t="n"/>
    </row>
    <row r="462" ht="15.75" customHeight="1" s="57">
      <c r="A462" s="54" t="n"/>
      <c r="B462" s="54" t="n"/>
      <c r="C462" s="54" t="n"/>
      <c r="D462" s="54" t="n"/>
      <c r="E462" s="54" t="n"/>
      <c r="F462" s="54" t="n"/>
      <c r="G462" s="54" t="n"/>
      <c r="H462" s="54" t="n"/>
      <c r="I462" s="54" t="n"/>
      <c r="J462" s="54" t="n"/>
      <c r="K462" s="54" t="n"/>
      <c r="L462" s="54" t="n"/>
      <c r="M462" s="54" t="n"/>
      <c r="N462" s="54" t="n"/>
      <c r="O462" s="54" t="n"/>
      <c r="P462" s="54" t="n"/>
      <c r="Q462" s="54" t="n"/>
      <c r="R462" s="54" t="n"/>
      <c r="S462" s="54" t="n"/>
      <c r="T462" s="54" t="n"/>
      <c r="U462" s="54" t="n"/>
      <c r="V462" s="54" t="n"/>
      <c r="W462" s="54" t="n"/>
      <c r="X462" s="54" t="n"/>
      <c r="Y462" s="54" t="n"/>
      <c r="Z462" s="54" t="n"/>
    </row>
    <row r="463" ht="15.75" customHeight="1" s="57">
      <c r="A463" s="54" t="n"/>
      <c r="B463" s="54" t="n"/>
      <c r="C463" s="54" t="n"/>
      <c r="D463" s="54" t="n"/>
      <c r="E463" s="54" t="n"/>
      <c r="F463" s="54" t="n"/>
      <c r="G463" s="54" t="n"/>
      <c r="H463" s="54" t="n"/>
      <c r="I463" s="54" t="n"/>
      <c r="J463" s="54" t="n"/>
      <c r="K463" s="54" t="n"/>
      <c r="L463" s="54" t="n"/>
      <c r="M463" s="54" t="n"/>
      <c r="N463" s="54" t="n"/>
      <c r="O463" s="54" t="n"/>
      <c r="P463" s="54" t="n"/>
      <c r="Q463" s="54" t="n"/>
      <c r="R463" s="54" t="n"/>
      <c r="S463" s="54" t="n"/>
      <c r="T463" s="54" t="n"/>
      <c r="U463" s="54" t="n"/>
      <c r="V463" s="54" t="n"/>
      <c r="W463" s="54" t="n"/>
      <c r="X463" s="54" t="n"/>
      <c r="Y463" s="54" t="n"/>
      <c r="Z463" s="54" t="n"/>
    </row>
    <row r="464" ht="15.75" customHeight="1" s="57">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row>
    <row r="465" ht="15.75" customHeight="1" s="57">
      <c r="A465" s="54" t="n"/>
      <c r="B465" s="54" t="n"/>
      <c r="C465" s="54" t="n"/>
      <c r="D465" s="54" t="n"/>
      <c r="E465" s="54" t="n"/>
      <c r="F465" s="54" t="n"/>
      <c r="G465" s="54" t="n"/>
      <c r="H465" s="54" t="n"/>
      <c r="I465" s="54" t="n"/>
      <c r="J465" s="54" t="n"/>
      <c r="K465" s="54" t="n"/>
      <c r="L465" s="54" t="n"/>
      <c r="M465" s="54" t="n"/>
      <c r="N465" s="54" t="n"/>
      <c r="O465" s="54" t="n"/>
      <c r="P465" s="54" t="n"/>
      <c r="Q465" s="54" t="n"/>
      <c r="R465" s="54" t="n"/>
      <c r="S465" s="54" t="n"/>
      <c r="T465" s="54" t="n"/>
      <c r="U465" s="54" t="n"/>
      <c r="V465" s="54" t="n"/>
      <c r="W465" s="54" t="n"/>
      <c r="X465" s="54" t="n"/>
      <c r="Y465" s="54" t="n"/>
      <c r="Z465" s="54" t="n"/>
    </row>
    <row r="466" ht="15.75" customHeight="1" s="57">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row>
    <row r="467" ht="15.75" customHeight="1" s="57">
      <c r="A467" s="54" t="n"/>
      <c r="B467" s="54" t="n"/>
      <c r="C467" s="54" t="n"/>
      <c r="D467" s="54" t="n"/>
      <c r="E467" s="54" t="n"/>
      <c r="F467" s="54" t="n"/>
      <c r="G467" s="54" t="n"/>
      <c r="H467" s="54" t="n"/>
      <c r="I467" s="54" t="n"/>
      <c r="J467" s="54" t="n"/>
      <c r="K467" s="54" t="n"/>
      <c r="L467" s="54" t="n"/>
      <c r="M467" s="54" t="n"/>
      <c r="N467" s="54" t="n"/>
      <c r="O467" s="54" t="n"/>
      <c r="P467" s="54" t="n"/>
      <c r="Q467" s="54" t="n"/>
      <c r="R467" s="54" t="n"/>
      <c r="S467" s="54" t="n"/>
      <c r="T467" s="54" t="n"/>
      <c r="U467" s="54" t="n"/>
      <c r="V467" s="54" t="n"/>
      <c r="W467" s="54" t="n"/>
      <c r="X467" s="54" t="n"/>
      <c r="Y467" s="54" t="n"/>
      <c r="Z467" s="54" t="n"/>
    </row>
    <row r="468" ht="15.75" customHeight="1" s="57">
      <c r="A468" s="54" t="n"/>
      <c r="B468" s="54" t="n"/>
      <c r="C468" s="54" t="n"/>
      <c r="D468" s="54" t="n"/>
      <c r="E468" s="54" t="n"/>
      <c r="F468" s="54" t="n"/>
      <c r="G468" s="54" t="n"/>
      <c r="H468" s="54" t="n"/>
      <c r="I468" s="54" t="n"/>
      <c r="J468" s="54" t="n"/>
      <c r="K468" s="54" t="n"/>
      <c r="L468" s="54" t="n"/>
      <c r="M468" s="54" t="n"/>
      <c r="N468" s="54" t="n"/>
      <c r="O468" s="54" t="n"/>
      <c r="P468" s="54" t="n"/>
      <c r="Q468" s="54" t="n"/>
      <c r="R468" s="54" t="n"/>
      <c r="S468" s="54" t="n"/>
      <c r="T468" s="54" t="n"/>
      <c r="U468" s="54" t="n"/>
      <c r="V468" s="54" t="n"/>
      <c r="W468" s="54" t="n"/>
      <c r="X468" s="54" t="n"/>
      <c r="Y468" s="54" t="n"/>
      <c r="Z468" s="54" t="n"/>
    </row>
    <row r="469" ht="15.75" customHeight="1" s="57">
      <c r="A469" s="54" t="n"/>
      <c r="B469" s="54" t="n"/>
      <c r="C469" s="54" t="n"/>
      <c r="D469" s="54" t="n"/>
      <c r="E469" s="54" t="n"/>
      <c r="F469" s="54" t="n"/>
      <c r="G469" s="54" t="n"/>
      <c r="H469" s="54" t="n"/>
      <c r="I469" s="54" t="n"/>
      <c r="J469" s="54" t="n"/>
      <c r="K469" s="54" t="n"/>
      <c r="L469" s="54" t="n"/>
      <c r="M469" s="54" t="n"/>
      <c r="N469" s="54" t="n"/>
      <c r="O469" s="54" t="n"/>
      <c r="P469" s="54" t="n"/>
      <c r="Q469" s="54" t="n"/>
      <c r="R469" s="54" t="n"/>
      <c r="S469" s="54" t="n"/>
      <c r="T469" s="54" t="n"/>
      <c r="U469" s="54" t="n"/>
      <c r="V469" s="54" t="n"/>
      <c r="W469" s="54" t="n"/>
      <c r="X469" s="54" t="n"/>
      <c r="Y469" s="54" t="n"/>
      <c r="Z469" s="54" t="n"/>
    </row>
    <row r="470" ht="15.75" customHeight="1" s="57">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row>
    <row r="471" ht="15.75" customHeight="1" s="57">
      <c r="A471" s="54" t="n"/>
      <c r="B471" s="54" t="n"/>
      <c r="C471" s="54" t="n"/>
      <c r="D471" s="54" t="n"/>
      <c r="E471" s="54" t="n"/>
      <c r="F471" s="54" t="n"/>
      <c r="G471" s="54" t="n"/>
      <c r="H471" s="54" t="n"/>
      <c r="I471" s="54" t="n"/>
      <c r="J471" s="54" t="n"/>
      <c r="K471" s="54" t="n"/>
      <c r="L471" s="54" t="n"/>
      <c r="M471" s="54" t="n"/>
      <c r="N471" s="54" t="n"/>
      <c r="O471" s="54" t="n"/>
      <c r="P471" s="54" t="n"/>
      <c r="Q471" s="54" t="n"/>
      <c r="R471" s="54" t="n"/>
      <c r="S471" s="54" t="n"/>
      <c r="T471" s="54" t="n"/>
      <c r="U471" s="54" t="n"/>
      <c r="V471" s="54" t="n"/>
      <c r="W471" s="54" t="n"/>
      <c r="X471" s="54" t="n"/>
      <c r="Y471" s="54" t="n"/>
      <c r="Z471" s="54" t="n"/>
    </row>
    <row r="472" ht="15.75" customHeight="1" s="57">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row>
    <row r="473" ht="15.75" customHeight="1" s="57">
      <c r="A473" s="54" t="n"/>
      <c r="B473" s="54" t="n"/>
      <c r="C473" s="54" t="n"/>
      <c r="D473" s="54" t="n"/>
      <c r="E473" s="54" t="n"/>
      <c r="F473" s="54" t="n"/>
      <c r="G473" s="54" t="n"/>
      <c r="H473" s="54" t="n"/>
      <c r="I473" s="54" t="n"/>
      <c r="J473" s="54" t="n"/>
      <c r="K473" s="54" t="n"/>
      <c r="L473" s="54" t="n"/>
      <c r="M473" s="54" t="n"/>
      <c r="N473" s="54" t="n"/>
      <c r="O473" s="54" t="n"/>
      <c r="P473" s="54" t="n"/>
      <c r="Q473" s="54" t="n"/>
      <c r="R473" s="54" t="n"/>
      <c r="S473" s="54" t="n"/>
      <c r="T473" s="54" t="n"/>
      <c r="U473" s="54" t="n"/>
      <c r="V473" s="54" t="n"/>
      <c r="W473" s="54" t="n"/>
      <c r="X473" s="54" t="n"/>
      <c r="Y473" s="54" t="n"/>
      <c r="Z473" s="54" t="n"/>
    </row>
    <row r="474" ht="15.75" customHeight="1" s="57">
      <c r="A474" s="54" t="n"/>
      <c r="B474" s="54" t="n"/>
      <c r="C474" s="54" t="n"/>
      <c r="D474" s="54" t="n"/>
      <c r="E474" s="54" t="n"/>
      <c r="F474" s="54" t="n"/>
      <c r="G474" s="54" t="n"/>
      <c r="H474" s="54" t="n"/>
      <c r="I474" s="54" t="n"/>
      <c r="J474" s="54" t="n"/>
      <c r="K474" s="54" t="n"/>
      <c r="L474" s="54" t="n"/>
      <c r="M474" s="54" t="n"/>
      <c r="N474" s="54" t="n"/>
      <c r="O474" s="54" t="n"/>
      <c r="P474" s="54" t="n"/>
      <c r="Q474" s="54" t="n"/>
      <c r="R474" s="54" t="n"/>
      <c r="S474" s="54" t="n"/>
      <c r="T474" s="54" t="n"/>
      <c r="U474" s="54" t="n"/>
      <c r="V474" s="54" t="n"/>
      <c r="W474" s="54" t="n"/>
      <c r="X474" s="54" t="n"/>
      <c r="Y474" s="54" t="n"/>
      <c r="Z474" s="54" t="n"/>
    </row>
    <row r="475" ht="15.75" customHeight="1" s="57">
      <c r="A475" s="54" t="n"/>
      <c r="B475" s="54" t="n"/>
      <c r="C475" s="54" t="n"/>
      <c r="D475" s="54" t="n"/>
      <c r="E475" s="54" t="n"/>
      <c r="F475" s="54" t="n"/>
      <c r="G475" s="54" t="n"/>
      <c r="H475" s="54" t="n"/>
      <c r="I475" s="54" t="n"/>
      <c r="J475" s="54" t="n"/>
      <c r="K475" s="54" t="n"/>
      <c r="L475" s="54" t="n"/>
      <c r="M475" s="54" t="n"/>
      <c r="N475" s="54" t="n"/>
      <c r="O475" s="54" t="n"/>
      <c r="P475" s="54" t="n"/>
      <c r="Q475" s="54" t="n"/>
      <c r="R475" s="54" t="n"/>
      <c r="S475" s="54" t="n"/>
      <c r="T475" s="54" t="n"/>
      <c r="U475" s="54" t="n"/>
      <c r="V475" s="54" t="n"/>
      <c r="W475" s="54" t="n"/>
      <c r="X475" s="54" t="n"/>
      <c r="Y475" s="54" t="n"/>
      <c r="Z475" s="54" t="n"/>
    </row>
    <row r="476" ht="15.75" customHeight="1" s="57">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row>
    <row r="477" ht="15.75" customHeight="1" s="57">
      <c r="A477" s="54" t="n"/>
      <c r="B477" s="54" t="n"/>
      <c r="C477" s="54" t="n"/>
      <c r="D477" s="54" t="n"/>
      <c r="E477" s="54" t="n"/>
      <c r="F477" s="54" t="n"/>
      <c r="G477" s="54" t="n"/>
      <c r="H477" s="54" t="n"/>
      <c r="I477" s="54" t="n"/>
      <c r="J477" s="54" t="n"/>
      <c r="K477" s="54" t="n"/>
      <c r="L477" s="54" t="n"/>
      <c r="M477" s="54" t="n"/>
      <c r="N477" s="54" t="n"/>
      <c r="O477" s="54" t="n"/>
      <c r="P477" s="54" t="n"/>
      <c r="Q477" s="54" t="n"/>
      <c r="R477" s="54" t="n"/>
      <c r="S477" s="54" t="n"/>
      <c r="T477" s="54" t="n"/>
      <c r="U477" s="54" t="n"/>
      <c r="V477" s="54" t="n"/>
      <c r="W477" s="54" t="n"/>
      <c r="X477" s="54" t="n"/>
      <c r="Y477" s="54" t="n"/>
      <c r="Z477" s="54" t="n"/>
    </row>
    <row r="478" ht="15.75" customHeight="1" s="57">
      <c r="A478" s="54" t="n"/>
      <c r="B478" s="54" t="n"/>
      <c r="C478" s="54" t="n"/>
      <c r="D478" s="54" t="n"/>
      <c r="E478" s="54" t="n"/>
      <c r="F478" s="54" t="n"/>
      <c r="G478" s="54" t="n"/>
      <c r="H478" s="54" t="n"/>
      <c r="I478" s="54" t="n"/>
      <c r="J478" s="54" t="n"/>
      <c r="K478" s="54" t="n"/>
      <c r="L478" s="54" t="n"/>
      <c r="M478" s="54" t="n"/>
      <c r="N478" s="54" t="n"/>
      <c r="O478" s="54" t="n"/>
      <c r="P478" s="54" t="n"/>
      <c r="Q478" s="54" t="n"/>
      <c r="R478" s="54" t="n"/>
      <c r="S478" s="54" t="n"/>
      <c r="T478" s="54" t="n"/>
      <c r="U478" s="54" t="n"/>
      <c r="V478" s="54" t="n"/>
      <c r="W478" s="54" t="n"/>
      <c r="X478" s="54" t="n"/>
      <c r="Y478" s="54" t="n"/>
      <c r="Z478" s="54" t="n"/>
    </row>
    <row r="479" ht="15.75" customHeight="1" s="57">
      <c r="A479" s="54" t="n"/>
      <c r="B479" s="54" t="n"/>
      <c r="C479" s="54" t="n"/>
      <c r="D479" s="54" t="n"/>
      <c r="E479" s="54" t="n"/>
      <c r="F479" s="54" t="n"/>
      <c r="G479" s="54" t="n"/>
      <c r="H479" s="54" t="n"/>
      <c r="I479" s="54" t="n"/>
      <c r="J479" s="54" t="n"/>
      <c r="K479" s="54" t="n"/>
      <c r="L479" s="54" t="n"/>
      <c r="M479" s="54" t="n"/>
      <c r="N479" s="54" t="n"/>
      <c r="O479" s="54" t="n"/>
      <c r="P479" s="54" t="n"/>
      <c r="Q479" s="54" t="n"/>
      <c r="R479" s="54" t="n"/>
      <c r="S479" s="54" t="n"/>
      <c r="T479" s="54" t="n"/>
      <c r="U479" s="54" t="n"/>
      <c r="V479" s="54" t="n"/>
      <c r="W479" s="54" t="n"/>
      <c r="X479" s="54" t="n"/>
      <c r="Y479" s="54" t="n"/>
      <c r="Z479" s="54" t="n"/>
    </row>
    <row r="480" ht="15.75" customHeight="1" s="57">
      <c r="A480" s="54" t="n"/>
      <c r="B480" s="54" t="n"/>
      <c r="C480" s="54" t="n"/>
      <c r="D480" s="54" t="n"/>
      <c r="E480" s="54" t="n"/>
      <c r="F480" s="54" t="n"/>
      <c r="G480" s="54" t="n"/>
      <c r="H480" s="54" t="n"/>
      <c r="I480" s="54" t="n"/>
      <c r="J480" s="54" t="n"/>
      <c r="K480" s="54" t="n"/>
      <c r="L480" s="54" t="n"/>
      <c r="M480" s="54" t="n"/>
      <c r="N480" s="54" t="n"/>
      <c r="O480" s="54" t="n"/>
      <c r="P480" s="54" t="n"/>
      <c r="Q480" s="54" t="n"/>
      <c r="R480" s="54" t="n"/>
      <c r="S480" s="54" t="n"/>
      <c r="T480" s="54" t="n"/>
      <c r="U480" s="54" t="n"/>
      <c r="V480" s="54" t="n"/>
      <c r="W480" s="54" t="n"/>
      <c r="X480" s="54" t="n"/>
      <c r="Y480" s="54" t="n"/>
      <c r="Z480" s="54" t="n"/>
    </row>
    <row r="481" ht="15.75" customHeight="1" s="57">
      <c r="A481" s="54" t="n"/>
      <c r="B481" s="54" t="n"/>
      <c r="C481" s="54" t="n"/>
      <c r="D481" s="54" t="n"/>
      <c r="E481" s="54" t="n"/>
      <c r="F481" s="54" t="n"/>
      <c r="G481" s="54" t="n"/>
      <c r="H481" s="54" t="n"/>
      <c r="I481" s="54" t="n"/>
      <c r="J481" s="54" t="n"/>
      <c r="K481" s="54" t="n"/>
      <c r="L481" s="54" t="n"/>
      <c r="M481" s="54" t="n"/>
      <c r="N481" s="54" t="n"/>
      <c r="O481" s="54" t="n"/>
      <c r="P481" s="54" t="n"/>
      <c r="Q481" s="54" t="n"/>
      <c r="R481" s="54" t="n"/>
      <c r="S481" s="54" t="n"/>
      <c r="T481" s="54" t="n"/>
      <c r="U481" s="54" t="n"/>
      <c r="V481" s="54" t="n"/>
      <c r="W481" s="54" t="n"/>
      <c r="X481" s="54" t="n"/>
      <c r="Y481" s="54" t="n"/>
      <c r="Z481" s="54" t="n"/>
    </row>
    <row r="482" ht="15.75" customHeight="1" s="57">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row>
    <row r="483" ht="15.75" customHeight="1" s="57">
      <c r="A483" s="54" t="n"/>
      <c r="B483" s="54" t="n"/>
      <c r="C483" s="54" t="n"/>
      <c r="D483" s="54" t="n"/>
      <c r="E483" s="54" t="n"/>
      <c r="F483" s="54" t="n"/>
      <c r="G483" s="54" t="n"/>
      <c r="H483" s="54" t="n"/>
      <c r="I483" s="54" t="n"/>
      <c r="J483" s="54" t="n"/>
      <c r="K483" s="54" t="n"/>
      <c r="L483" s="54" t="n"/>
      <c r="M483" s="54" t="n"/>
      <c r="N483" s="54" t="n"/>
      <c r="O483" s="54" t="n"/>
      <c r="P483" s="54" t="n"/>
      <c r="Q483" s="54" t="n"/>
      <c r="R483" s="54" t="n"/>
      <c r="S483" s="54" t="n"/>
      <c r="T483" s="54" t="n"/>
      <c r="U483" s="54" t="n"/>
      <c r="V483" s="54" t="n"/>
      <c r="W483" s="54" t="n"/>
      <c r="X483" s="54" t="n"/>
      <c r="Y483" s="54" t="n"/>
      <c r="Z483" s="54" t="n"/>
    </row>
    <row r="484" ht="15.75" customHeight="1" s="57">
      <c r="A484" s="54" t="n"/>
      <c r="B484" s="54" t="n"/>
      <c r="C484" s="54" t="n"/>
      <c r="D484" s="54" t="n"/>
      <c r="E484" s="54" t="n"/>
      <c r="F484" s="54" t="n"/>
      <c r="G484" s="54" t="n"/>
      <c r="H484" s="54" t="n"/>
      <c r="I484" s="54" t="n"/>
      <c r="J484" s="54" t="n"/>
      <c r="K484" s="54" t="n"/>
      <c r="L484" s="54" t="n"/>
      <c r="M484" s="54" t="n"/>
      <c r="N484" s="54" t="n"/>
      <c r="O484" s="54" t="n"/>
      <c r="P484" s="54" t="n"/>
      <c r="Q484" s="54" t="n"/>
      <c r="R484" s="54" t="n"/>
      <c r="S484" s="54" t="n"/>
      <c r="T484" s="54" t="n"/>
      <c r="U484" s="54" t="n"/>
      <c r="V484" s="54" t="n"/>
      <c r="W484" s="54" t="n"/>
      <c r="X484" s="54" t="n"/>
      <c r="Y484" s="54" t="n"/>
      <c r="Z484" s="54" t="n"/>
    </row>
    <row r="485" ht="15.75" customHeight="1" s="57">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row>
    <row r="486" ht="15.75" customHeight="1" s="57">
      <c r="A486" s="54" t="n"/>
      <c r="B486" s="54" t="n"/>
      <c r="C486" s="54" t="n"/>
      <c r="D486" s="54" t="n"/>
      <c r="E486" s="54" t="n"/>
      <c r="F486" s="54" t="n"/>
      <c r="G486" s="54" t="n"/>
      <c r="H486" s="54" t="n"/>
      <c r="I486" s="54" t="n"/>
      <c r="J486" s="54" t="n"/>
      <c r="K486" s="54" t="n"/>
      <c r="L486" s="54" t="n"/>
      <c r="M486" s="54" t="n"/>
      <c r="N486" s="54" t="n"/>
      <c r="O486" s="54" t="n"/>
      <c r="P486" s="54" t="n"/>
      <c r="Q486" s="54" t="n"/>
      <c r="R486" s="54" t="n"/>
      <c r="S486" s="54" t="n"/>
      <c r="T486" s="54" t="n"/>
      <c r="U486" s="54" t="n"/>
      <c r="V486" s="54" t="n"/>
      <c r="W486" s="54" t="n"/>
      <c r="X486" s="54" t="n"/>
      <c r="Y486" s="54" t="n"/>
      <c r="Z486" s="54" t="n"/>
    </row>
    <row r="487" ht="15.75" customHeight="1" s="57">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row>
    <row r="488" ht="15.75" customHeight="1" s="57">
      <c r="A488" s="54" t="n"/>
      <c r="B488" s="54" t="n"/>
      <c r="C488" s="54" t="n"/>
      <c r="D488" s="54" t="n"/>
      <c r="E488" s="54" t="n"/>
      <c r="F488" s="54" t="n"/>
      <c r="G488" s="54" t="n"/>
      <c r="H488" s="54" t="n"/>
      <c r="I488" s="54" t="n"/>
      <c r="J488" s="54" t="n"/>
      <c r="K488" s="54" t="n"/>
      <c r="L488" s="54" t="n"/>
      <c r="M488" s="54" t="n"/>
      <c r="N488" s="54" t="n"/>
      <c r="O488" s="54" t="n"/>
      <c r="P488" s="54" t="n"/>
      <c r="Q488" s="54" t="n"/>
      <c r="R488" s="54" t="n"/>
      <c r="S488" s="54" t="n"/>
      <c r="T488" s="54" t="n"/>
      <c r="U488" s="54" t="n"/>
      <c r="V488" s="54" t="n"/>
      <c r="W488" s="54" t="n"/>
      <c r="X488" s="54" t="n"/>
      <c r="Y488" s="54" t="n"/>
      <c r="Z488" s="54" t="n"/>
    </row>
    <row r="489" ht="15.75" customHeight="1" s="57">
      <c r="A489" s="54" t="n"/>
      <c r="B489" s="54" t="n"/>
      <c r="C489" s="54" t="n"/>
      <c r="D489" s="54" t="n"/>
      <c r="E489" s="54" t="n"/>
      <c r="F489" s="54" t="n"/>
      <c r="G489" s="54" t="n"/>
      <c r="H489" s="54" t="n"/>
      <c r="I489" s="54" t="n"/>
      <c r="J489" s="54" t="n"/>
      <c r="K489" s="54" t="n"/>
      <c r="L489" s="54" t="n"/>
      <c r="M489" s="54" t="n"/>
      <c r="N489" s="54" t="n"/>
      <c r="O489" s="54" t="n"/>
      <c r="P489" s="54" t="n"/>
      <c r="Q489" s="54" t="n"/>
      <c r="R489" s="54" t="n"/>
      <c r="S489" s="54" t="n"/>
      <c r="T489" s="54" t="n"/>
      <c r="U489" s="54" t="n"/>
      <c r="V489" s="54" t="n"/>
      <c r="W489" s="54" t="n"/>
      <c r="X489" s="54" t="n"/>
      <c r="Y489" s="54" t="n"/>
      <c r="Z489" s="54" t="n"/>
    </row>
    <row r="490" ht="15.75" customHeight="1" s="57">
      <c r="A490" s="54" t="n"/>
      <c r="B490" s="54" t="n"/>
      <c r="C490" s="54" t="n"/>
      <c r="D490" s="54" t="n"/>
      <c r="E490" s="54" t="n"/>
      <c r="F490" s="54" t="n"/>
      <c r="G490" s="54" t="n"/>
      <c r="H490" s="54" t="n"/>
      <c r="I490" s="54" t="n"/>
      <c r="J490" s="54" t="n"/>
      <c r="K490" s="54" t="n"/>
      <c r="L490" s="54" t="n"/>
      <c r="M490" s="54" t="n"/>
      <c r="N490" s="54" t="n"/>
      <c r="O490" s="54" t="n"/>
      <c r="P490" s="54" t="n"/>
      <c r="Q490" s="54" t="n"/>
      <c r="R490" s="54" t="n"/>
      <c r="S490" s="54" t="n"/>
      <c r="T490" s="54" t="n"/>
      <c r="U490" s="54" t="n"/>
      <c r="V490" s="54" t="n"/>
      <c r="W490" s="54" t="n"/>
      <c r="X490" s="54" t="n"/>
      <c r="Y490" s="54" t="n"/>
      <c r="Z490" s="54" t="n"/>
    </row>
    <row r="491" ht="15.75" customHeight="1" s="57">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row>
    <row r="492" ht="15.75" customHeight="1" s="57">
      <c r="A492" s="54" t="n"/>
      <c r="B492" s="54" t="n"/>
      <c r="C492" s="54" t="n"/>
      <c r="D492" s="54" t="n"/>
      <c r="E492" s="54" t="n"/>
      <c r="F492" s="54" t="n"/>
      <c r="G492" s="54" t="n"/>
      <c r="H492" s="54" t="n"/>
      <c r="I492" s="54" t="n"/>
      <c r="J492" s="54" t="n"/>
      <c r="K492" s="54" t="n"/>
      <c r="L492" s="54" t="n"/>
      <c r="M492" s="54" t="n"/>
      <c r="N492" s="54" t="n"/>
      <c r="O492" s="54" t="n"/>
      <c r="P492" s="54" t="n"/>
      <c r="Q492" s="54" t="n"/>
      <c r="R492" s="54" t="n"/>
      <c r="S492" s="54" t="n"/>
      <c r="T492" s="54" t="n"/>
      <c r="U492" s="54" t="n"/>
      <c r="V492" s="54" t="n"/>
      <c r="W492" s="54" t="n"/>
      <c r="X492" s="54" t="n"/>
      <c r="Y492" s="54" t="n"/>
      <c r="Z492" s="54" t="n"/>
    </row>
    <row r="493" ht="15.75" customHeight="1" s="57">
      <c r="A493" s="54" t="n"/>
      <c r="B493" s="54" t="n"/>
      <c r="C493" s="54" t="n"/>
      <c r="D493" s="54" t="n"/>
      <c r="E493" s="54" t="n"/>
      <c r="F493" s="54" t="n"/>
      <c r="G493" s="54" t="n"/>
      <c r="H493" s="54" t="n"/>
      <c r="I493" s="54" t="n"/>
      <c r="J493" s="54" t="n"/>
      <c r="K493" s="54" t="n"/>
      <c r="L493" s="54" t="n"/>
      <c r="M493" s="54" t="n"/>
      <c r="N493" s="54" t="n"/>
      <c r="O493" s="54" t="n"/>
      <c r="P493" s="54" t="n"/>
      <c r="Q493" s="54" t="n"/>
      <c r="R493" s="54" t="n"/>
      <c r="S493" s="54" t="n"/>
      <c r="T493" s="54" t="n"/>
      <c r="U493" s="54" t="n"/>
      <c r="V493" s="54" t="n"/>
      <c r="W493" s="54" t="n"/>
      <c r="X493" s="54" t="n"/>
      <c r="Y493" s="54" t="n"/>
      <c r="Z493" s="54" t="n"/>
    </row>
    <row r="494" ht="15.75" customHeight="1" s="57">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row>
    <row r="495" ht="15.75" customHeight="1" s="57">
      <c r="A495" s="54" t="n"/>
      <c r="B495" s="54" t="n"/>
      <c r="C495" s="54" t="n"/>
      <c r="D495" s="54" t="n"/>
      <c r="E495" s="54" t="n"/>
      <c r="F495" s="54" t="n"/>
      <c r="G495" s="54" t="n"/>
      <c r="H495" s="54" t="n"/>
      <c r="I495" s="54" t="n"/>
      <c r="J495" s="54" t="n"/>
      <c r="K495" s="54" t="n"/>
      <c r="L495" s="54" t="n"/>
      <c r="M495" s="54" t="n"/>
      <c r="N495" s="54" t="n"/>
      <c r="O495" s="54" t="n"/>
      <c r="P495" s="54" t="n"/>
      <c r="Q495" s="54" t="n"/>
      <c r="R495" s="54" t="n"/>
      <c r="S495" s="54" t="n"/>
      <c r="T495" s="54" t="n"/>
      <c r="U495" s="54" t="n"/>
      <c r="V495" s="54" t="n"/>
      <c r="W495" s="54" t="n"/>
      <c r="X495" s="54" t="n"/>
      <c r="Y495" s="54" t="n"/>
      <c r="Z495" s="54" t="n"/>
    </row>
    <row r="496" ht="15.75" customHeight="1" s="57">
      <c r="A496" s="54" t="n"/>
      <c r="B496" s="54" t="n"/>
      <c r="C496" s="54" t="n"/>
      <c r="D496" s="54" t="n"/>
      <c r="E496" s="54" t="n"/>
      <c r="F496" s="54" t="n"/>
      <c r="G496" s="54" t="n"/>
      <c r="H496" s="54" t="n"/>
      <c r="I496" s="54" t="n"/>
      <c r="J496" s="54" t="n"/>
      <c r="K496" s="54" t="n"/>
      <c r="L496" s="54" t="n"/>
      <c r="M496" s="54" t="n"/>
      <c r="N496" s="54" t="n"/>
      <c r="O496" s="54" t="n"/>
      <c r="P496" s="54" t="n"/>
      <c r="Q496" s="54" t="n"/>
      <c r="R496" s="54" t="n"/>
      <c r="S496" s="54" t="n"/>
      <c r="T496" s="54" t="n"/>
      <c r="U496" s="54" t="n"/>
      <c r="V496" s="54" t="n"/>
      <c r="W496" s="54" t="n"/>
      <c r="X496" s="54" t="n"/>
      <c r="Y496" s="54" t="n"/>
      <c r="Z496" s="54" t="n"/>
    </row>
    <row r="497" ht="15.75" customHeight="1" s="57">
      <c r="A497" s="54" t="n"/>
      <c r="B497" s="54" t="n"/>
      <c r="C497" s="54" t="n"/>
      <c r="D497" s="54" t="n"/>
      <c r="E497" s="54" t="n"/>
      <c r="F497" s="54" t="n"/>
      <c r="G497" s="54" t="n"/>
      <c r="H497" s="54" t="n"/>
      <c r="I497" s="54" t="n"/>
      <c r="J497" s="54" t="n"/>
      <c r="K497" s="54" t="n"/>
      <c r="L497" s="54" t="n"/>
      <c r="M497" s="54" t="n"/>
      <c r="N497" s="54" t="n"/>
      <c r="O497" s="54" t="n"/>
      <c r="P497" s="54" t="n"/>
      <c r="Q497" s="54" t="n"/>
      <c r="R497" s="54" t="n"/>
      <c r="S497" s="54" t="n"/>
      <c r="T497" s="54" t="n"/>
      <c r="U497" s="54" t="n"/>
      <c r="V497" s="54" t="n"/>
      <c r="W497" s="54" t="n"/>
      <c r="X497" s="54" t="n"/>
      <c r="Y497" s="54" t="n"/>
      <c r="Z497" s="54" t="n"/>
    </row>
    <row r="498" ht="15.75" customHeight="1" s="57">
      <c r="A498" s="54" t="n"/>
      <c r="B498" s="54" t="n"/>
      <c r="C498" s="54" t="n"/>
      <c r="D498" s="54" t="n"/>
      <c r="E498" s="54" t="n"/>
      <c r="F498" s="54" t="n"/>
      <c r="G498" s="54" t="n"/>
      <c r="H498" s="54" t="n"/>
      <c r="I498" s="54" t="n"/>
      <c r="J498" s="54" t="n"/>
      <c r="K498" s="54" t="n"/>
      <c r="L498" s="54" t="n"/>
      <c r="M498" s="54" t="n"/>
      <c r="N498" s="54" t="n"/>
      <c r="O498" s="54" t="n"/>
      <c r="P498" s="54" t="n"/>
      <c r="Q498" s="54" t="n"/>
      <c r="R498" s="54" t="n"/>
      <c r="S498" s="54" t="n"/>
      <c r="T498" s="54" t="n"/>
      <c r="U498" s="54" t="n"/>
      <c r="V498" s="54" t="n"/>
      <c r="W498" s="54" t="n"/>
      <c r="X498" s="54" t="n"/>
      <c r="Y498" s="54" t="n"/>
      <c r="Z498" s="54" t="n"/>
    </row>
    <row r="499" ht="15.75" customHeight="1" s="57">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row>
    <row r="500" ht="15.75" customHeight="1" s="57">
      <c r="A500" s="54" t="n"/>
      <c r="B500" s="54" t="n"/>
      <c r="C500" s="54" t="n"/>
      <c r="D500" s="54" t="n"/>
      <c r="E500" s="54" t="n"/>
      <c r="F500" s="54" t="n"/>
      <c r="G500" s="54" t="n"/>
      <c r="H500" s="54" t="n"/>
      <c r="I500" s="54" t="n"/>
      <c r="J500" s="54" t="n"/>
      <c r="K500" s="54" t="n"/>
      <c r="L500" s="54" t="n"/>
      <c r="M500" s="54" t="n"/>
      <c r="N500" s="54" t="n"/>
      <c r="O500" s="54" t="n"/>
      <c r="P500" s="54" t="n"/>
      <c r="Q500" s="54" t="n"/>
      <c r="R500" s="54" t="n"/>
      <c r="S500" s="54" t="n"/>
      <c r="T500" s="54" t="n"/>
      <c r="U500" s="54" t="n"/>
      <c r="V500" s="54" t="n"/>
      <c r="W500" s="54" t="n"/>
      <c r="X500" s="54" t="n"/>
      <c r="Y500" s="54" t="n"/>
      <c r="Z500" s="54" t="n"/>
    </row>
    <row r="501" ht="15.75" customHeight="1" s="57">
      <c r="A501" s="54" t="n"/>
      <c r="B501" s="54" t="n"/>
      <c r="C501" s="54" t="n"/>
      <c r="D501" s="54" t="n"/>
      <c r="E501" s="54" t="n"/>
      <c r="F501" s="54" t="n"/>
      <c r="G501" s="54" t="n"/>
      <c r="H501" s="54" t="n"/>
      <c r="I501" s="54" t="n"/>
      <c r="J501" s="54" t="n"/>
      <c r="K501" s="54" t="n"/>
      <c r="L501" s="54" t="n"/>
      <c r="M501" s="54" t="n"/>
      <c r="N501" s="54" t="n"/>
      <c r="O501" s="54" t="n"/>
      <c r="P501" s="54" t="n"/>
      <c r="Q501" s="54" t="n"/>
      <c r="R501" s="54" t="n"/>
      <c r="S501" s="54" t="n"/>
      <c r="T501" s="54" t="n"/>
      <c r="U501" s="54" t="n"/>
      <c r="V501" s="54" t="n"/>
      <c r="W501" s="54" t="n"/>
      <c r="X501" s="54" t="n"/>
      <c r="Y501" s="54" t="n"/>
      <c r="Z501" s="54" t="n"/>
    </row>
    <row r="502" ht="15.75" customHeight="1" s="57">
      <c r="A502" s="54" t="n"/>
      <c r="B502" s="54" t="n"/>
      <c r="C502" s="54" t="n"/>
      <c r="D502" s="54" t="n"/>
      <c r="E502" s="54" t="n"/>
      <c r="F502" s="54" t="n"/>
      <c r="G502" s="54" t="n"/>
      <c r="H502" s="54" t="n"/>
      <c r="I502" s="54" t="n"/>
      <c r="J502" s="54" t="n"/>
      <c r="K502" s="54" t="n"/>
      <c r="L502" s="54" t="n"/>
      <c r="M502" s="54" t="n"/>
      <c r="N502" s="54" t="n"/>
      <c r="O502" s="54" t="n"/>
      <c r="P502" s="54" t="n"/>
      <c r="Q502" s="54" t="n"/>
      <c r="R502" s="54" t="n"/>
      <c r="S502" s="54" t="n"/>
      <c r="T502" s="54" t="n"/>
      <c r="U502" s="54" t="n"/>
      <c r="V502" s="54" t="n"/>
      <c r="W502" s="54" t="n"/>
      <c r="X502" s="54" t="n"/>
      <c r="Y502" s="54" t="n"/>
      <c r="Z502" s="54" t="n"/>
    </row>
    <row r="503" ht="15.75" customHeight="1" s="57">
      <c r="A503" s="54" t="n"/>
      <c r="B503" s="54" t="n"/>
      <c r="C503" s="54" t="n"/>
      <c r="D503" s="54" t="n"/>
      <c r="E503" s="54" t="n"/>
      <c r="F503" s="54" t="n"/>
      <c r="G503" s="54" t="n"/>
      <c r="H503" s="54" t="n"/>
      <c r="I503" s="54" t="n"/>
      <c r="J503" s="54" t="n"/>
      <c r="K503" s="54" t="n"/>
      <c r="L503" s="54" t="n"/>
      <c r="M503" s="54" t="n"/>
      <c r="N503" s="54" t="n"/>
      <c r="O503" s="54" t="n"/>
      <c r="P503" s="54" t="n"/>
      <c r="Q503" s="54" t="n"/>
      <c r="R503" s="54" t="n"/>
      <c r="S503" s="54" t="n"/>
      <c r="T503" s="54" t="n"/>
      <c r="U503" s="54" t="n"/>
      <c r="V503" s="54" t="n"/>
      <c r="W503" s="54" t="n"/>
      <c r="X503" s="54" t="n"/>
      <c r="Y503" s="54" t="n"/>
      <c r="Z503" s="54" t="n"/>
    </row>
    <row r="504" ht="15.75" customHeight="1" s="57">
      <c r="A504" s="54" t="n"/>
      <c r="B504" s="54" t="n"/>
      <c r="C504" s="54" t="n"/>
      <c r="D504" s="54" t="n"/>
      <c r="E504" s="54" t="n"/>
      <c r="F504" s="54" t="n"/>
      <c r="G504" s="54" t="n"/>
      <c r="H504" s="54" t="n"/>
      <c r="I504" s="54" t="n"/>
      <c r="J504" s="54" t="n"/>
      <c r="K504" s="54" t="n"/>
      <c r="L504" s="54" t="n"/>
      <c r="M504" s="54" t="n"/>
      <c r="N504" s="54" t="n"/>
      <c r="O504" s="54" t="n"/>
      <c r="P504" s="54" t="n"/>
      <c r="Q504" s="54" t="n"/>
      <c r="R504" s="54" t="n"/>
      <c r="S504" s="54" t="n"/>
      <c r="T504" s="54" t="n"/>
      <c r="U504" s="54" t="n"/>
      <c r="V504" s="54" t="n"/>
      <c r="W504" s="54" t="n"/>
      <c r="X504" s="54" t="n"/>
      <c r="Y504" s="54" t="n"/>
      <c r="Z504" s="54" t="n"/>
    </row>
    <row r="505" ht="15.75" customHeight="1" s="57">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row>
    <row r="506" ht="15.75" customHeight="1" s="57">
      <c r="A506" s="54" t="n"/>
      <c r="B506" s="54" t="n"/>
      <c r="C506" s="54" t="n"/>
      <c r="D506" s="54" t="n"/>
      <c r="E506" s="54" t="n"/>
      <c r="F506" s="54" t="n"/>
      <c r="G506" s="54" t="n"/>
      <c r="H506" s="54" t="n"/>
      <c r="I506" s="54" t="n"/>
      <c r="J506" s="54" t="n"/>
      <c r="K506" s="54" t="n"/>
      <c r="L506" s="54" t="n"/>
      <c r="M506" s="54" t="n"/>
      <c r="N506" s="54" t="n"/>
      <c r="O506" s="54" t="n"/>
      <c r="P506" s="54" t="n"/>
      <c r="Q506" s="54" t="n"/>
      <c r="R506" s="54" t="n"/>
      <c r="S506" s="54" t="n"/>
      <c r="T506" s="54" t="n"/>
      <c r="U506" s="54" t="n"/>
      <c r="V506" s="54" t="n"/>
      <c r="W506" s="54" t="n"/>
      <c r="X506" s="54" t="n"/>
      <c r="Y506" s="54" t="n"/>
      <c r="Z506" s="54" t="n"/>
    </row>
    <row r="507" ht="15.75" customHeight="1" s="57">
      <c r="A507" s="54" t="n"/>
      <c r="B507" s="54" t="n"/>
      <c r="C507" s="54" t="n"/>
      <c r="D507" s="54" t="n"/>
      <c r="E507" s="54" t="n"/>
      <c r="F507" s="54" t="n"/>
      <c r="G507" s="54" t="n"/>
      <c r="H507" s="54" t="n"/>
      <c r="I507" s="54" t="n"/>
      <c r="J507" s="54" t="n"/>
      <c r="K507" s="54" t="n"/>
      <c r="L507" s="54" t="n"/>
      <c r="M507" s="54" t="n"/>
      <c r="N507" s="54" t="n"/>
      <c r="O507" s="54" t="n"/>
      <c r="P507" s="54" t="n"/>
      <c r="Q507" s="54" t="n"/>
      <c r="R507" s="54" t="n"/>
      <c r="S507" s="54" t="n"/>
      <c r="T507" s="54" t="n"/>
      <c r="U507" s="54" t="n"/>
      <c r="V507" s="54" t="n"/>
      <c r="W507" s="54" t="n"/>
      <c r="X507" s="54" t="n"/>
      <c r="Y507" s="54" t="n"/>
      <c r="Z507" s="54" t="n"/>
    </row>
    <row r="508" ht="15.75" customHeight="1" s="57">
      <c r="A508" s="54" t="n"/>
      <c r="B508" s="54" t="n"/>
      <c r="C508" s="54" t="n"/>
      <c r="D508" s="54" t="n"/>
      <c r="E508" s="54" t="n"/>
      <c r="F508" s="54" t="n"/>
      <c r="G508" s="54" t="n"/>
      <c r="H508" s="54" t="n"/>
      <c r="I508" s="54" t="n"/>
      <c r="J508" s="54" t="n"/>
      <c r="K508" s="54" t="n"/>
      <c r="L508" s="54" t="n"/>
      <c r="M508" s="54" t="n"/>
      <c r="N508" s="54" t="n"/>
      <c r="O508" s="54" t="n"/>
      <c r="P508" s="54" t="n"/>
      <c r="Q508" s="54" t="n"/>
      <c r="R508" s="54" t="n"/>
      <c r="S508" s="54" t="n"/>
      <c r="T508" s="54" t="n"/>
      <c r="U508" s="54" t="n"/>
      <c r="V508" s="54" t="n"/>
      <c r="W508" s="54" t="n"/>
      <c r="X508" s="54" t="n"/>
      <c r="Y508" s="54" t="n"/>
      <c r="Z508" s="54" t="n"/>
    </row>
    <row r="509" ht="15.75" customHeight="1" s="57">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row>
    <row r="510" ht="15.75" customHeight="1" s="57">
      <c r="A510" s="54" t="n"/>
      <c r="B510" s="54" t="n"/>
      <c r="C510" s="54" t="n"/>
      <c r="D510" s="54" t="n"/>
      <c r="E510" s="54" t="n"/>
      <c r="F510" s="54" t="n"/>
      <c r="G510" s="54" t="n"/>
      <c r="H510" s="54" t="n"/>
      <c r="I510" s="54" t="n"/>
      <c r="J510" s="54" t="n"/>
      <c r="K510" s="54" t="n"/>
      <c r="L510" s="54" t="n"/>
      <c r="M510" s="54" t="n"/>
      <c r="N510" s="54" t="n"/>
      <c r="O510" s="54" t="n"/>
      <c r="P510" s="54" t="n"/>
      <c r="Q510" s="54" t="n"/>
      <c r="R510" s="54" t="n"/>
      <c r="S510" s="54" t="n"/>
      <c r="T510" s="54" t="n"/>
      <c r="U510" s="54" t="n"/>
      <c r="V510" s="54" t="n"/>
      <c r="W510" s="54" t="n"/>
      <c r="X510" s="54" t="n"/>
      <c r="Y510" s="54" t="n"/>
      <c r="Z510" s="54" t="n"/>
    </row>
    <row r="511" ht="15.75" customHeight="1" s="57">
      <c r="A511" s="54" t="n"/>
      <c r="B511" s="54" t="n"/>
      <c r="C511" s="54" t="n"/>
      <c r="D511" s="54" t="n"/>
      <c r="E511" s="54" t="n"/>
      <c r="F511" s="54" t="n"/>
      <c r="G511" s="54" t="n"/>
      <c r="H511" s="54" t="n"/>
      <c r="I511" s="54" t="n"/>
      <c r="J511" s="54" t="n"/>
      <c r="K511" s="54" t="n"/>
      <c r="L511" s="54" t="n"/>
      <c r="M511" s="54" t="n"/>
      <c r="N511" s="54" t="n"/>
      <c r="O511" s="54" t="n"/>
      <c r="P511" s="54" t="n"/>
      <c r="Q511" s="54" t="n"/>
      <c r="R511" s="54" t="n"/>
      <c r="S511" s="54" t="n"/>
      <c r="T511" s="54" t="n"/>
      <c r="U511" s="54" t="n"/>
      <c r="V511" s="54" t="n"/>
      <c r="W511" s="54" t="n"/>
      <c r="X511" s="54" t="n"/>
      <c r="Y511" s="54" t="n"/>
      <c r="Z511" s="54" t="n"/>
    </row>
    <row r="512" ht="15.75" customHeight="1" s="57">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row>
    <row r="513" ht="15.75" customHeight="1" s="57">
      <c r="A513" s="54" t="n"/>
      <c r="B513" s="54" t="n"/>
      <c r="C513" s="54" t="n"/>
      <c r="D513" s="54" t="n"/>
      <c r="E513" s="54" t="n"/>
      <c r="F513" s="54" t="n"/>
      <c r="G513" s="54" t="n"/>
      <c r="H513" s="54" t="n"/>
      <c r="I513" s="54" t="n"/>
      <c r="J513" s="54" t="n"/>
      <c r="K513" s="54" t="n"/>
      <c r="L513" s="54" t="n"/>
      <c r="M513" s="54" t="n"/>
      <c r="N513" s="54" t="n"/>
      <c r="O513" s="54" t="n"/>
      <c r="P513" s="54" t="n"/>
      <c r="Q513" s="54" t="n"/>
      <c r="R513" s="54" t="n"/>
      <c r="S513" s="54" t="n"/>
      <c r="T513" s="54" t="n"/>
      <c r="U513" s="54" t="n"/>
      <c r="V513" s="54" t="n"/>
      <c r="W513" s="54" t="n"/>
      <c r="X513" s="54" t="n"/>
      <c r="Y513" s="54" t="n"/>
      <c r="Z513" s="54" t="n"/>
    </row>
    <row r="514" ht="15.75" customHeight="1" s="57">
      <c r="A514" s="54" t="n"/>
      <c r="B514" s="54" t="n"/>
      <c r="C514" s="54" t="n"/>
      <c r="D514" s="54" t="n"/>
      <c r="E514" s="54" t="n"/>
      <c r="F514" s="54" t="n"/>
      <c r="G514" s="54" t="n"/>
      <c r="H514" s="54" t="n"/>
      <c r="I514" s="54" t="n"/>
      <c r="J514" s="54" t="n"/>
      <c r="K514" s="54" t="n"/>
      <c r="L514" s="54" t="n"/>
      <c r="M514" s="54" t="n"/>
      <c r="N514" s="54" t="n"/>
      <c r="O514" s="54" t="n"/>
      <c r="P514" s="54" t="n"/>
      <c r="Q514" s="54" t="n"/>
      <c r="R514" s="54" t="n"/>
      <c r="S514" s="54" t="n"/>
      <c r="T514" s="54" t="n"/>
      <c r="U514" s="54" t="n"/>
      <c r="V514" s="54" t="n"/>
      <c r="W514" s="54" t="n"/>
      <c r="X514" s="54" t="n"/>
      <c r="Y514" s="54" t="n"/>
      <c r="Z514" s="54" t="n"/>
    </row>
    <row r="515" ht="15.75" customHeight="1" s="57">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row>
    <row r="516" ht="15.75" customHeight="1" s="57">
      <c r="A516" s="54" t="n"/>
      <c r="B516" s="54" t="n"/>
      <c r="C516" s="54" t="n"/>
      <c r="D516" s="54" t="n"/>
      <c r="E516" s="54" t="n"/>
      <c r="F516" s="54" t="n"/>
      <c r="G516" s="54" t="n"/>
      <c r="H516" s="54" t="n"/>
      <c r="I516" s="54" t="n"/>
      <c r="J516" s="54" t="n"/>
      <c r="K516" s="54" t="n"/>
      <c r="L516" s="54" t="n"/>
      <c r="M516" s="54" t="n"/>
      <c r="N516" s="54" t="n"/>
      <c r="O516" s="54" t="n"/>
      <c r="P516" s="54" t="n"/>
      <c r="Q516" s="54" t="n"/>
      <c r="R516" s="54" t="n"/>
      <c r="S516" s="54" t="n"/>
      <c r="T516" s="54" t="n"/>
      <c r="U516" s="54" t="n"/>
      <c r="V516" s="54" t="n"/>
      <c r="W516" s="54" t="n"/>
      <c r="X516" s="54" t="n"/>
      <c r="Y516" s="54" t="n"/>
      <c r="Z516" s="54" t="n"/>
    </row>
    <row r="517" ht="15.75" customHeight="1" s="57">
      <c r="A517" s="54" t="n"/>
      <c r="B517" s="54" t="n"/>
      <c r="C517" s="54" t="n"/>
      <c r="D517" s="54" t="n"/>
      <c r="E517" s="54" t="n"/>
      <c r="F517" s="54" t="n"/>
      <c r="G517" s="54" t="n"/>
      <c r="H517" s="54" t="n"/>
      <c r="I517" s="54" t="n"/>
      <c r="J517" s="54" t="n"/>
      <c r="K517" s="54" t="n"/>
      <c r="L517" s="54" t="n"/>
      <c r="M517" s="54" t="n"/>
      <c r="N517" s="54" t="n"/>
      <c r="O517" s="54" t="n"/>
      <c r="P517" s="54" t="n"/>
      <c r="Q517" s="54" t="n"/>
      <c r="R517" s="54" t="n"/>
      <c r="S517" s="54" t="n"/>
      <c r="T517" s="54" t="n"/>
      <c r="U517" s="54" t="n"/>
      <c r="V517" s="54" t="n"/>
      <c r="W517" s="54" t="n"/>
      <c r="X517" s="54" t="n"/>
      <c r="Y517" s="54" t="n"/>
      <c r="Z517" s="54" t="n"/>
    </row>
    <row r="518" ht="15.75" customHeight="1" s="57">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row>
    <row r="519" ht="15.75" customHeight="1" s="57">
      <c r="A519" s="54" t="n"/>
      <c r="B519" s="54" t="n"/>
      <c r="C519" s="54" t="n"/>
      <c r="D519" s="54" t="n"/>
      <c r="E519" s="54" t="n"/>
      <c r="F519" s="54" t="n"/>
      <c r="G519" s="54" t="n"/>
      <c r="H519" s="54" t="n"/>
      <c r="I519" s="54" t="n"/>
      <c r="J519" s="54" t="n"/>
      <c r="K519" s="54" t="n"/>
      <c r="L519" s="54" t="n"/>
      <c r="M519" s="54" t="n"/>
      <c r="N519" s="54" t="n"/>
      <c r="O519" s="54" t="n"/>
      <c r="P519" s="54" t="n"/>
      <c r="Q519" s="54" t="n"/>
      <c r="R519" s="54" t="n"/>
      <c r="S519" s="54" t="n"/>
      <c r="T519" s="54" t="n"/>
      <c r="U519" s="54" t="n"/>
      <c r="V519" s="54" t="n"/>
      <c r="W519" s="54" t="n"/>
      <c r="X519" s="54" t="n"/>
      <c r="Y519" s="54" t="n"/>
      <c r="Z519" s="54" t="n"/>
    </row>
    <row r="520" ht="15.75" customHeight="1" s="57">
      <c r="A520" s="54" t="n"/>
      <c r="B520" s="54" t="n"/>
      <c r="C520" s="54" t="n"/>
      <c r="D520" s="54" t="n"/>
      <c r="E520" s="54" t="n"/>
      <c r="F520" s="54" t="n"/>
      <c r="G520" s="54" t="n"/>
      <c r="H520" s="54" t="n"/>
      <c r="I520" s="54" t="n"/>
      <c r="J520" s="54" t="n"/>
      <c r="K520" s="54" t="n"/>
      <c r="L520" s="54" t="n"/>
      <c r="M520" s="54" t="n"/>
      <c r="N520" s="54" t="n"/>
      <c r="O520" s="54" t="n"/>
      <c r="P520" s="54" t="n"/>
      <c r="Q520" s="54" t="n"/>
      <c r="R520" s="54" t="n"/>
      <c r="S520" s="54" t="n"/>
      <c r="T520" s="54" t="n"/>
      <c r="U520" s="54" t="n"/>
      <c r="V520" s="54" t="n"/>
      <c r="W520" s="54" t="n"/>
      <c r="X520" s="54" t="n"/>
      <c r="Y520" s="54" t="n"/>
      <c r="Z520" s="54" t="n"/>
    </row>
    <row r="521" ht="15.75" customHeight="1" s="57">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row>
    <row r="522" ht="15.75" customHeight="1" s="57">
      <c r="A522" s="54" t="n"/>
      <c r="B522" s="54" t="n"/>
      <c r="C522" s="54" t="n"/>
      <c r="D522" s="54" t="n"/>
      <c r="E522" s="54" t="n"/>
      <c r="F522" s="54" t="n"/>
      <c r="G522" s="54" t="n"/>
      <c r="H522" s="54" t="n"/>
      <c r="I522" s="54" t="n"/>
      <c r="J522" s="54" t="n"/>
      <c r="K522" s="54" t="n"/>
      <c r="L522" s="54" t="n"/>
      <c r="M522" s="54" t="n"/>
      <c r="N522" s="54" t="n"/>
      <c r="O522" s="54" t="n"/>
      <c r="P522" s="54" t="n"/>
      <c r="Q522" s="54" t="n"/>
      <c r="R522" s="54" t="n"/>
      <c r="S522" s="54" t="n"/>
      <c r="T522" s="54" t="n"/>
      <c r="U522" s="54" t="n"/>
      <c r="V522" s="54" t="n"/>
      <c r="W522" s="54" t="n"/>
      <c r="X522" s="54" t="n"/>
      <c r="Y522" s="54" t="n"/>
      <c r="Z522" s="54" t="n"/>
    </row>
    <row r="523" ht="15.75" customHeight="1" s="57">
      <c r="A523" s="54" t="n"/>
      <c r="B523" s="54" t="n"/>
      <c r="C523" s="54" t="n"/>
      <c r="D523" s="54" t="n"/>
      <c r="E523" s="54" t="n"/>
      <c r="F523" s="54" t="n"/>
      <c r="G523" s="54" t="n"/>
      <c r="H523" s="54" t="n"/>
      <c r="I523" s="54" t="n"/>
      <c r="J523" s="54" t="n"/>
      <c r="K523" s="54" t="n"/>
      <c r="L523" s="54" t="n"/>
      <c r="M523" s="54" t="n"/>
      <c r="N523" s="54" t="n"/>
      <c r="O523" s="54" t="n"/>
      <c r="P523" s="54" t="n"/>
      <c r="Q523" s="54" t="n"/>
      <c r="R523" s="54" t="n"/>
      <c r="S523" s="54" t="n"/>
      <c r="T523" s="54" t="n"/>
      <c r="U523" s="54" t="n"/>
      <c r="V523" s="54" t="n"/>
      <c r="W523" s="54" t="n"/>
      <c r="X523" s="54" t="n"/>
      <c r="Y523" s="54" t="n"/>
      <c r="Z523" s="54" t="n"/>
    </row>
    <row r="524" ht="15.75" customHeight="1" s="57">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row>
    <row r="525" ht="15.75" customHeight="1" s="57">
      <c r="A525" s="54" t="n"/>
      <c r="B525" s="54" t="n"/>
      <c r="C525" s="54" t="n"/>
      <c r="D525" s="54" t="n"/>
      <c r="E525" s="54" t="n"/>
      <c r="F525" s="54" t="n"/>
      <c r="G525" s="54" t="n"/>
      <c r="H525" s="54" t="n"/>
      <c r="I525" s="54" t="n"/>
      <c r="J525" s="54" t="n"/>
      <c r="K525" s="54" t="n"/>
      <c r="L525" s="54" t="n"/>
      <c r="M525" s="54" t="n"/>
      <c r="N525" s="54" t="n"/>
      <c r="O525" s="54" t="n"/>
      <c r="P525" s="54" t="n"/>
      <c r="Q525" s="54" t="n"/>
      <c r="R525" s="54" t="n"/>
      <c r="S525" s="54" t="n"/>
      <c r="T525" s="54" t="n"/>
      <c r="U525" s="54" t="n"/>
      <c r="V525" s="54" t="n"/>
      <c r="W525" s="54" t="n"/>
      <c r="X525" s="54" t="n"/>
      <c r="Y525" s="54" t="n"/>
      <c r="Z525" s="54" t="n"/>
    </row>
    <row r="526" ht="15.75" customHeight="1" s="57">
      <c r="A526" s="54" t="n"/>
      <c r="B526" s="54" t="n"/>
      <c r="C526" s="54" t="n"/>
      <c r="D526" s="54" t="n"/>
      <c r="E526" s="54" t="n"/>
      <c r="F526" s="54" t="n"/>
      <c r="G526" s="54" t="n"/>
      <c r="H526" s="54" t="n"/>
      <c r="I526" s="54" t="n"/>
      <c r="J526" s="54" t="n"/>
      <c r="K526" s="54" t="n"/>
      <c r="L526" s="54" t="n"/>
      <c r="M526" s="54" t="n"/>
      <c r="N526" s="54" t="n"/>
      <c r="O526" s="54" t="n"/>
      <c r="P526" s="54" t="n"/>
      <c r="Q526" s="54" t="n"/>
      <c r="R526" s="54" t="n"/>
      <c r="S526" s="54" t="n"/>
      <c r="T526" s="54" t="n"/>
      <c r="U526" s="54" t="n"/>
      <c r="V526" s="54" t="n"/>
      <c r="W526" s="54" t="n"/>
      <c r="X526" s="54" t="n"/>
      <c r="Y526" s="54" t="n"/>
      <c r="Z526" s="54" t="n"/>
    </row>
    <row r="527" ht="15.75" customHeight="1" s="57">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row>
    <row r="528" ht="15.75" customHeight="1" s="57">
      <c r="A528" s="54" t="n"/>
      <c r="B528" s="54" t="n"/>
      <c r="C528" s="54" t="n"/>
      <c r="D528" s="54" t="n"/>
      <c r="E528" s="54" t="n"/>
      <c r="F528" s="54" t="n"/>
      <c r="G528" s="54" t="n"/>
      <c r="H528" s="54" t="n"/>
      <c r="I528" s="54" t="n"/>
      <c r="J528" s="54" t="n"/>
      <c r="K528" s="54" t="n"/>
      <c r="L528" s="54" t="n"/>
      <c r="M528" s="54" t="n"/>
      <c r="N528" s="54" t="n"/>
      <c r="O528" s="54" t="n"/>
      <c r="P528" s="54" t="n"/>
      <c r="Q528" s="54" t="n"/>
      <c r="R528" s="54" t="n"/>
      <c r="S528" s="54" t="n"/>
      <c r="T528" s="54" t="n"/>
      <c r="U528" s="54" t="n"/>
      <c r="V528" s="54" t="n"/>
      <c r="W528" s="54" t="n"/>
      <c r="X528" s="54" t="n"/>
      <c r="Y528" s="54" t="n"/>
      <c r="Z528" s="54" t="n"/>
    </row>
    <row r="529" ht="15.75" customHeight="1" s="57">
      <c r="A529" s="54" t="n"/>
      <c r="B529" s="54" t="n"/>
      <c r="C529" s="54" t="n"/>
      <c r="D529" s="54" t="n"/>
      <c r="E529" s="54" t="n"/>
      <c r="F529" s="54" t="n"/>
      <c r="G529" s="54" t="n"/>
      <c r="H529" s="54" t="n"/>
      <c r="I529" s="54" t="n"/>
      <c r="J529" s="54" t="n"/>
      <c r="K529" s="54" t="n"/>
      <c r="L529" s="54" t="n"/>
      <c r="M529" s="54" t="n"/>
      <c r="N529" s="54" t="n"/>
      <c r="O529" s="54" t="n"/>
      <c r="P529" s="54" t="n"/>
      <c r="Q529" s="54" t="n"/>
      <c r="R529" s="54" t="n"/>
      <c r="S529" s="54" t="n"/>
      <c r="T529" s="54" t="n"/>
      <c r="U529" s="54" t="n"/>
      <c r="V529" s="54" t="n"/>
      <c r="W529" s="54" t="n"/>
      <c r="X529" s="54" t="n"/>
      <c r="Y529" s="54" t="n"/>
      <c r="Z529" s="54" t="n"/>
    </row>
    <row r="530" ht="15.75" customHeight="1" s="57">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row>
    <row r="531" ht="15.75" customHeight="1" s="57">
      <c r="A531" s="54" t="n"/>
      <c r="B531" s="54" t="n"/>
      <c r="C531" s="54" t="n"/>
      <c r="D531" s="54" t="n"/>
      <c r="E531" s="54" t="n"/>
      <c r="F531" s="54" t="n"/>
      <c r="G531" s="54" t="n"/>
      <c r="H531" s="54" t="n"/>
      <c r="I531" s="54" t="n"/>
      <c r="J531" s="54" t="n"/>
      <c r="K531" s="54" t="n"/>
      <c r="L531" s="54" t="n"/>
      <c r="M531" s="54" t="n"/>
      <c r="N531" s="54" t="n"/>
      <c r="O531" s="54" t="n"/>
      <c r="P531" s="54" t="n"/>
      <c r="Q531" s="54" t="n"/>
      <c r="R531" s="54" t="n"/>
      <c r="S531" s="54" t="n"/>
      <c r="T531" s="54" t="n"/>
      <c r="U531" s="54" t="n"/>
      <c r="V531" s="54" t="n"/>
      <c r="W531" s="54" t="n"/>
      <c r="X531" s="54" t="n"/>
      <c r="Y531" s="54" t="n"/>
      <c r="Z531" s="54" t="n"/>
    </row>
    <row r="532" ht="15.75" customHeight="1" s="57">
      <c r="A532" s="54" t="n"/>
      <c r="B532" s="54" t="n"/>
      <c r="C532" s="54" t="n"/>
      <c r="D532" s="54" t="n"/>
      <c r="E532" s="54" t="n"/>
      <c r="F532" s="54" t="n"/>
      <c r="G532" s="54" t="n"/>
      <c r="H532" s="54" t="n"/>
      <c r="I532" s="54" t="n"/>
      <c r="J532" s="54" t="n"/>
      <c r="K532" s="54" t="n"/>
      <c r="L532" s="54" t="n"/>
      <c r="M532" s="54" t="n"/>
      <c r="N532" s="54" t="n"/>
      <c r="O532" s="54" t="n"/>
      <c r="P532" s="54" t="n"/>
      <c r="Q532" s="54" t="n"/>
      <c r="R532" s="54" t="n"/>
      <c r="S532" s="54" t="n"/>
      <c r="T532" s="54" t="n"/>
      <c r="U532" s="54" t="n"/>
      <c r="V532" s="54" t="n"/>
      <c r="W532" s="54" t="n"/>
      <c r="X532" s="54" t="n"/>
      <c r="Y532" s="54" t="n"/>
      <c r="Z532" s="54" t="n"/>
    </row>
    <row r="533" ht="15.75" customHeight="1" s="57">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row>
    <row r="534" ht="15.75" customHeight="1" s="57">
      <c r="A534" s="54" t="n"/>
      <c r="B534" s="54" t="n"/>
      <c r="C534" s="54" t="n"/>
      <c r="D534" s="54" t="n"/>
      <c r="E534" s="54" t="n"/>
      <c r="F534" s="54" t="n"/>
      <c r="G534" s="54" t="n"/>
      <c r="H534" s="54" t="n"/>
      <c r="I534" s="54" t="n"/>
      <c r="J534" s="54" t="n"/>
      <c r="K534" s="54" t="n"/>
      <c r="L534" s="54" t="n"/>
      <c r="M534" s="54" t="n"/>
      <c r="N534" s="54" t="n"/>
      <c r="O534" s="54" t="n"/>
      <c r="P534" s="54" t="n"/>
      <c r="Q534" s="54" t="n"/>
      <c r="R534" s="54" t="n"/>
      <c r="S534" s="54" t="n"/>
      <c r="T534" s="54" t="n"/>
      <c r="U534" s="54" t="n"/>
      <c r="V534" s="54" t="n"/>
      <c r="W534" s="54" t="n"/>
      <c r="X534" s="54" t="n"/>
      <c r="Y534" s="54" t="n"/>
      <c r="Z534" s="54" t="n"/>
    </row>
    <row r="535" ht="15.75" customHeight="1" s="57">
      <c r="A535" s="54" t="n"/>
      <c r="B535" s="54" t="n"/>
      <c r="C535" s="54" t="n"/>
      <c r="D535" s="54" t="n"/>
      <c r="E535" s="54" t="n"/>
      <c r="F535" s="54" t="n"/>
      <c r="G535" s="54" t="n"/>
      <c r="H535" s="54" t="n"/>
      <c r="I535" s="54" t="n"/>
      <c r="J535" s="54" t="n"/>
      <c r="K535" s="54" t="n"/>
      <c r="L535" s="54" t="n"/>
      <c r="M535" s="54" t="n"/>
      <c r="N535" s="54" t="n"/>
      <c r="O535" s="54" t="n"/>
      <c r="P535" s="54" t="n"/>
      <c r="Q535" s="54" t="n"/>
      <c r="R535" s="54" t="n"/>
      <c r="S535" s="54" t="n"/>
      <c r="T535" s="54" t="n"/>
      <c r="U535" s="54" t="n"/>
      <c r="V535" s="54" t="n"/>
      <c r="W535" s="54" t="n"/>
      <c r="X535" s="54" t="n"/>
      <c r="Y535" s="54" t="n"/>
      <c r="Z535" s="54" t="n"/>
    </row>
    <row r="536" ht="15.75" customHeight="1" s="57">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row>
    <row r="537" ht="15.75" customHeight="1" s="57">
      <c r="A537" s="54" t="n"/>
      <c r="B537" s="54" t="n"/>
      <c r="C537" s="54" t="n"/>
      <c r="D537" s="54" t="n"/>
      <c r="E537" s="54" t="n"/>
      <c r="F537" s="54" t="n"/>
      <c r="G537" s="54" t="n"/>
      <c r="H537" s="54" t="n"/>
      <c r="I537" s="54" t="n"/>
      <c r="J537" s="54" t="n"/>
      <c r="K537" s="54" t="n"/>
      <c r="L537" s="54" t="n"/>
      <c r="M537" s="54" t="n"/>
      <c r="N537" s="54" t="n"/>
      <c r="O537" s="54" t="n"/>
      <c r="P537" s="54" t="n"/>
      <c r="Q537" s="54" t="n"/>
      <c r="R537" s="54" t="n"/>
      <c r="S537" s="54" t="n"/>
      <c r="T537" s="54" t="n"/>
      <c r="U537" s="54" t="n"/>
      <c r="V537" s="54" t="n"/>
      <c r="W537" s="54" t="n"/>
      <c r="X537" s="54" t="n"/>
      <c r="Y537" s="54" t="n"/>
      <c r="Z537" s="54" t="n"/>
    </row>
    <row r="538" ht="15.75" customHeight="1" s="57">
      <c r="A538" s="54" t="n"/>
      <c r="B538" s="54" t="n"/>
      <c r="C538" s="54" t="n"/>
      <c r="D538" s="54" t="n"/>
      <c r="E538" s="54" t="n"/>
      <c r="F538" s="54" t="n"/>
      <c r="G538" s="54" t="n"/>
      <c r="H538" s="54" t="n"/>
      <c r="I538" s="54" t="n"/>
      <c r="J538" s="54" t="n"/>
      <c r="K538" s="54" t="n"/>
      <c r="L538" s="54" t="n"/>
      <c r="M538" s="54" t="n"/>
      <c r="N538" s="54" t="n"/>
      <c r="O538" s="54" t="n"/>
      <c r="P538" s="54" t="n"/>
      <c r="Q538" s="54" t="n"/>
      <c r="R538" s="54" t="n"/>
      <c r="S538" s="54" t="n"/>
      <c r="T538" s="54" t="n"/>
      <c r="U538" s="54" t="n"/>
      <c r="V538" s="54" t="n"/>
      <c r="W538" s="54" t="n"/>
      <c r="X538" s="54" t="n"/>
      <c r="Y538" s="54" t="n"/>
      <c r="Z538" s="54" t="n"/>
    </row>
    <row r="539" ht="15.75" customHeight="1" s="57">
      <c r="A539" s="54" t="n"/>
      <c r="B539" s="54" t="n"/>
      <c r="C539" s="54" t="n"/>
      <c r="D539" s="54" t="n"/>
      <c r="E539" s="54" t="n"/>
      <c r="F539" s="54" t="n"/>
      <c r="G539" s="54" t="n"/>
      <c r="H539" s="54" t="n"/>
      <c r="I539" s="54" t="n"/>
      <c r="J539" s="54" t="n"/>
      <c r="K539" s="54" t="n"/>
      <c r="L539" s="54" t="n"/>
      <c r="M539" s="54" t="n"/>
      <c r="N539" s="54" t="n"/>
      <c r="O539" s="54" t="n"/>
      <c r="P539" s="54" t="n"/>
      <c r="Q539" s="54" t="n"/>
      <c r="R539" s="54" t="n"/>
      <c r="S539" s="54" t="n"/>
      <c r="T539" s="54" t="n"/>
      <c r="U539" s="54" t="n"/>
      <c r="V539" s="54" t="n"/>
      <c r="W539" s="54" t="n"/>
      <c r="X539" s="54" t="n"/>
      <c r="Y539" s="54" t="n"/>
      <c r="Z539" s="54" t="n"/>
    </row>
    <row r="540" ht="15.75" customHeight="1" s="57">
      <c r="A540" s="54" t="n"/>
      <c r="B540" s="54" t="n"/>
      <c r="C540" s="54" t="n"/>
      <c r="D540" s="54" t="n"/>
      <c r="E540" s="54" t="n"/>
      <c r="F540" s="54" t="n"/>
      <c r="G540" s="54" t="n"/>
      <c r="H540" s="54" t="n"/>
      <c r="I540" s="54" t="n"/>
      <c r="J540" s="54" t="n"/>
      <c r="K540" s="54" t="n"/>
      <c r="L540" s="54" t="n"/>
      <c r="M540" s="54" t="n"/>
      <c r="N540" s="54" t="n"/>
      <c r="O540" s="54" t="n"/>
      <c r="P540" s="54" t="n"/>
      <c r="Q540" s="54" t="n"/>
      <c r="R540" s="54" t="n"/>
      <c r="S540" s="54" t="n"/>
      <c r="T540" s="54" t="n"/>
      <c r="U540" s="54" t="n"/>
      <c r="V540" s="54" t="n"/>
      <c r="W540" s="54" t="n"/>
      <c r="X540" s="54" t="n"/>
      <c r="Y540" s="54" t="n"/>
      <c r="Z540" s="54" t="n"/>
    </row>
    <row r="541" ht="15.75" customHeight="1" s="57">
      <c r="A541" s="54" t="n"/>
      <c r="B541" s="54" t="n"/>
      <c r="C541" s="54" t="n"/>
      <c r="D541" s="54" t="n"/>
      <c r="E541" s="54" t="n"/>
      <c r="F541" s="54" t="n"/>
      <c r="G541" s="54" t="n"/>
      <c r="H541" s="54" t="n"/>
      <c r="I541" s="54" t="n"/>
      <c r="J541" s="54" t="n"/>
      <c r="K541" s="54" t="n"/>
      <c r="L541" s="54" t="n"/>
      <c r="M541" s="54" t="n"/>
      <c r="N541" s="54" t="n"/>
      <c r="O541" s="54" t="n"/>
      <c r="P541" s="54" t="n"/>
      <c r="Q541" s="54" t="n"/>
      <c r="R541" s="54" t="n"/>
      <c r="S541" s="54" t="n"/>
      <c r="T541" s="54" t="n"/>
      <c r="U541" s="54" t="n"/>
      <c r="V541" s="54" t="n"/>
      <c r="W541" s="54" t="n"/>
      <c r="X541" s="54" t="n"/>
      <c r="Y541" s="54" t="n"/>
      <c r="Z541" s="54" t="n"/>
    </row>
    <row r="542" ht="15.75" customHeight="1" s="57">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row>
    <row r="543" ht="15.75" customHeight="1" s="57">
      <c r="A543" s="54" t="n"/>
      <c r="B543" s="54" t="n"/>
      <c r="C543" s="54" t="n"/>
      <c r="D543" s="54" t="n"/>
      <c r="E543" s="54" t="n"/>
      <c r="F543" s="54" t="n"/>
      <c r="G543" s="54" t="n"/>
      <c r="H543" s="54" t="n"/>
      <c r="I543" s="54" t="n"/>
      <c r="J543" s="54" t="n"/>
      <c r="K543" s="54" t="n"/>
      <c r="L543" s="54" t="n"/>
      <c r="M543" s="54" t="n"/>
      <c r="N543" s="54" t="n"/>
      <c r="O543" s="54" t="n"/>
      <c r="P543" s="54" t="n"/>
      <c r="Q543" s="54" t="n"/>
      <c r="R543" s="54" t="n"/>
      <c r="S543" s="54" t="n"/>
      <c r="T543" s="54" t="n"/>
      <c r="U543" s="54" t="n"/>
      <c r="V543" s="54" t="n"/>
      <c r="W543" s="54" t="n"/>
      <c r="X543" s="54" t="n"/>
      <c r="Y543" s="54" t="n"/>
      <c r="Z543" s="54" t="n"/>
    </row>
    <row r="544" ht="15.75" customHeight="1" s="57">
      <c r="A544" s="54" t="n"/>
      <c r="B544" s="54" t="n"/>
      <c r="C544" s="54" t="n"/>
      <c r="D544" s="54" t="n"/>
      <c r="E544" s="54" t="n"/>
      <c r="F544" s="54" t="n"/>
      <c r="G544" s="54" t="n"/>
      <c r="H544" s="54" t="n"/>
      <c r="I544" s="54" t="n"/>
      <c r="J544" s="54" t="n"/>
      <c r="K544" s="54" t="n"/>
      <c r="L544" s="54" t="n"/>
      <c r="M544" s="54" t="n"/>
      <c r="N544" s="54" t="n"/>
      <c r="O544" s="54" t="n"/>
      <c r="P544" s="54" t="n"/>
      <c r="Q544" s="54" t="n"/>
      <c r="R544" s="54" t="n"/>
      <c r="S544" s="54" t="n"/>
      <c r="T544" s="54" t="n"/>
      <c r="U544" s="54" t="n"/>
      <c r="V544" s="54" t="n"/>
      <c r="W544" s="54" t="n"/>
      <c r="X544" s="54" t="n"/>
      <c r="Y544" s="54" t="n"/>
      <c r="Z544" s="54" t="n"/>
    </row>
    <row r="545" ht="15.75" customHeight="1" s="57">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row>
    <row r="546" ht="15.75" customHeight="1" s="57">
      <c r="A546" s="54" t="n"/>
      <c r="B546" s="54" t="n"/>
      <c r="C546" s="54" t="n"/>
      <c r="D546" s="54" t="n"/>
      <c r="E546" s="54" t="n"/>
      <c r="F546" s="54" t="n"/>
      <c r="G546" s="54" t="n"/>
      <c r="H546" s="54" t="n"/>
      <c r="I546" s="54" t="n"/>
      <c r="J546" s="54" t="n"/>
      <c r="K546" s="54" t="n"/>
      <c r="L546" s="54" t="n"/>
      <c r="M546" s="54" t="n"/>
      <c r="N546" s="54" t="n"/>
      <c r="O546" s="54" t="n"/>
      <c r="P546" s="54" t="n"/>
      <c r="Q546" s="54" t="n"/>
      <c r="R546" s="54" t="n"/>
      <c r="S546" s="54" t="n"/>
      <c r="T546" s="54" t="n"/>
      <c r="U546" s="54" t="n"/>
      <c r="V546" s="54" t="n"/>
      <c r="W546" s="54" t="n"/>
      <c r="X546" s="54" t="n"/>
      <c r="Y546" s="54" t="n"/>
      <c r="Z546" s="54" t="n"/>
    </row>
    <row r="547" ht="15.75" customHeight="1" s="57">
      <c r="A547" s="54" t="n"/>
      <c r="B547" s="54" t="n"/>
      <c r="C547" s="54" t="n"/>
      <c r="D547" s="54" t="n"/>
      <c r="E547" s="54" t="n"/>
      <c r="F547" s="54" t="n"/>
      <c r="G547" s="54" t="n"/>
      <c r="H547" s="54" t="n"/>
      <c r="I547" s="54" t="n"/>
      <c r="J547" s="54" t="n"/>
      <c r="K547" s="54" t="n"/>
      <c r="L547" s="54" t="n"/>
      <c r="M547" s="54" t="n"/>
      <c r="N547" s="54" t="n"/>
      <c r="O547" s="54" t="n"/>
      <c r="P547" s="54" t="n"/>
      <c r="Q547" s="54" t="n"/>
      <c r="R547" s="54" t="n"/>
      <c r="S547" s="54" t="n"/>
      <c r="T547" s="54" t="n"/>
      <c r="U547" s="54" t="n"/>
      <c r="V547" s="54" t="n"/>
      <c r="W547" s="54" t="n"/>
      <c r="X547" s="54" t="n"/>
      <c r="Y547" s="54" t="n"/>
      <c r="Z547" s="54" t="n"/>
    </row>
    <row r="548" ht="15.75" customHeight="1" s="57">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row>
    <row r="549" ht="15.75" customHeight="1" s="57">
      <c r="A549" s="54" t="n"/>
      <c r="B549" s="54" t="n"/>
      <c r="C549" s="54" t="n"/>
      <c r="D549" s="54" t="n"/>
      <c r="E549" s="54" t="n"/>
      <c r="F549" s="54" t="n"/>
      <c r="G549" s="54" t="n"/>
      <c r="H549" s="54" t="n"/>
      <c r="I549" s="54" t="n"/>
      <c r="J549" s="54" t="n"/>
      <c r="K549" s="54" t="n"/>
      <c r="L549" s="54" t="n"/>
      <c r="M549" s="54" t="n"/>
      <c r="N549" s="54" t="n"/>
      <c r="O549" s="54" t="n"/>
      <c r="P549" s="54" t="n"/>
      <c r="Q549" s="54" t="n"/>
      <c r="R549" s="54" t="n"/>
      <c r="S549" s="54" t="n"/>
      <c r="T549" s="54" t="n"/>
      <c r="U549" s="54" t="n"/>
      <c r="V549" s="54" t="n"/>
      <c r="W549" s="54" t="n"/>
      <c r="X549" s="54" t="n"/>
      <c r="Y549" s="54" t="n"/>
      <c r="Z549" s="54" t="n"/>
    </row>
    <row r="550" ht="15.75" customHeight="1" s="57">
      <c r="A550" s="54" t="n"/>
      <c r="B550" s="54" t="n"/>
      <c r="C550" s="54" t="n"/>
      <c r="D550" s="54" t="n"/>
      <c r="E550" s="54" t="n"/>
      <c r="F550" s="54" t="n"/>
      <c r="G550" s="54" t="n"/>
      <c r="H550" s="54" t="n"/>
      <c r="I550" s="54" t="n"/>
      <c r="J550" s="54" t="n"/>
      <c r="K550" s="54" t="n"/>
      <c r="L550" s="54" t="n"/>
      <c r="M550" s="54" t="n"/>
      <c r="N550" s="54" t="n"/>
      <c r="O550" s="54" t="n"/>
      <c r="P550" s="54" t="n"/>
      <c r="Q550" s="54" t="n"/>
      <c r="R550" s="54" t="n"/>
      <c r="S550" s="54" t="n"/>
      <c r="T550" s="54" t="n"/>
      <c r="U550" s="54" t="n"/>
      <c r="V550" s="54" t="n"/>
      <c r="W550" s="54" t="n"/>
      <c r="X550" s="54" t="n"/>
      <c r="Y550" s="54" t="n"/>
      <c r="Z550" s="54" t="n"/>
    </row>
    <row r="551" ht="15.75" customHeight="1" s="57">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row>
    <row r="552" ht="15.75" customHeight="1" s="57">
      <c r="A552" s="54" t="n"/>
      <c r="B552" s="54" t="n"/>
      <c r="C552" s="54" t="n"/>
      <c r="D552" s="54" t="n"/>
      <c r="E552" s="54" t="n"/>
      <c r="F552" s="54" t="n"/>
      <c r="G552" s="54" t="n"/>
      <c r="H552" s="54" t="n"/>
      <c r="I552" s="54" t="n"/>
      <c r="J552" s="54" t="n"/>
      <c r="K552" s="54" t="n"/>
      <c r="L552" s="54" t="n"/>
      <c r="M552" s="54" t="n"/>
      <c r="N552" s="54" t="n"/>
      <c r="O552" s="54" t="n"/>
      <c r="P552" s="54" t="n"/>
      <c r="Q552" s="54" t="n"/>
      <c r="R552" s="54" t="n"/>
      <c r="S552" s="54" t="n"/>
      <c r="T552" s="54" t="n"/>
      <c r="U552" s="54" t="n"/>
      <c r="V552" s="54" t="n"/>
      <c r="W552" s="54" t="n"/>
      <c r="X552" s="54" t="n"/>
      <c r="Y552" s="54" t="n"/>
      <c r="Z552" s="54" t="n"/>
    </row>
    <row r="553" ht="15.75" customHeight="1" s="57">
      <c r="A553" s="54" t="n"/>
      <c r="B553" s="54" t="n"/>
      <c r="C553" s="54" t="n"/>
      <c r="D553" s="54" t="n"/>
      <c r="E553" s="54" t="n"/>
      <c r="F553" s="54" t="n"/>
      <c r="G553" s="54" t="n"/>
      <c r="H553" s="54" t="n"/>
      <c r="I553" s="54" t="n"/>
      <c r="J553" s="54" t="n"/>
      <c r="K553" s="54" t="n"/>
      <c r="L553" s="54" t="n"/>
      <c r="M553" s="54" t="n"/>
      <c r="N553" s="54" t="n"/>
      <c r="O553" s="54" t="n"/>
      <c r="P553" s="54" t="n"/>
      <c r="Q553" s="54" t="n"/>
      <c r="R553" s="54" t="n"/>
      <c r="S553" s="54" t="n"/>
      <c r="T553" s="54" t="n"/>
      <c r="U553" s="54" t="n"/>
      <c r="V553" s="54" t="n"/>
      <c r="W553" s="54" t="n"/>
      <c r="X553" s="54" t="n"/>
      <c r="Y553" s="54" t="n"/>
      <c r="Z553" s="54" t="n"/>
    </row>
    <row r="554" ht="15.75" customHeight="1" s="57">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row>
    <row r="555" ht="15.75" customHeight="1" s="57">
      <c r="A555" s="54" t="n"/>
      <c r="B555" s="54" t="n"/>
      <c r="C555" s="54" t="n"/>
      <c r="D555" s="54" t="n"/>
      <c r="E555" s="54" t="n"/>
      <c r="F555" s="54" t="n"/>
      <c r="G555" s="54" t="n"/>
      <c r="H555" s="54" t="n"/>
      <c r="I555" s="54" t="n"/>
      <c r="J555" s="54" t="n"/>
      <c r="K555" s="54" t="n"/>
      <c r="L555" s="54" t="n"/>
      <c r="M555" s="54" t="n"/>
      <c r="N555" s="54" t="n"/>
      <c r="O555" s="54" t="n"/>
      <c r="P555" s="54" t="n"/>
      <c r="Q555" s="54" t="n"/>
      <c r="R555" s="54" t="n"/>
      <c r="S555" s="54" t="n"/>
      <c r="T555" s="54" t="n"/>
      <c r="U555" s="54" t="n"/>
      <c r="V555" s="54" t="n"/>
      <c r="W555" s="54" t="n"/>
      <c r="X555" s="54" t="n"/>
      <c r="Y555" s="54" t="n"/>
      <c r="Z555" s="54" t="n"/>
    </row>
    <row r="556" ht="15.75" customHeight="1" s="57">
      <c r="A556" s="54" t="n"/>
      <c r="B556" s="54" t="n"/>
      <c r="C556" s="54" t="n"/>
      <c r="D556" s="54" t="n"/>
      <c r="E556" s="54" t="n"/>
      <c r="F556" s="54" t="n"/>
      <c r="G556" s="54" t="n"/>
      <c r="H556" s="54" t="n"/>
      <c r="I556" s="54" t="n"/>
      <c r="J556" s="54" t="n"/>
      <c r="K556" s="54" t="n"/>
      <c r="L556" s="54" t="n"/>
      <c r="M556" s="54" t="n"/>
      <c r="N556" s="54" t="n"/>
      <c r="O556" s="54" t="n"/>
      <c r="P556" s="54" t="n"/>
      <c r="Q556" s="54" t="n"/>
      <c r="R556" s="54" t="n"/>
      <c r="S556" s="54" t="n"/>
      <c r="T556" s="54" t="n"/>
      <c r="U556" s="54" t="n"/>
      <c r="V556" s="54" t="n"/>
      <c r="W556" s="54" t="n"/>
      <c r="X556" s="54" t="n"/>
      <c r="Y556" s="54" t="n"/>
      <c r="Z556" s="54" t="n"/>
    </row>
    <row r="557" ht="15.75" customHeight="1" s="57">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row>
    <row r="558" ht="15.75" customHeight="1" s="57">
      <c r="A558" s="54" t="n"/>
      <c r="B558" s="54" t="n"/>
      <c r="C558" s="54" t="n"/>
      <c r="D558" s="54" t="n"/>
      <c r="E558" s="54" t="n"/>
      <c r="F558" s="54" t="n"/>
      <c r="G558" s="54" t="n"/>
      <c r="H558" s="54" t="n"/>
      <c r="I558" s="54" t="n"/>
      <c r="J558" s="54" t="n"/>
      <c r="K558" s="54" t="n"/>
      <c r="L558" s="54" t="n"/>
      <c r="M558" s="54" t="n"/>
      <c r="N558" s="54" t="n"/>
      <c r="O558" s="54" t="n"/>
      <c r="P558" s="54" t="n"/>
      <c r="Q558" s="54" t="n"/>
      <c r="R558" s="54" t="n"/>
      <c r="S558" s="54" t="n"/>
      <c r="T558" s="54" t="n"/>
      <c r="U558" s="54" t="n"/>
      <c r="V558" s="54" t="n"/>
      <c r="W558" s="54" t="n"/>
      <c r="X558" s="54" t="n"/>
      <c r="Y558" s="54" t="n"/>
      <c r="Z558" s="54" t="n"/>
    </row>
    <row r="559" ht="15.75" customHeight="1" s="57">
      <c r="A559" s="54" t="n"/>
      <c r="B559" s="54" t="n"/>
      <c r="C559" s="54" t="n"/>
      <c r="D559" s="54" t="n"/>
      <c r="E559" s="54" t="n"/>
      <c r="F559" s="54" t="n"/>
      <c r="G559" s="54" t="n"/>
      <c r="H559" s="54" t="n"/>
      <c r="I559" s="54" t="n"/>
      <c r="J559" s="54" t="n"/>
      <c r="K559" s="54" t="n"/>
      <c r="L559" s="54" t="n"/>
      <c r="M559" s="54" t="n"/>
      <c r="N559" s="54" t="n"/>
      <c r="O559" s="54" t="n"/>
      <c r="P559" s="54" t="n"/>
      <c r="Q559" s="54" t="n"/>
      <c r="R559" s="54" t="n"/>
      <c r="S559" s="54" t="n"/>
      <c r="T559" s="54" t="n"/>
      <c r="U559" s="54" t="n"/>
      <c r="V559" s="54" t="n"/>
      <c r="W559" s="54" t="n"/>
      <c r="X559" s="54" t="n"/>
      <c r="Y559" s="54" t="n"/>
      <c r="Z559" s="54" t="n"/>
    </row>
    <row r="560" ht="15.75" customHeight="1" s="57">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row>
    <row r="561" ht="15.75" customHeight="1" s="57">
      <c r="A561" s="54" t="n"/>
      <c r="B561" s="54" t="n"/>
      <c r="C561" s="54" t="n"/>
      <c r="D561" s="54" t="n"/>
      <c r="E561" s="54" t="n"/>
      <c r="F561" s="54" t="n"/>
      <c r="G561" s="54" t="n"/>
      <c r="H561" s="54" t="n"/>
      <c r="I561" s="54" t="n"/>
      <c r="J561" s="54" t="n"/>
      <c r="K561" s="54" t="n"/>
      <c r="L561" s="54" t="n"/>
      <c r="M561" s="54" t="n"/>
      <c r="N561" s="54" t="n"/>
      <c r="O561" s="54" t="n"/>
      <c r="P561" s="54" t="n"/>
      <c r="Q561" s="54" t="n"/>
      <c r="R561" s="54" t="n"/>
      <c r="S561" s="54" t="n"/>
      <c r="T561" s="54" t="n"/>
      <c r="U561" s="54" t="n"/>
      <c r="V561" s="54" t="n"/>
      <c r="W561" s="54" t="n"/>
      <c r="X561" s="54" t="n"/>
      <c r="Y561" s="54" t="n"/>
      <c r="Z561" s="54" t="n"/>
    </row>
    <row r="562" ht="15.75" customHeight="1" s="57">
      <c r="A562" s="54" t="n"/>
      <c r="B562" s="54" t="n"/>
      <c r="C562" s="54" t="n"/>
      <c r="D562" s="54" t="n"/>
      <c r="E562" s="54" t="n"/>
      <c r="F562" s="54" t="n"/>
      <c r="G562" s="54" t="n"/>
      <c r="H562" s="54" t="n"/>
      <c r="I562" s="54" t="n"/>
      <c r="J562" s="54" t="n"/>
      <c r="K562" s="54" t="n"/>
      <c r="L562" s="54" t="n"/>
      <c r="M562" s="54" t="n"/>
      <c r="N562" s="54" t="n"/>
      <c r="O562" s="54" t="n"/>
      <c r="P562" s="54" t="n"/>
      <c r="Q562" s="54" t="n"/>
      <c r="R562" s="54" t="n"/>
      <c r="S562" s="54" t="n"/>
      <c r="T562" s="54" t="n"/>
      <c r="U562" s="54" t="n"/>
      <c r="V562" s="54" t="n"/>
      <c r="W562" s="54" t="n"/>
      <c r="X562" s="54" t="n"/>
      <c r="Y562" s="54" t="n"/>
      <c r="Z562" s="54" t="n"/>
    </row>
    <row r="563" ht="15.75" customHeight="1" s="57">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row>
    <row r="564" ht="15.75" customHeight="1" s="57">
      <c r="A564" s="54" t="n"/>
      <c r="B564" s="54" t="n"/>
      <c r="C564" s="54" t="n"/>
      <c r="D564" s="54" t="n"/>
      <c r="E564" s="54" t="n"/>
      <c r="F564" s="54" t="n"/>
      <c r="G564" s="54" t="n"/>
      <c r="H564" s="54" t="n"/>
      <c r="I564" s="54" t="n"/>
      <c r="J564" s="54" t="n"/>
      <c r="K564" s="54" t="n"/>
      <c r="L564" s="54" t="n"/>
      <c r="M564" s="54" t="n"/>
      <c r="N564" s="54" t="n"/>
      <c r="O564" s="54" t="n"/>
      <c r="P564" s="54" t="n"/>
      <c r="Q564" s="54" t="n"/>
      <c r="R564" s="54" t="n"/>
      <c r="S564" s="54" t="n"/>
      <c r="T564" s="54" t="n"/>
      <c r="U564" s="54" t="n"/>
      <c r="V564" s="54" t="n"/>
      <c r="W564" s="54" t="n"/>
      <c r="X564" s="54" t="n"/>
      <c r="Y564" s="54" t="n"/>
      <c r="Z564" s="54" t="n"/>
    </row>
    <row r="565" ht="15.75" customHeight="1" s="57">
      <c r="A565" s="54" t="n"/>
      <c r="B565" s="54" t="n"/>
      <c r="C565" s="54" t="n"/>
      <c r="D565" s="54" t="n"/>
      <c r="E565" s="54" t="n"/>
      <c r="F565" s="54" t="n"/>
      <c r="G565" s="54" t="n"/>
      <c r="H565" s="54" t="n"/>
      <c r="I565" s="54" t="n"/>
      <c r="J565" s="54" t="n"/>
      <c r="K565" s="54" t="n"/>
      <c r="L565" s="54" t="n"/>
      <c r="M565" s="54" t="n"/>
      <c r="N565" s="54" t="n"/>
      <c r="O565" s="54" t="n"/>
      <c r="P565" s="54" t="n"/>
      <c r="Q565" s="54" t="n"/>
      <c r="R565" s="54" t="n"/>
      <c r="S565" s="54" t="n"/>
      <c r="T565" s="54" t="n"/>
      <c r="U565" s="54" t="n"/>
      <c r="V565" s="54" t="n"/>
      <c r="W565" s="54" t="n"/>
      <c r="X565" s="54" t="n"/>
      <c r="Y565" s="54" t="n"/>
      <c r="Z565" s="54" t="n"/>
    </row>
    <row r="566" ht="15.75" customHeight="1" s="57">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row>
    <row r="567" ht="15.75" customHeight="1" s="57">
      <c r="A567" s="54" t="n"/>
      <c r="B567" s="54" t="n"/>
      <c r="C567" s="54" t="n"/>
      <c r="D567" s="54" t="n"/>
      <c r="E567" s="54" t="n"/>
      <c r="F567" s="54" t="n"/>
      <c r="G567" s="54" t="n"/>
      <c r="H567" s="54" t="n"/>
      <c r="I567" s="54" t="n"/>
      <c r="J567" s="54" t="n"/>
      <c r="K567" s="54" t="n"/>
      <c r="L567" s="54" t="n"/>
      <c r="M567" s="54" t="n"/>
      <c r="N567" s="54" t="n"/>
      <c r="O567" s="54" t="n"/>
      <c r="P567" s="54" t="n"/>
      <c r="Q567" s="54" t="n"/>
      <c r="R567" s="54" t="n"/>
      <c r="S567" s="54" t="n"/>
      <c r="T567" s="54" t="n"/>
      <c r="U567" s="54" t="n"/>
      <c r="V567" s="54" t="n"/>
      <c r="W567" s="54" t="n"/>
      <c r="X567" s="54" t="n"/>
      <c r="Y567" s="54" t="n"/>
      <c r="Z567" s="54" t="n"/>
    </row>
    <row r="568" ht="15.75" customHeight="1" s="57">
      <c r="A568" s="54" t="n"/>
      <c r="B568" s="54" t="n"/>
      <c r="C568" s="54" t="n"/>
      <c r="D568" s="54" t="n"/>
      <c r="E568" s="54" t="n"/>
      <c r="F568" s="54" t="n"/>
      <c r="G568" s="54" t="n"/>
      <c r="H568" s="54" t="n"/>
      <c r="I568" s="54" t="n"/>
      <c r="J568" s="54" t="n"/>
      <c r="K568" s="54" t="n"/>
      <c r="L568" s="54" t="n"/>
      <c r="M568" s="54" t="n"/>
      <c r="N568" s="54" t="n"/>
      <c r="O568" s="54" t="n"/>
      <c r="P568" s="54" t="n"/>
      <c r="Q568" s="54" t="n"/>
      <c r="R568" s="54" t="n"/>
      <c r="S568" s="54" t="n"/>
      <c r="T568" s="54" t="n"/>
      <c r="U568" s="54" t="n"/>
      <c r="V568" s="54" t="n"/>
      <c r="W568" s="54" t="n"/>
      <c r="X568" s="54" t="n"/>
      <c r="Y568" s="54" t="n"/>
      <c r="Z568" s="54" t="n"/>
    </row>
    <row r="569" ht="15.75" customHeight="1" s="57">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row>
    <row r="570" ht="15.75" customHeight="1" s="57">
      <c r="A570" s="54" t="n"/>
      <c r="B570" s="54" t="n"/>
      <c r="C570" s="54" t="n"/>
      <c r="D570" s="54" t="n"/>
      <c r="E570" s="54" t="n"/>
      <c r="F570" s="54" t="n"/>
      <c r="G570" s="54" t="n"/>
      <c r="H570" s="54" t="n"/>
      <c r="I570" s="54" t="n"/>
      <c r="J570" s="54" t="n"/>
      <c r="K570" s="54" t="n"/>
      <c r="L570" s="54" t="n"/>
      <c r="M570" s="54" t="n"/>
      <c r="N570" s="54" t="n"/>
      <c r="O570" s="54" t="n"/>
      <c r="P570" s="54" t="n"/>
      <c r="Q570" s="54" t="n"/>
      <c r="R570" s="54" t="n"/>
      <c r="S570" s="54" t="n"/>
      <c r="T570" s="54" t="n"/>
      <c r="U570" s="54" t="n"/>
      <c r="V570" s="54" t="n"/>
      <c r="W570" s="54" t="n"/>
      <c r="X570" s="54" t="n"/>
      <c r="Y570" s="54" t="n"/>
      <c r="Z570" s="54" t="n"/>
    </row>
    <row r="571" ht="15.75" customHeight="1" s="57">
      <c r="A571" s="54" t="n"/>
      <c r="B571" s="54" t="n"/>
      <c r="C571" s="54" t="n"/>
      <c r="D571" s="54" t="n"/>
      <c r="E571" s="54" t="n"/>
      <c r="F571" s="54" t="n"/>
      <c r="G571" s="54" t="n"/>
      <c r="H571" s="54" t="n"/>
      <c r="I571" s="54" t="n"/>
      <c r="J571" s="54" t="n"/>
      <c r="K571" s="54" t="n"/>
      <c r="L571" s="54" t="n"/>
      <c r="M571" s="54" t="n"/>
      <c r="N571" s="54" t="n"/>
      <c r="O571" s="54" t="n"/>
      <c r="P571" s="54" t="n"/>
      <c r="Q571" s="54" t="n"/>
      <c r="R571" s="54" t="n"/>
      <c r="S571" s="54" t="n"/>
      <c r="T571" s="54" t="n"/>
      <c r="U571" s="54" t="n"/>
      <c r="V571" s="54" t="n"/>
      <c r="W571" s="54" t="n"/>
      <c r="X571" s="54" t="n"/>
      <c r="Y571" s="54" t="n"/>
      <c r="Z571" s="54" t="n"/>
    </row>
    <row r="572" ht="15.75" customHeight="1" s="57">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row>
    <row r="573" ht="15.75" customHeight="1" s="57">
      <c r="A573" s="54" t="n"/>
      <c r="B573" s="54" t="n"/>
      <c r="C573" s="54" t="n"/>
      <c r="D573" s="54" t="n"/>
      <c r="E573" s="54" t="n"/>
      <c r="F573" s="54" t="n"/>
      <c r="G573" s="54" t="n"/>
      <c r="H573" s="54" t="n"/>
      <c r="I573" s="54" t="n"/>
      <c r="J573" s="54" t="n"/>
      <c r="K573" s="54" t="n"/>
      <c r="L573" s="54" t="n"/>
      <c r="M573" s="54" t="n"/>
      <c r="N573" s="54" t="n"/>
      <c r="O573" s="54" t="n"/>
      <c r="P573" s="54" t="n"/>
      <c r="Q573" s="54" t="n"/>
      <c r="R573" s="54" t="n"/>
      <c r="S573" s="54" t="n"/>
      <c r="T573" s="54" t="n"/>
      <c r="U573" s="54" t="n"/>
      <c r="V573" s="54" t="n"/>
      <c r="W573" s="54" t="n"/>
      <c r="X573" s="54" t="n"/>
      <c r="Y573" s="54" t="n"/>
      <c r="Z573" s="54" t="n"/>
    </row>
    <row r="574" ht="15.75" customHeight="1" s="57">
      <c r="A574" s="54" t="n"/>
      <c r="B574" s="54" t="n"/>
      <c r="C574" s="54" t="n"/>
      <c r="D574" s="54" t="n"/>
      <c r="E574" s="54" t="n"/>
      <c r="F574" s="54" t="n"/>
      <c r="G574" s="54" t="n"/>
      <c r="H574" s="54" t="n"/>
      <c r="I574" s="54" t="n"/>
      <c r="J574" s="54" t="n"/>
      <c r="K574" s="54" t="n"/>
      <c r="L574" s="54" t="n"/>
      <c r="M574" s="54" t="n"/>
      <c r="N574" s="54" t="n"/>
      <c r="O574" s="54" t="n"/>
      <c r="P574" s="54" t="n"/>
      <c r="Q574" s="54" t="n"/>
      <c r="R574" s="54" t="n"/>
      <c r="S574" s="54" t="n"/>
      <c r="T574" s="54" t="n"/>
      <c r="U574" s="54" t="n"/>
      <c r="V574" s="54" t="n"/>
      <c r="W574" s="54" t="n"/>
      <c r="X574" s="54" t="n"/>
      <c r="Y574" s="54" t="n"/>
      <c r="Z574" s="54" t="n"/>
    </row>
    <row r="575" ht="15.75" customHeight="1" s="57">
      <c r="A575" s="54" t="n"/>
      <c r="B575" s="54" t="n"/>
      <c r="C575" s="54" t="n"/>
      <c r="D575" s="54" t="n"/>
      <c r="E575" s="54" t="n"/>
      <c r="F575" s="54" t="n"/>
      <c r="G575" s="54" t="n"/>
      <c r="H575" s="54" t="n"/>
      <c r="I575" s="54" t="n"/>
      <c r="J575" s="54" t="n"/>
      <c r="K575" s="54" t="n"/>
      <c r="L575" s="54" t="n"/>
      <c r="M575" s="54" t="n"/>
      <c r="N575" s="54" t="n"/>
      <c r="O575" s="54" t="n"/>
      <c r="P575" s="54" t="n"/>
      <c r="Q575" s="54" t="n"/>
      <c r="R575" s="54" t="n"/>
      <c r="S575" s="54" t="n"/>
      <c r="T575" s="54" t="n"/>
      <c r="U575" s="54" t="n"/>
      <c r="V575" s="54" t="n"/>
      <c r="W575" s="54" t="n"/>
      <c r="X575" s="54" t="n"/>
      <c r="Y575" s="54" t="n"/>
      <c r="Z575" s="54" t="n"/>
    </row>
    <row r="576" ht="15.75" customHeight="1" s="57">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row>
    <row r="577" ht="15.75" customHeight="1" s="57">
      <c r="A577" s="54" t="n"/>
      <c r="B577" s="54" t="n"/>
      <c r="C577" s="54" t="n"/>
      <c r="D577" s="54" t="n"/>
      <c r="E577" s="54" t="n"/>
      <c r="F577" s="54" t="n"/>
      <c r="G577" s="54" t="n"/>
      <c r="H577" s="54" t="n"/>
      <c r="I577" s="54" t="n"/>
      <c r="J577" s="54" t="n"/>
      <c r="K577" s="54" t="n"/>
      <c r="L577" s="54" t="n"/>
      <c r="M577" s="54" t="n"/>
      <c r="N577" s="54" t="n"/>
      <c r="O577" s="54" t="n"/>
      <c r="P577" s="54" t="n"/>
      <c r="Q577" s="54" t="n"/>
      <c r="R577" s="54" t="n"/>
      <c r="S577" s="54" t="n"/>
      <c r="T577" s="54" t="n"/>
      <c r="U577" s="54" t="n"/>
      <c r="V577" s="54" t="n"/>
      <c r="W577" s="54" t="n"/>
      <c r="X577" s="54" t="n"/>
      <c r="Y577" s="54" t="n"/>
      <c r="Z577" s="54" t="n"/>
    </row>
    <row r="578" ht="15.75" customHeight="1" s="57">
      <c r="A578" s="54" t="n"/>
      <c r="B578" s="54" t="n"/>
      <c r="C578" s="54" t="n"/>
      <c r="D578" s="54" t="n"/>
      <c r="E578" s="54" t="n"/>
      <c r="F578" s="54" t="n"/>
      <c r="G578" s="54" t="n"/>
      <c r="H578" s="54" t="n"/>
      <c r="I578" s="54" t="n"/>
      <c r="J578" s="54" t="n"/>
      <c r="K578" s="54" t="n"/>
      <c r="L578" s="54" t="n"/>
      <c r="M578" s="54" t="n"/>
      <c r="N578" s="54" t="n"/>
      <c r="O578" s="54" t="n"/>
      <c r="P578" s="54" t="n"/>
      <c r="Q578" s="54" t="n"/>
      <c r="R578" s="54" t="n"/>
      <c r="S578" s="54" t="n"/>
      <c r="T578" s="54" t="n"/>
      <c r="U578" s="54" t="n"/>
      <c r="V578" s="54" t="n"/>
      <c r="W578" s="54" t="n"/>
      <c r="X578" s="54" t="n"/>
      <c r="Y578" s="54" t="n"/>
      <c r="Z578" s="54" t="n"/>
    </row>
    <row r="579" ht="15.75" customHeight="1" s="57">
      <c r="A579" s="54" t="n"/>
      <c r="B579" s="54" t="n"/>
      <c r="C579" s="54" t="n"/>
      <c r="D579" s="54" t="n"/>
      <c r="E579" s="54" t="n"/>
      <c r="F579" s="54" t="n"/>
      <c r="G579" s="54" t="n"/>
      <c r="H579" s="54" t="n"/>
      <c r="I579" s="54" t="n"/>
      <c r="J579" s="54" t="n"/>
      <c r="K579" s="54" t="n"/>
      <c r="L579" s="54" t="n"/>
      <c r="M579" s="54" t="n"/>
      <c r="N579" s="54" t="n"/>
      <c r="O579" s="54" t="n"/>
      <c r="P579" s="54" t="n"/>
      <c r="Q579" s="54" t="n"/>
      <c r="R579" s="54" t="n"/>
      <c r="S579" s="54" t="n"/>
      <c r="T579" s="54" t="n"/>
      <c r="U579" s="54" t="n"/>
      <c r="V579" s="54" t="n"/>
      <c r="W579" s="54" t="n"/>
      <c r="X579" s="54" t="n"/>
      <c r="Y579" s="54" t="n"/>
      <c r="Z579" s="54" t="n"/>
    </row>
    <row r="580" ht="15.75" customHeight="1" s="57">
      <c r="A580" s="54" t="n"/>
      <c r="B580" s="54" t="n"/>
      <c r="C580" s="54" t="n"/>
      <c r="D580" s="54" t="n"/>
      <c r="E580" s="54" t="n"/>
      <c r="F580" s="54" t="n"/>
      <c r="G580" s="54" t="n"/>
      <c r="H580" s="54" t="n"/>
      <c r="I580" s="54" t="n"/>
      <c r="J580" s="54" t="n"/>
      <c r="K580" s="54" t="n"/>
      <c r="L580" s="54" t="n"/>
      <c r="M580" s="54" t="n"/>
      <c r="N580" s="54" t="n"/>
      <c r="O580" s="54" t="n"/>
      <c r="P580" s="54" t="n"/>
      <c r="Q580" s="54" t="n"/>
      <c r="R580" s="54" t="n"/>
      <c r="S580" s="54" t="n"/>
      <c r="T580" s="54" t="n"/>
      <c r="U580" s="54" t="n"/>
      <c r="V580" s="54" t="n"/>
      <c r="W580" s="54" t="n"/>
      <c r="X580" s="54" t="n"/>
      <c r="Y580" s="54" t="n"/>
      <c r="Z580" s="54" t="n"/>
    </row>
    <row r="581" ht="15.75" customHeight="1" s="57">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row>
    <row r="582" ht="15.75" customHeight="1" s="57">
      <c r="A582" s="54" t="n"/>
      <c r="B582" s="54" t="n"/>
      <c r="C582" s="54" t="n"/>
      <c r="D582" s="54" t="n"/>
      <c r="E582" s="54" t="n"/>
      <c r="F582" s="54" t="n"/>
      <c r="G582" s="54" t="n"/>
      <c r="H582" s="54" t="n"/>
      <c r="I582" s="54" t="n"/>
      <c r="J582" s="54" t="n"/>
      <c r="K582" s="54" t="n"/>
      <c r="L582" s="54" t="n"/>
      <c r="M582" s="54" t="n"/>
      <c r="N582" s="54" t="n"/>
      <c r="O582" s="54" t="n"/>
      <c r="P582" s="54" t="n"/>
      <c r="Q582" s="54" t="n"/>
      <c r="R582" s="54" t="n"/>
      <c r="S582" s="54" t="n"/>
      <c r="T582" s="54" t="n"/>
      <c r="U582" s="54" t="n"/>
      <c r="V582" s="54" t="n"/>
      <c r="W582" s="54" t="n"/>
      <c r="X582" s="54" t="n"/>
      <c r="Y582" s="54" t="n"/>
      <c r="Z582" s="54" t="n"/>
    </row>
    <row r="583" ht="15.75" customHeight="1" s="57">
      <c r="A583" s="54" t="n"/>
      <c r="B583" s="54" t="n"/>
      <c r="C583" s="54" t="n"/>
      <c r="D583" s="54" t="n"/>
      <c r="E583" s="54" t="n"/>
      <c r="F583" s="54" t="n"/>
      <c r="G583" s="54" t="n"/>
      <c r="H583" s="54" t="n"/>
      <c r="I583" s="54" t="n"/>
      <c r="J583" s="54" t="n"/>
      <c r="K583" s="54" t="n"/>
      <c r="L583" s="54" t="n"/>
      <c r="M583" s="54" t="n"/>
      <c r="N583" s="54" t="n"/>
      <c r="O583" s="54" t="n"/>
      <c r="P583" s="54" t="n"/>
      <c r="Q583" s="54" t="n"/>
      <c r="R583" s="54" t="n"/>
      <c r="S583" s="54" t="n"/>
      <c r="T583" s="54" t="n"/>
      <c r="U583" s="54" t="n"/>
      <c r="V583" s="54" t="n"/>
      <c r="W583" s="54" t="n"/>
      <c r="X583" s="54" t="n"/>
      <c r="Y583" s="54" t="n"/>
      <c r="Z583" s="54" t="n"/>
    </row>
    <row r="584" ht="15.75" customHeight="1" s="57">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row>
    <row r="585" ht="15.75" customHeight="1" s="57">
      <c r="A585" s="54" t="n"/>
      <c r="B585" s="54" t="n"/>
      <c r="C585" s="54" t="n"/>
      <c r="D585" s="54" t="n"/>
      <c r="E585" s="54" t="n"/>
      <c r="F585" s="54" t="n"/>
      <c r="G585" s="54" t="n"/>
      <c r="H585" s="54" t="n"/>
      <c r="I585" s="54" t="n"/>
      <c r="J585" s="54" t="n"/>
      <c r="K585" s="54" t="n"/>
      <c r="L585" s="54" t="n"/>
      <c r="M585" s="54" t="n"/>
      <c r="N585" s="54" t="n"/>
      <c r="O585" s="54" t="n"/>
      <c r="P585" s="54" t="n"/>
      <c r="Q585" s="54" t="n"/>
      <c r="R585" s="54" t="n"/>
      <c r="S585" s="54" t="n"/>
      <c r="T585" s="54" t="n"/>
      <c r="U585" s="54" t="n"/>
      <c r="V585" s="54" t="n"/>
      <c r="W585" s="54" t="n"/>
      <c r="X585" s="54" t="n"/>
      <c r="Y585" s="54" t="n"/>
      <c r="Z585" s="54" t="n"/>
    </row>
    <row r="586" ht="15.75" customHeight="1" s="57">
      <c r="A586" s="54" t="n"/>
      <c r="B586" s="54" t="n"/>
      <c r="C586" s="54" t="n"/>
      <c r="D586" s="54" t="n"/>
      <c r="E586" s="54" t="n"/>
      <c r="F586" s="54" t="n"/>
      <c r="G586" s="54" t="n"/>
      <c r="H586" s="54" t="n"/>
      <c r="I586" s="54" t="n"/>
      <c r="J586" s="54" t="n"/>
      <c r="K586" s="54" t="n"/>
      <c r="L586" s="54" t="n"/>
      <c r="M586" s="54" t="n"/>
      <c r="N586" s="54" t="n"/>
      <c r="O586" s="54" t="n"/>
      <c r="P586" s="54" t="n"/>
      <c r="Q586" s="54" t="n"/>
      <c r="R586" s="54" t="n"/>
      <c r="S586" s="54" t="n"/>
      <c r="T586" s="54" t="n"/>
      <c r="U586" s="54" t="n"/>
      <c r="V586" s="54" t="n"/>
      <c r="W586" s="54" t="n"/>
      <c r="X586" s="54" t="n"/>
      <c r="Y586" s="54" t="n"/>
      <c r="Z586" s="54" t="n"/>
    </row>
    <row r="587" ht="15.75" customHeight="1" s="57">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row>
    <row r="588" ht="15.75" customHeight="1" s="57">
      <c r="A588" s="54" t="n"/>
      <c r="B588" s="54" t="n"/>
      <c r="C588" s="54" t="n"/>
      <c r="D588" s="54" t="n"/>
      <c r="E588" s="54" t="n"/>
      <c r="F588" s="54" t="n"/>
      <c r="G588" s="54" t="n"/>
      <c r="H588" s="54" t="n"/>
      <c r="I588" s="54" t="n"/>
      <c r="J588" s="54" t="n"/>
      <c r="K588" s="54" t="n"/>
      <c r="L588" s="54" t="n"/>
      <c r="M588" s="54" t="n"/>
      <c r="N588" s="54" t="n"/>
      <c r="O588" s="54" t="n"/>
      <c r="P588" s="54" t="n"/>
      <c r="Q588" s="54" t="n"/>
      <c r="R588" s="54" t="n"/>
      <c r="S588" s="54" t="n"/>
      <c r="T588" s="54" t="n"/>
      <c r="U588" s="54" t="n"/>
      <c r="V588" s="54" t="n"/>
      <c r="W588" s="54" t="n"/>
      <c r="X588" s="54" t="n"/>
      <c r="Y588" s="54" t="n"/>
      <c r="Z588" s="54" t="n"/>
    </row>
    <row r="589" ht="15.75" customHeight="1" s="57">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row>
    <row r="590" ht="15.75" customHeight="1" s="57">
      <c r="A590" s="54" t="n"/>
      <c r="B590" s="54" t="n"/>
      <c r="C590" s="54" t="n"/>
      <c r="D590" s="54" t="n"/>
      <c r="E590" s="54" t="n"/>
      <c r="F590" s="54" t="n"/>
      <c r="G590" s="54" t="n"/>
      <c r="H590" s="54" t="n"/>
      <c r="I590" s="54" t="n"/>
      <c r="J590" s="54" t="n"/>
      <c r="K590" s="54" t="n"/>
      <c r="L590" s="54" t="n"/>
      <c r="M590" s="54" t="n"/>
      <c r="N590" s="54" t="n"/>
      <c r="O590" s="54" t="n"/>
      <c r="P590" s="54" t="n"/>
      <c r="Q590" s="54" t="n"/>
      <c r="R590" s="54" t="n"/>
      <c r="S590" s="54" t="n"/>
      <c r="T590" s="54" t="n"/>
      <c r="U590" s="54" t="n"/>
      <c r="V590" s="54" t="n"/>
      <c r="W590" s="54" t="n"/>
      <c r="X590" s="54" t="n"/>
      <c r="Y590" s="54" t="n"/>
      <c r="Z590" s="54" t="n"/>
    </row>
    <row r="591" ht="15.75" customHeight="1" s="57">
      <c r="A591" s="54" t="n"/>
      <c r="B591" s="54" t="n"/>
      <c r="C591" s="54" t="n"/>
      <c r="D591" s="54" t="n"/>
      <c r="E591" s="54" t="n"/>
      <c r="F591" s="54" t="n"/>
      <c r="G591" s="54" t="n"/>
      <c r="H591" s="54" t="n"/>
      <c r="I591" s="54" t="n"/>
      <c r="J591" s="54" t="n"/>
      <c r="K591" s="54" t="n"/>
      <c r="L591" s="54" t="n"/>
      <c r="M591" s="54" t="n"/>
      <c r="N591" s="54" t="n"/>
      <c r="O591" s="54" t="n"/>
      <c r="P591" s="54" t="n"/>
      <c r="Q591" s="54" t="n"/>
      <c r="R591" s="54" t="n"/>
      <c r="S591" s="54" t="n"/>
      <c r="T591" s="54" t="n"/>
      <c r="U591" s="54" t="n"/>
      <c r="V591" s="54" t="n"/>
      <c r="W591" s="54" t="n"/>
      <c r="X591" s="54" t="n"/>
      <c r="Y591" s="54" t="n"/>
      <c r="Z591" s="54" t="n"/>
    </row>
    <row r="592" ht="15.75" customHeight="1" s="57">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row>
    <row r="593" ht="15.75" customHeight="1" s="57">
      <c r="A593" s="54" t="n"/>
      <c r="B593" s="54" t="n"/>
      <c r="C593" s="54" t="n"/>
      <c r="D593" s="54" t="n"/>
      <c r="E593" s="54" t="n"/>
      <c r="F593" s="54" t="n"/>
      <c r="G593" s="54" t="n"/>
      <c r="H593" s="54" t="n"/>
      <c r="I593" s="54" t="n"/>
      <c r="J593" s="54" t="n"/>
      <c r="K593" s="54" t="n"/>
      <c r="L593" s="54" t="n"/>
      <c r="M593" s="54" t="n"/>
      <c r="N593" s="54" t="n"/>
      <c r="O593" s="54" t="n"/>
      <c r="P593" s="54" t="n"/>
      <c r="Q593" s="54" t="n"/>
      <c r="R593" s="54" t="n"/>
      <c r="S593" s="54" t="n"/>
      <c r="T593" s="54" t="n"/>
      <c r="U593" s="54" t="n"/>
      <c r="V593" s="54" t="n"/>
      <c r="W593" s="54" t="n"/>
      <c r="X593" s="54" t="n"/>
      <c r="Y593" s="54" t="n"/>
      <c r="Z593" s="54" t="n"/>
    </row>
    <row r="594" ht="15.75" customHeight="1" s="57">
      <c r="A594" s="54" t="n"/>
      <c r="B594" s="54" t="n"/>
      <c r="C594" s="54" t="n"/>
      <c r="D594" s="54" t="n"/>
      <c r="E594" s="54" t="n"/>
      <c r="F594" s="54" t="n"/>
      <c r="G594" s="54" t="n"/>
      <c r="H594" s="54" t="n"/>
      <c r="I594" s="54" t="n"/>
      <c r="J594" s="54" t="n"/>
      <c r="K594" s="54" t="n"/>
      <c r="L594" s="54" t="n"/>
      <c r="M594" s="54" t="n"/>
      <c r="N594" s="54" t="n"/>
      <c r="O594" s="54" t="n"/>
      <c r="P594" s="54" t="n"/>
      <c r="Q594" s="54" t="n"/>
      <c r="R594" s="54" t="n"/>
      <c r="S594" s="54" t="n"/>
      <c r="T594" s="54" t="n"/>
      <c r="U594" s="54" t="n"/>
      <c r="V594" s="54" t="n"/>
      <c r="W594" s="54" t="n"/>
      <c r="X594" s="54" t="n"/>
      <c r="Y594" s="54" t="n"/>
      <c r="Z594" s="54" t="n"/>
    </row>
    <row r="595" ht="15.75" customHeight="1" s="57">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row>
    <row r="596" ht="15.75" customHeight="1" s="57">
      <c r="A596" s="54" t="n"/>
      <c r="B596" s="54" t="n"/>
      <c r="C596" s="54" t="n"/>
      <c r="D596" s="54" t="n"/>
      <c r="E596" s="54" t="n"/>
      <c r="F596" s="54" t="n"/>
      <c r="G596" s="54" t="n"/>
      <c r="H596" s="54" t="n"/>
      <c r="I596" s="54" t="n"/>
      <c r="J596" s="54" t="n"/>
      <c r="K596" s="54" t="n"/>
      <c r="L596" s="54" t="n"/>
      <c r="M596" s="54" t="n"/>
      <c r="N596" s="54" t="n"/>
      <c r="O596" s="54" t="n"/>
      <c r="P596" s="54" t="n"/>
      <c r="Q596" s="54" t="n"/>
      <c r="R596" s="54" t="n"/>
      <c r="S596" s="54" t="n"/>
      <c r="T596" s="54" t="n"/>
      <c r="U596" s="54" t="n"/>
      <c r="V596" s="54" t="n"/>
      <c r="W596" s="54" t="n"/>
      <c r="X596" s="54" t="n"/>
      <c r="Y596" s="54" t="n"/>
      <c r="Z596" s="54" t="n"/>
    </row>
    <row r="597" ht="15.75" customHeight="1" s="57">
      <c r="A597" s="54" t="n"/>
      <c r="B597" s="54" t="n"/>
      <c r="C597" s="54" t="n"/>
      <c r="D597" s="54" t="n"/>
      <c r="E597" s="54" t="n"/>
      <c r="F597" s="54" t="n"/>
      <c r="G597" s="54" t="n"/>
      <c r="H597" s="54" t="n"/>
      <c r="I597" s="54" t="n"/>
      <c r="J597" s="54" t="n"/>
      <c r="K597" s="54" t="n"/>
      <c r="L597" s="54" t="n"/>
      <c r="M597" s="54" t="n"/>
      <c r="N597" s="54" t="n"/>
      <c r="O597" s="54" t="n"/>
      <c r="P597" s="54" t="n"/>
      <c r="Q597" s="54" t="n"/>
      <c r="R597" s="54" t="n"/>
      <c r="S597" s="54" t="n"/>
      <c r="T597" s="54" t="n"/>
      <c r="U597" s="54" t="n"/>
      <c r="V597" s="54" t="n"/>
      <c r="W597" s="54" t="n"/>
      <c r="X597" s="54" t="n"/>
      <c r="Y597" s="54" t="n"/>
      <c r="Z597" s="54" t="n"/>
    </row>
    <row r="598" ht="15.75" customHeight="1" s="57">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row>
    <row r="599" ht="15.75" customHeight="1" s="57">
      <c r="A599" s="54" t="n"/>
      <c r="B599" s="54" t="n"/>
      <c r="C599" s="54" t="n"/>
      <c r="D599" s="54" t="n"/>
      <c r="E599" s="54" t="n"/>
      <c r="F599" s="54" t="n"/>
      <c r="G599" s="54" t="n"/>
      <c r="H599" s="54" t="n"/>
      <c r="I599" s="54" t="n"/>
      <c r="J599" s="54" t="n"/>
      <c r="K599" s="54" t="n"/>
      <c r="L599" s="54" t="n"/>
      <c r="M599" s="54" t="n"/>
      <c r="N599" s="54" t="n"/>
      <c r="O599" s="54" t="n"/>
      <c r="P599" s="54" t="n"/>
      <c r="Q599" s="54" t="n"/>
      <c r="R599" s="54" t="n"/>
      <c r="S599" s="54" t="n"/>
      <c r="T599" s="54" t="n"/>
      <c r="U599" s="54" t="n"/>
      <c r="V599" s="54" t="n"/>
      <c r="W599" s="54" t="n"/>
      <c r="X599" s="54" t="n"/>
      <c r="Y599" s="54" t="n"/>
      <c r="Z599" s="54" t="n"/>
    </row>
    <row r="600" ht="15.75" customHeight="1" s="57">
      <c r="A600" s="54" t="n"/>
      <c r="B600" s="54" t="n"/>
      <c r="C600" s="54" t="n"/>
      <c r="D600" s="54" t="n"/>
      <c r="E600" s="54" t="n"/>
      <c r="F600" s="54" t="n"/>
      <c r="G600" s="54" t="n"/>
      <c r="H600" s="54" t="n"/>
      <c r="I600" s="54" t="n"/>
      <c r="J600" s="54" t="n"/>
      <c r="K600" s="54" t="n"/>
      <c r="L600" s="54" t="n"/>
      <c r="M600" s="54" t="n"/>
      <c r="N600" s="54" t="n"/>
      <c r="O600" s="54" t="n"/>
      <c r="P600" s="54" t="n"/>
      <c r="Q600" s="54" t="n"/>
      <c r="R600" s="54" t="n"/>
      <c r="S600" s="54" t="n"/>
      <c r="T600" s="54" t="n"/>
      <c r="U600" s="54" t="n"/>
      <c r="V600" s="54" t="n"/>
      <c r="W600" s="54" t="n"/>
      <c r="X600" s="54" t="n"/>
      <c r="Y600" s="54" t="n"/>
      <c r="Z600" s="54" t="n"/>
    </row>
    <row r="601" ht="15.75" customHeight="1" s="57">
      <c r="A601" s="54" t="n"/>
      <c r="B601" s="54" t="n"/>
      <c r="C601" s="54" t="n"/>
      <c r="D601" s="54" t="n"/>
      <c r="E601" s="54" t="n"/>
      <c r="F601" s="54" t="n"/>
      <c r="G601" s="54" t="n"/>
      <c r="H601" s="54" t="n"/>
      <c r="I601" s="54" t="n"/>
      <c r="J601" s="54" t="n"/>
      <c r="K601" s="54" t="n"/>
      <c r="L601" s="54" t="n"/>
      <c r="M601" s="54" t="n"/>
      <c r="N601" s="54" t="n"/>
      <c r="O601" s="54" t="n"/>
      <c r="P601" s="54" t="n"/>
      <c r="Q601" s="54" t="n"/>
      <c r="R601" s="54" t="n"/>
      <c r="S601" s="54" t="n"/>
      <c r="T601" s="54" t="n"/>
      <c r="U601" s="54" t="n"/>
      <c r="V601" s="54" t="n"/>
      <c r="W601" s="54" t="n"/>
      <c r="X601" s="54" t="n"/>
      <c r="Y601" s="54" t="n"/>
      <c r="Z601" s="54" t="n"/>
    </row>
    <row r="602" ht="15.75" customHeight="1" s="57">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row>
    <row r="603" ht="15.75" customHeight="1" s="57">
      <c r="A603" s="54" t="n"/>
      <c r="B603" s="54" t="n"/>
      <c r="C603" s="54" t="n"/>
      <c r="D603" s="54" t="n"/>
      <c r="E603" s="54" t="n"/>
      <c r="F603" s="54" t="n"/>
      <c r="G603" s="54" t="n"/>
      <c r="H603" s="54" t="n"/>
      <c r="I603" s="54" t="n"/>
      <c r="J603" s="54" t="n"/>
      <c r="K603" s="54" t="n"/>
      <c r="L603" s="54" t="n"/>
      <c r="M603" s="54" t="n"/>
      <c r="N603" s="54" t="n"/>
      <c r="O603" s="54" t="n"/>
      <c r="P603" s="54" t="n"/>
      <c r="Q603" s="54" t="n"/>
      <c r="R603" s="54" t="n"/>
      <c r="S603" s="54" t="n"/>
      <c r="T603" s="54" t="n"/>
      <c r="U603" s="54" t="n"/>
      <c r="V603" s="54" t="n"/>
      <c r="W603" s="54" t="n"/>
      <c r="X603" s="54" t="n"/>
      <c r="Y603" s="54" t="n"/>
      <c r="Z603" s="54" t="n"/>
    </row>
    <row r="604" ht="15.75" customHeight="1" s="57">
      <c r="A604" s="54" t="n"/>
      <c r="B604" s="54" t="n"/>
      <c r="C604" s="54" t="n"/>
      <c r="D604" s="54" t="n"/>
      <c r="E604" s="54" t="n"/>
      <c r="F604" s="54" t="n"/>
      <c r="G604" s="54" t="n"/>
      <c r="H604" s="54" t="n"/>
      <c r="I604" s="54" t="n"/>
      <c r="J604" s="54" t="n"/>
      <c r="K604" s="54" t="n"/>
      <c r="L604" s="54" t="n"/>
      <c r="M604" s="54" t="n"/>
      <c r="N604" s="54" t="n"/>
      <c r="O604" s="54" t="n"/>
      <c r="P604" s="54" t="n"/>
      <c r="Q604" s="54" t="n"/>
      <c r="R604" s="54" t="n"/>
      <c r="S604" s="54" t="n"/>
      <c r="T604" s="54" t="n"/>
      <c r="U604" s="54" t="n"/>
      <c r="V604" s="54" t="n"/>
      <c r="W604" s="54" t="n"/>
      <c r="X604" s="54" t="n"/>
      <c r="Y604" s="54" t="n"/>
      <c r="Z604" s="54" t="n"/>
    </row>
    <row r="605" ht="15.75" customHeight="1" s="57">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row>
    <row r="606" ht="15.75" customHeight="1" s="57">
      <c r="A606" s="54" t="n"/>
      <c r="B606" s="54" t="n"/>
      <c r="C606" s="54" t="n"/>
      <c r="D606" s="54" t="n"/>
      <c r="E606" s="54" t="n"/>
      <c r="F606" s="54" t="n"/>
      <c r="G606" s="54" t="n"/>
      <c r="H606" s="54" t="n"/>
      <c r="I606" s="54" t="n"/>
      <c r="J606" s="54" t="n"/>
      <c r="K606" s="54" t="n"/>
      <c r="L606" s="54" t="n"/>
      <c r="M606" s="54" t="n"/>
      <c r="N606" s="54" t="n"/>
      <c r="O606" s="54" t="n"/>
      <c r="P606" s="54" t="n"/>
      <c r="Q606" s="54" t="n"/>
      <c r="R606" s="54" t="n"/>
      <c r="S606" s="54" t="n"/>
      <c r="T606" s="54" t="n"/>
      <c r="U606" s="54" t="n"/>
      <c r="V606" s="54" t="n"/>
      <c r="W606" s="54" t="n"/>
      <c r="X606" s="54" t="n"/>
      <c r="Y606" s="54" t="n"/>
      <c r="Z606" s="54" t="n"/>
    </row>
    <row r="607" ht="15.75" customHeight="1" s="57">
      <c r="A607" s="54" t="n"/>
      <c r="B607" s="54" t="n"/>
      <c r="C607" s="54" t="n"/>
      <c r="D607" s="54" t="n"/>
      <c r="E607" s="54" t="n"/>
      <c r="F607" s="54" t="n"/>
      <c r="G607" s="54" t="n"/>
      <c r="H607" s="54" t="n"/>
      <c r="I607" s="54" t="n"/>
      <c r="J607" s="54" t="n"/>
      <c r="K607" s="54" t="n"/>
      <c r="L607" s="54" t="n"/>
      <c r="M607" s="54" t="n"/>
      <c r="N607" s="54" t="n"/>
      <c r="O607" s="54" t="n"/>
      <c r="P607" s="54" t="n"/>
      <c r="Q607" s="54" t="n"/>
      <c r="R607" s="54" t="n"/>
      <c r="S607" s="54" t="n"/>
      <c r="T607" s="54" t="n"/>
      <c r="U607" s="54" t="n"/>
      <c r="V607" s="54" t="n"/>
      <c r="W607" s="54" t="n"/>
      <c r="X607" s="54" t="n"/>
      <c r="Y607" s="54" t="n"/>
      <c r="Z607" s="54" t="n"/>
    </row>
    <row r="608" ht="15.75" customHeight="1" s="57">
      <c r="A608" s="54" t="n"/>
      <c r="B608" s="54" t="n"/>
      <c r="C608" s="54" t="n"/>
      <c r="D608" s="54" t="n"/>
      <c r="E608" s="54" t="n"/>
      <c r="F608" s="54" t="n"/>
      <c r="G608" s="54" t="n"/>
      <c r="H608" s="54" t="n"/>
      <c r="I608" s="54" t="n"/>
      <c r="J608" s="54" t="n"/>
      <c r="K608" s="54" t="n"/>
      <c r="L608" s="54" t="n"/>
      <c r="M608" s="54" t="n"/>
      <c r="N608" s="54" t="n"/>
      <c r="O608" s="54" t="n"/>
      <c r="P608" s="54" t="n"/>
      <c r="Q608" s="54" t="n"/>
      <c r="R608" s="54" t="n"/>
      <c r="S608" s="54" t="n"/>
      <c r="T608" s="54" t="n"/>
      <c r="U608" s="54" t="n"/>
      <c r="V608" s="54" t="n"/>
      <c r="W608" s="54" t="n"/>
      <c r="X608" s="54" t="n"/>
      <c r="Y608" s="54" t="n"/>
      <c r="Z608" s="54" t="n"/>
    </row>
    <row r="609" ht="15.75" customHeight="1" s="57">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row>
    <row r="610" ht="15.75" customHeight="1" s="57">
      <c r="A610" s="54" t="n"/>
      <c r="B610" s="54" t="n"/>
      <c r="C610" s="54" t="n"/>
      <c r="D610" s="54" t="n"/>
      <c r="E610" s="54" t="n"/>
      <c r="F610" s="54" t="n"/>
      <c r="G610" s="54" t="n"/>
      <c r="H610" s="54" t="n"/>
      <c r="I610" s="54" t="n"/>
      <c r="J610" s="54" t="n"/>
      <c r="K610" s="54" t="n"/>
      <c r="L610" s="54" t="n"/>
      <c r="M610" s="54" t="n"/>
      <c r="N610" s="54" t="n"/>
      <c r="O610" s="54" t="n"/>
      <c r="P610" s="54" t="n"/>
      <c r="Q610" s="54" t="n"/>
      <c r="R610" s="54" t="n"/>
      <c r="S610" s="54" t="n"/>
      <c r="T610" s="54" t="n"/>
      <c r="U610" s="54" t="n"/>
      <c r="V610" s="54" t="n"/>
      <c r="W610" s="54" t="n"/>
      <c r="X610" s="54" t="n"/>
      <c r="Y610" s="54" t="n"/>
      <c r="Z610" s="54" t="n"/>
    </row>
    <row r="611" ht="15.75" customHeight="1" s="57">
      <c r="A611" s="54" t="n"/>
      <c r="B611" s="54" t="n"/>
      <c r="C611" s="54" t="n"/>
      <c r="D611" s="54" t="n"/>
      <c r="E611" s="54" t="n"/>
      <c r="F611" s="54" t="n"/>
      <c r="G611" s="54" t="n"/>
      <c r="H611" s="54" t="n"/>
      <c r="I611" s="54" t="n"/>
      <c r="J611" s="54" t="n"/>
      <c r="K611" s="54" t="n"/>
      <c r="L611" s="54" t="n"/>
      <c r="M611" s="54" t="n"/>
      <c r="N611" s="54" t="n"/>
      <c r="O611" s="54" t="n"/>
      <c r="P611" s="54" t="n"/>
      <c r="Q611" s="54" t="n"/>
      <c r="R611" s="54" t="n"/>
      <c r="S611" s="54" t="n"/>
      <c r="T611" s="54" t="n"/>
      <c r="U611" s="54" t="n"/>
      <c r="V611" s="54" t="n"/>
      <c r="W611" s="54" t="n"/>
      <c r="X611" s="54" t="n"/>
      <c r="Y611" s="54" t="n"/>
      <c r="Z611" s="54" t="n"/>
    </row>
    <row r="612" ht="15.75" customHeight="1" s="57">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row>
    <row r="613" ht="15.75" customHeight="1" s="57">
      <c r="A613" s="54" t="n"/>
      <c r="B613" s="54" t="n"/>
      <c r="C613" s="54" t="n"/>
      <c r="D613" s="54" t="n"/>
      <c r="E613" s="54" t="n"/>
      <c r="F613" s="54" t="n"/>
      <c r="G613" s="54" t="n"/>
      <c r="H613" s="54" t="n"/>
      <c r="I613" s="54" t="n"/>
      <c r="J613" s="54" t="n"/>
      <c r="K613" s="54" t="n"/>
      <c r="L613" s="54" t="n"/>
      <c r="M613" s="54" t="n"/>
      <c r="N613" s="54" t="n"/>
      <c r="O613" s="54" t="n"/>
      <c r="P613" s="54" t="n"/>
      <c r="Q613" s="54" t="n"/>
      <c r="R613" s="54" t="n"/>
      <c r="S613" s="54" t="n"/>
      <c r="T613" s="54" t="n"/>
      <c r="U613" s="54" t="n"/>
      <c r="V613" s="54" t="n"/>
      <c r="W613" s="54" t="n"/>
      <c r="X613" s="54" t="n"/>
      <c r="Y613" s="54" t="n"/>
      <c r="Z613" s="54" t="n"/>
    </row>
    <row r="614" ht="15.75" customHeight="1" s="57">
      <c r="A614" s="54" t="n"/>
      <c r="B614" s="54" t="n"/>
      <c r="C614" s="54" t="n"/>
      <c r="D614" s="54" t="n"/>
      <c r="E614" s="54" t="n"/>
      <c r="F614" s="54" t="n"/>
      <c r="G614" s="54" t="n"/>
      <c r="H614" s="54" t="n"/>
      <c r="I614" s="54" t="n"/>
      <c r="J614" s="54" t="n"/>
      <c r="K614" s="54" t="n"/>
      <c r="L614" s="54" t="n"/>
      <c r="M614" s="54" t="n"/>
      <c r="N614" s="54" t="n"/>
      <c r="O614" s="54" t="n"/>
      <c r="P614" s="54" t="n"/>
      <c r="Q614" s="54" t="n"/>
      <c r="R614" s="54" t="n"/>
      <c r="S614" s="54" t="n"/>
      <c r="T614" s="54" t="n"/>
      <c r="U614" s="54" t="n"/>
      <c r="V614" s="54" t="n"/>
      <c r="W614" s="54" t="n"/>
      <c r="X614" s="54" t="n"/>
      <c r="Y614" s="54" t="n"/>
      <c r="Z614" s="54" t="n"/>
    </row>
    <row r="615" ht="15.75" customHeight="1" s="57">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row>
    <row r="616" ht="15.75" customHeight="1" s="57">
      <c r="A616" s="54" t="n"/>
      <c r="B616" s="54" t="n"/>
      <c r="C616" s="54" t="n"/>
      <c r="D616" s="54" t="n"/>
      <c r="E616" s="54" t="n"/>
      <c r="F616" s="54" t="n"/>
      <c r="G616" s="54" t="n"/>
      <c r="H616" s="54" t="n"/>
      <c r="I616" s="54" t="n"/>
      <c r="J616" s="54" t="n"/>
      <c r="K616" s="54" t="n"/>
      <c r="L616" s="54" t="n"/>
      <c r="M616" s="54" t="n"/>
      <c r="N616" s="54" t="n"/>
      <c r="O616" s="54" t="n"/>
      <c r="P616" s="54" t="n"/>
      <c r="Q616" s="54" t="n"/>
      <c r="R616" s="54" t="n"/>
      <c r="S616" s="54" t="n"/>
      <c r="T616" s="54" t="n"/>
      <c r="U616" s="54" t="n"/>
      <c r="V616" s="54" t="n"/>
      <c r="W616" s="54" t="n"/>
      <c r="X616" s="54" t="n"/>
      <c r="Y616" s="54" t="n"/>
      <c r="Z616" s="54" t="n"/>
    </row>
    <row r="617" ht="15.75" customHeight="1" s="57">
      <c r="A617" s="54" t="n"/>
      <c r="B617" s="54" t="n"/>
      <c r="C617" s="54" t="n"/>
      <c r="D617" s="54" t="n"/>
      <c r="E617" s="54" t="n"/>
      <c r="F617" s="54" t="n"/>
      <c r="G617" s="54" t="n"/>
      <c r="H617" s="54" t="n"/>
      <c r="I617" s="54" t="n"/>
      <c r="J617" s="54" t="n"/>
      <c r="K617" s="54" t="n"/>
      <c r="L617" s="54" t="n"/>
      <c r="M617" s="54" t="n"/>
      <c r="N617" s="54" t="n"/>
      <c r="O617" s="54" t="n"/>
      <c r="P617" s="54" t="n"/>
      <c r="Q617" s="54" t="n"/>
      <c r="R617" s="54" t="n"/>
      <c r="S617" s="54" t="n"/>
      <c r="T617" s="54" t="n"/>
      <c r="U617" s="54" t="n"/>
      <c r="V617" s="54" t="n"/>
      <c r="W617" s="54" t="n"/>
      <c r="X617" s="54" t="n"/>
      <c r="Y617" s="54" t="n"/>
      <c r="Z617" s="54" t="n"/>
    </row>
    <row r="618" ht="15.75" customHeight="1" s="57">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row>
    <row r="619" ht="15.75" customHeight="1" s="57">
      <c r="A619" s="54" t="n"/>
      <c r="B619" s="54" t="n"/>
      <c r="C619" s="54" t="n"/>
      <c r="D619" s="54" t="n"/>
      <c r="E619" s="54" t="n"/>
      <c r="F619" s="54" t="n"/>
      <c r="G619" s="54" t="n"/>
      <c r="H619" s="54" t="n"/>
      <c r="I619" s="54" t="n"/>
      <c r="J619" s="54" t="n"/>
      <c r="K619" s="54" t="n"/>
      <c r="L619" s="54" t="n"/>
      <c r="M619" s="54" t="n"/>
      <c r="N619" s="54" t="n"/>
      <c r="O619" s="54" t="n"/>
      <c r="P619" s="54" t="n"/>
      <c r="Q619" s="54" t="n"/>
      <c r="R619" s="54" t="n"/>
      <c r="S619" s="54" t="n"/>
      <c r="T619" s="54" t="n"/>
      <c r="U619" s="54" t="n"/>
      <c r="V619" s="54" t="n"/>
      <c r="W619" s="54" t="n"/>
      <c r="X619" s="54" t="n"/>
      <c r="Y619" s="54" t="n"/>
      <c r="Z619" s="54" t="n"/>
    </row>
    <row r="620" ht="15.75" customHeight="1" s="57">
      <c r="A620" s="54" t="n"/>
      <c r="B620" s="54" t="n"/>
      <c r="C620" s="54" t="n"/>
      <c r="D620" s="54" t="n"/>
      <c r="E620" s="54" t="n"/>
      <c r="F620" s="54" t="n"/>
      <c r="G620" s="54" t="n"/>
      <c r="H620" s="54" t="n"/>
      <c r="I620" s="54" t="n"/>
      <c r="J620" s="54" t="n"/>
      <c r="K620" s="54" t="n"/>
      <c r="L620" s="54" t="n"/>
      <c r="M620" s="54" t="n"/>
      <c r="N620" s="54" t="n"/>
      <c r="O620" s="54" t="n"/>
      <c r="P620" s="54" t="n"/>
      <c r="Q620" s="54" t="n"/>
      <c r="R620" s="54" t="n"/>
      <c r="S620" s="54" t="n"/>
      <c r="T620" s="54" t="n"/>
      <c r="U620" s="54" t="n"/>
      <c r="V620" s="54" t="n"/>
      <c r="W620" s="54" t="n"/>
      <c r="X620" s="54" t="n"/>
      <c r="Y620" s="54" t="n"/>
      <c r="Z620" s="54" t="n"/>
    </row>
    <row r="621" ht="15.75" customHeight="1" s="57">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row>
    <row r="622" ht="15.75" customHeight="1" s="57">
      <c r="A622" s="54" t="n"/>
      <c r="B622" s="54" t="n"/>
      <c r="C622" s="54" t="n"/>
      <c r="D622" s="54" t="n"/>
      <c r="E622" s="54" t="n"/>
      <c r="F622" s="54" t="n"/>
      <c r="G622" s="54" t="n"/>
      <c r="H622" s="54" t="n"/>
      <c r="I622" s="54" t="n"/>
      <c r="J622" s="54" t="n"/>
      <c r="K622" s="54" t="n"/>
      <c r="L622" s="54" t="n"/>
      <c r="M622" s="54" t="n"/>
      <c r="N622" s="54" t="n"/>
      <c r="O622" s="54" t="n"/>
      <c r="P622" s="54" t="n"/>
      <c r="Q622" s="54" t="n"/>
      <c r="R622" s="54" t="n"/>
      <c r="S622" s="54" t="n"/>
      <c r="T622" s="54" t="n"/>
      <c r="U622" s="54" t="n"/>
      <c r="V622" s="54" t="n"/>
      <c r="W622" s="54" t="n"/>
      <c r="X622" s="54" t="n"/>
      <c r="Y622" s="54" t="n"/>
      <c r="Z622" s="54" t="n"/>
    </row>
    <row r="623" ht="15.75" customHeight="1" s="57">
      <c r="A623" s="54" t="n"/>
      <c r="B623" s="54" t="n"/>
      <c r="C623" s="54" t="n"/>
      <c r="D623" s="54" t="n"/>
      <c r="E623" s="54" t="n"/>
      <c r="F623" s="54" t="n"/>
      <c r="G623" s="54" t="n"/>
      <c r="H623" s="54" t="n"/>
      <c r="I623" s="54" t="n"/>
      <c r="J623" s="54" t="n"/>
      <c r="K623" s="54" t="n"/>
      <c r="L623" s="54" t="n"/>
      <c r="M623" s="54" t="n"/>
      <c r="N623" s="54" t="n"/>
      <c r="O623" s="54" t="n"/>
      <c r="P623" s="54" t="n"/>
      <c r="Q623" s="54" t="n"/>
      <c r="R623" s="54" t="n"/>
      <c r="S623" s="54" t="n"/>
      <c r="T623" s="54" t="n"/>
      <c r="U623" s="54" t="n"/>
      <c r="V623" s="54" t="n"/>
      <c r="W623" s="54" t="n"/>
      <c r="X623" s="54" t="n"/>
      <c r="Y623" s="54" t="n"/>
      <c r="Z623" s="54" t="n"/>
    </row>
    <row r="624" ht="15.75" customHeight="1" s="57">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row>
    <row r="625" ht="15.75" customHeight="1" s="57">
      <c r="A625" s="54" t="n"/>
      <c r="B625" s="54" t="n"/>
      <c r="C625" s="54" t="n"/>
      <c r="D625" s="54" t="n"/>
      <c r="E625" s="54" t="n"/>
      <c r="F625" s="54" t="n"/>
      <c r="G625" s="54" t="n"/>
      <c r="H625" s="54" t="n"/>
      <c r="I625" s="54" t="n"/>
      <c r="J625" s="54" t="n"/>
      <c r="K625" s="54" t="n"/>
      <c r="L625" s="54" t="n"/>
      <c r="M625" s="54" t="n"/>
      <c r="N625" s="54" t="n"/>
      <c r="O625" s="54" t="n"/>
      <c r="P625" s="54" t="n"/>
      <c r="Q625" s="54" t="n"/>
      <c r="R625" s="54" t="n"/>
      <c r="S625" s="54" t="n"/>
      <c r="T625" s="54" t="n"/>
      <c r="U625" s="54" t="n"/>
      <c r="V625" s="54" t="n"/>
      <c r="W625" s="54" t="n"/>
      <c r="X625" s="54" t="n"/>
      <c r="Y625" s="54" t="n"/>
      <c r="Z625" s="54" t="n"/>
    </row>
    <row r="626" ht="15.75" customHeight="1" s="57">
      <c r="A626" s="54" t="n"/>
      <c r="B626" s="54" t="n"/>
      <c r="C626" s="54" t="n"/>
      <c r="D626" s="54" t="n"/>
      <c r="E626" s="54" t="n"/>
      <c r="F626" s="54" t="n"/>
      <c r="G626" s="54" t="n"/>
      <c r="H626" s="54" t="n"/>
      <c r="I626" s="54" t="n"/>
      <c r="J626" s="54" t="n"/>
      <c r="K626" s="54" t="n"/>
      <c r="L626" s="54" t="n"/>
      <c r="M626" s="54" t="n"/>
      <c r="N626" s="54" t="n"/>
      <c r="O626" s="54" t="n"/>
      <c r="P626" s="54" t="n"/>
      <c r="Q626" s="54" t="n"/>
      <c r="R626" s="54" t="n"/>
      <c r="S626" s="54" t="n"/>
      <c r="T626" s="54" t="n"/>
      <c r="U626" s="54" t="n"/>
      <c r="V626" s="54" t="n"/>
      <c r="W626" s="54" t="n"/>
      <c r="X626" s="54" t="n"/>
      <c r="Y626" s="54" t="n"/>
      <c r="Z626" s="54" t="n"/>
    </row>
    <row r="627" ht="15.75" customHeight="1" s="57">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row>
    <row r="628" ht="15.75" customHeight="1" s="57">
      <c r="A628" s="54" t="n"/>
      <c r="B628" s="54" t="n"/>
      <c r="C628" s="54" t="n"/>
      <c r="D628" s="54" t="n"/>
      <c r="E628" s="54" t="n"/>
      <c r="F628" s="54" t="n"/>
      <c r="G628" s="54" t="n"/>
      <c r="H628" s="54" t="n"/>
      <c r="I628" s="54" t="n"/>
      <c r="J628" s="54" t="n"/>
      <c r="K628" s="54" t="n"/>
      <c r="L628" s="54" t="n"/>
      <c r="M628" s="54" t="n"/>
      <c r="N628" s="54" t="n"/>
      <c r="O628" s="54" t="n"/>
      <c r="P628" s="54" t="n"/>
      <c r="Q628" s="54" t="n"/>
      <c r="R628" s="54" t="n"/>
      <c r="S628" s="54" t="n"/>
      <c r="T628" s="54" t="n"/>
      <c r="U628" s="54" t="n"/>
      <c r="V628" s="54" t="n"/>
      <c r="W628" s="54" t="n"/>
      <c r="X628" s="54" t="n"/>
      <c r="Y628" s="54" t="n"/>
      <c r="Z628" s="54" t="n"/>
    </row>
    <row r="629" ht="15.75" customHeight="1" s="57">
      <c r="A629" s="54" t="n"/>
      <c r="B629" s="54" t="n"/>
      <c r="C629" s="54" t="n"/>
      <c r="D629" s="54" t="n"/>
      <c r="E629" s="54" t="n"/>
      <c r="F629" s="54" t="n"/>
      <c r="G629" s="54" t="n"/>
      <c r="H629" s="54" t="n"/>
      <c r="I629" s="54" t="n"/>
      <c r="J629" s="54" t="n"/>
      <c r="K629" s="54" t="n"/>
      <c r="L629" s="54" t="n"/>
      <c r="M629" s="54" t="n"/>
      <c r="N629" s="54" t="n"/>
      <c r="O629" s="54" t="n"/>
      <c r="P629" s="54" t="n"/>
      <c r="Q629" s="54" t="n"/>
      <c r="R629" s="54" t="n"/>
      <c r="S629" s="54" t="n"/>
      <c r="T629" s="54" t="n"/>
      <c r="U629" s="54" t="n"/>
      <c r="V629" s="54" t="n"/>
      <c r="W629" s="54" t="n"/>
      <c r="X629" s="54" t="n"/>
      <c r="Y629" s="54" t="n"/>
      <c r="Z629" s="54" t="n"/>
    </row>
    <row r="630" ht="15.75" customHeight="1" s="57">
      <c r="A630" s="54" t="n"/>
      <c r="B630" s="54" t="n"/>
      <c r="C630" s="54" t="n"/>
      <c r="D630" s="54" t="n"/>
      <c r="E630" s="54" t="n"/>
      <c r="F630" s="54" t="n"/>
      <c r="G630" s="54" t="n"/>
      <c r="H630" s="54" t="n"/>
      <c r="I630" s="54" t="n"/>
      <c r="J630" s="54" t="n"/>
      <c r="K630" s="54" t="n"/>
      <c r="L630" s="54" t="n"/>
      <c r="M630" s="54" t="n"/>
      <c r="N630" s="54" t="n"/>
      <c r="O630" s="54" t="n"/>
      <c r="P630" s="54" t="n"/>
      <c r="Q630" s="54" t="n"/>
      <c r="R630" s="54" t="n"/>
      <c r="S630" s="54" t="n"/>
      <c r="T630" s="54" t="n"/>
      <c r="U630" s="54" t="n"/>
      <c r="V630" s="54" t="n"/>
      <c r="W630" s="54" t="n"/>
      <c r="X630" s="54" t="n"/>
      <c r="Y630" s="54" t="n"/>
      <c r="Z630" s="54" t="n"/>
    </row>
    <row r="631" ht="15.75" customHeight="1" s="57">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row>
    <row r="632" ht="15.75" customHeight="1" s="57">
      <c r="A632" s="54" t="n"/>
      <c r="B632" s="54" t="n"/>
      <c r="C632" s="54" t="n"/>
      <c r="D632" s="54" t="n"/>
      <c r="E632" s="54" t="n"/>
      <c r="F632" s="54" t="n"/>
      <c r="G632" s="54" t="n"/>
      <c r="H632" s="54" t="n"/>
      <c r="I632" s="54" t="n"/>
      <c r="J632" s="54" t="n"/>
      <c r="K632" s="54" t="n"/>
      <c r="L632" s="54" t="n"/>
      <c r="M632" s="54" t="n"/>
      <c r="N632" s="54" t="n"/>
      <c r="O632" s="54" t="n"/>
      <c r="P632" s="54" t="n"/>
      <c r="Q632" s="54" t="n"/>
      <c r="R632" s="54" t="n"/>
      <c r="S632" s="54" t="n"/>
      <c r="T632" s="54" t="n"/>
      <c r="U632" s="54" t="n"/>
      <c r="V632" s="54" t="n"/>
      <c r="W632" s="54" t="n"/>
      <c r="X632" s="54" t="n"/>
      <c r="Y632" s="54" t="n"/>
      <c r="Z632" s="54" t="n"/>
    </row>
    <row r="633" ht="15.75" customHeight="1" s="57">
      <c r="A633" s="54" t="n"/>
      <c r="B633" s="54" t="n"/>
      <c r="C633" s="54" t="n"/>
      <c r="D633" s="54" t="n"/>
      <c r="E633" s="54" t="n"/>
      <c r="F633" s="54" t="n"/>
      <c r="G633" s="54" t="n"/>
      <c r="H633" s="54" t="n"/>
      <c r="I633" s="54" t="n"/>
      <c r="J633" s="54" t="n"/>
      <c r="K633" s="54" t="n"/>
      <c r="L633" s="54" t="n"/>
      <c r="M633" s="54" t="n"/>
      <c r="N633" s="54" t="n"/>
      <c r="O633" s="54" t="n"/>
      <c r="P633" s="54" t="n"/>
      <c r="Q633" s="54" t="n"/>
      <c r="R633" s="54" t="n"/>
      <c r="S633" s="54" t="n"/>
      <c r="T633" s="54" t="n"/>
      <c r="U633" s="54" t="n"/>
      <c r="V633" s="54" t="n"/>
      <c r="W633" s="54" t="n"/>
      <c r="X633" s="54" t="n"/>
      <c r="Y633" s="54" t="n"/>
      <c r="Z633" s="54" t="n"/>
    </row>
    <row r="634" ht="15.75" customHeight="1" s="57">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row>
    <row r="635" ht="15.75" customHeight="1" s="57">
      <c r="A635" s="54" t="n"/>
      <c r="B635" s="54" t="n"/>
      <c r="C635" s="54" t="n"/>
      <c r="D635" s="54" t="n"/>
      <c r="E635" s="54" t="n"/>
      <c r="F635" s="54" t="n"/>
      <c r="G635" s="54" t="n"/>
      <c r="H635" s="54" t="n"/>
      <c r="I635" s="54" t="n"/>
      <c r="J635" s="54" t="n"/>
      <c r="K635" s="54" t="n"/>
      <c r="L635" s="54" t="n"/>
      <c r="M635" s="54" t="n"/>
      <c r="N635" s="54" t="n"/>
      <c r="O635" s="54" t="n"/>
      <c r="P635" s="54" t="n"/>
      <c r="Q635" s="54" t="n"/>
      <c r="R635" s="54" t="n"/>
      <c r="S635" s="54" t="n"/>
      <c r="T635" s="54" t="n"/>
      <c r="U635" s="54" t="n"/>
      <c r="V635" s="54" t="n"/>
      <c r="W635" s="54" t="n"/>
      <c r="X635" s="54" t="n"/>
      <c r="Y635" s="54" t="n"/>
      <c r="Z635" s="54" t="n"/>
    </row>
    <row r="636" ht="15.75" customHeight="1" s="57">
      <c r="A636" s="54" t="n"/>
      <c r="B636" s="54" t="n"/>
      <c r="C636" s="54" t="n"/>
      <c r="D636" s="54" t="n"/>
      <c r="E636" s="54" t="n"/>
      <c r="F636" s="54" t="n"/>
      <c r="G636" s="54" t="n"/>
      <c r="H636" s="54" t="n"/>
      <c r="I636" s="54" t="n"/>
      <c r="J636" s="54" t="n"/>
      <c r="K636" s="54" t="n"/>
      <c r="L636" s="54" t="n"/>
      <c r="M636" s="54" t="n"/>
      <c r="N636" s="54" t="n"/>
      <c r="O636" s="54" t="n"/>
      <c r="P636" s="54" t="n"/>
      <c r="Q636" s="54" t="n"/>
      <c r="R636" s="54" t="n"/>
      <c r="S636" s="54" t="n"/>
      <c r="T636" s="54" t="n"/>
      <c r="U636" s="54" t="n"/>
      <c r="V636" s="54" t="n"/>
      <c r="W636" s="54" t="n"/>
      <c r="X636" s="54" t="n"/>
      <c r="Y636" s="54" t="n"/>
      <c r="Z636" s="54" t="n"/>
    </row>
    <row r="637" ht="15.75" customHeight="1" s="57">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row>
    <row r="638" ht="15.75" customHeight="1" s="57">
      <c r="A638" s="54" t="n"/>
      <c r="B638" s="54" t="n"/>
      <c r="C638" s="54" t="n"/>
      <c r="D638" s="54" t="n"/>
      <c r="E638" s="54" t="n"/>
      <c r="F638" s="54" t="n"/>
      <c r="G638" s="54" t="n"/>
      <c r="H638" s="54" t="n"/>
      <c r="I638" s="54" t="n"/>
      <c r="J638" s="54" t="n"/>
      <c r="K638" s="54" t="n"/>
      <c r="L638" s="54" t="n"/>
      <c r="M638" s="54" t="n"/>
      <c r="N638" s="54" t="n"/>
      <c r="O638" s="54" t="n"/>
      <c r="P638" s="54" t="n"/>
      <c r="Q638" s="54" t="n"/>
      <c r="R638" s="54" t="n"/>
      <c r="S638" s="54" t="n"/>
      <c r="T638" s="54" t="n"/>
      <c r="U638" s="54" t="n"/>
      <c r="V638" s="54" t="n"/>
      <c r="W638" s="54" t="n"/>
      <c r="X638" s="54" t="n"/>
      <c r="Y638" s="54" t="n"/>
      <c r="Z638" s="54" t="n"/>
    </row>
    <row r="639" ht="15.75" customHeight="1" s="57">
      <c r="A639" s="54" t="n"/>
      <c r="B639" s="54" t="n"/>
      <c r="C639" s="54" t="n"/>
      <c r="D639" s="54" t="n"/>
      <c r="E639" s="54" t="n"/>
      <c r="F639" s="54" t="n"/>
      <c r="G639" s="54" t="n"/>
      <c r="H639" s="54" t="n"/>
      <c r="I639" s="54" t="n"/>
      <c r="J639" s="54" t="n"/>
      <c r="K639" s="54" t="n"/>
      <c r="L639" s="54" t="n"/>
      <c r="M639" s="54" t="n"/>
      <c r="N639" s="54" t="n"/>
      <c r="O639" s="54" t="n"/>
      <c r="P639" s="54" t="n"/>
      <c r="Q639" s="54" t="n"/>
      <c r="R639" s="54" t="n"/>
      <c r="S639" s="54" t="n"/>
      <c r="T639" s="54" t="n"/>
      <c r="U639" s="54" t="n"/>
      <c r="V639" s="54" t="n"/>
      <c r="W639" s="54" t="n"/>
      <c r="X639" s="54" t="n"/>
      <c r="Y639" s="54" t="n"/>
      <c r="Z639" s="54" t="n"/>
    </row>
    <row r="640" ht="15.75" customHeight="1" s="57">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row>
    <row r="641" ht="15.75" customHeight="1" s="57">
      <c r="A641" s="54" t="n"/>
      <c r="B641" s="54" t="n"/>
      <c r="C641" s="54" t="n"/>
      <c r="D641" s="54" t="n"/>
      <c r="E641" s="54" t="n"/>
      <c r="F641" s="54" t="n"/>
      <c r="G641" s="54" t="n"/>
      <c r="H641" s="54" t="n"/>
      <c r="I641" s="54" t="n"/>
      <c r="J641" s="54" t="n"/>
      <c r="K641" s="54" t="n"/>
      <c r="L641" s="54" t="n"/>
      <c r="M641" s="54" t="n"/>
      <c r="N641" s="54" t="n"/>
      <c r="O641" s="54" t="n"/>
      <c r="P641" s="54" t="n"/>
      <c r="Q641" s="54" t="n"/>
      <c r="R641" s="54" t="n"/>
      <c r="S641" s="54" t="n"/>
      <c r="T641" s="54" t="n"/>
      <c r="U641" s="54" t="n"/>
      <c r="V641" s="54" t="n"/>
      <c r="W641" s="54" t="n"/>
      <c r="X641" s="54" t="n"/>
      <c r="Y641" s="54" t="n"/>
      <c r="Z641" s="54" t="n"/>
    </row>
    <row r="642" ht="15.75" customHeight="1" s="57">
      <c r="A642" s="54" t="n"/>
      <c r="B642" s="54" t="n"/>
      <c r="C642" s="54" t="n"/>
      <c r="D642" s="54" t="n"/>
      <c r="E642" s="54" t="n"/>
      <c r="F642" s="54" t="n"/>
      <c r="G642" s="54" t="n"/>
      <c r="H642" s="54" t="n"/>
      <c r="I642" s="54" t="n"/>
      <c r="J642" s="54" t="n"/>
      <c r="K642" s="54" t="n"/>
      <c r="L642" s="54" t="n"/>
      <c r="M642" s="54" t="n"/>
      <c r="N642" s="54" t="n"/>
      <c r="O642" s="54" t="n"/>
      <c r="P642" s="54" t="n"/>
      <c r="Q642" s="54" t="n"/>
      <c r="R642" s="54" t="n"/>
      <c r="S642" s="54" t="n"/>
      <c r="T642" s="54" t="n"/>
      <c r="U642" s="54" t="n"/>
      <c r="V642" s="54" t="n"/>
      <c r="W642" s="54" t="n"/>
      <c r="X642" s="54" t="n"/>
      <c r="Y642" s="54" t="n"/>
      <c r="Z642" s="54" t="n"/>
    </row>
    <row r="643" ht="15.75" customHeight="1" s="57">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row>
    <row r="644" ht="15.75" customHeight="1" s="57">
      <c r="A644" s="54" t="n"/>
      <c r="B644" s="54" t="n"/>
      <c r="C644" s="54" t="n"/>
      <c r="D644" s="54" t="n"/>
      <c r="E644" s="54" t="n"/>
      <c r="F644" s="54" t="n"/>
      <c r="G644" s="54" t="n"/>
      <c r="H644" s="54" t="n"/>
      <c r="I644" s="54" t="n"/>
      <c r="J644" s="54" t="n"/>
      <c r="K644" s="54" t="n"/>
      <c r="L644" s="54" t="n"/>
      <c r="M644" s="54" t="n"/>
      <c r="N644" s="54" t="n"/>
      <c r="O644" s="54" t="n"/>
      <c r="P644" s="54" t="n"/>
      <c r="Q644" s="54" t="n"/>
      <c r="R644" s="54" t="n"/>
      <c r="S644" s="54" t="n"/>
      <c r="T644" s="54" t="n"/>
      <c r="U644" s="54" t="n"/>
      <c r="V644" s="54" t="n"/>
      <c r="W644" s="54" t="n"/>
      <c r="X644" s="54" t="n"/>
      <c r="Y644" s="54" t="n"/>
      <c r="Z644" s="54" t="n"/>
    </row>
    <row r="645" ht="15.75" customHeight="1" s="57">
      <c r="A645" s="54" t="n"/>
      <c r="B645" s="54" t="n"/>
      <c r="C645" s="54" t="n"/>
      <c r="D645" s="54" t="n"/>
      <c r="E645" s="54" t="n"/>
      <c r="F645" s="54" t="n"/>
      <c r="G645" s="54" t="n"/>
      <c r="H645" s="54" t="n"/>
      <c r="I645" s="54" t="n"/>
      <c r="J645" s="54" t="n"/>
      <c r="K645" s="54" t="n"/>
      <c r="L645" s="54" t="n"/>
      <c r="M645" s="54" t="n"/>
      <c r="N645" s="54" t="n"/>
      <c r="O645" s="54" t="n"/>
      <c r="P645" s="54" t="n"/>
      <c r="Q645" s="54" t="n"/>
      <c r="R645" s="54" t="n"/>
      <c r="S645" s="54" t="n"/>
      <c r="T645" s="54" t="n"/>
      <c r="U645" s="54" t="n"/>
      <c r="V645" s="54" t="n"/>
      <c r="W645" s="54" t="n"/>
      <c r="X645" s="54" t="n"/>
      <c r="Y645" s="54" t="n"/>
      <c r="Z645" s="54" t="n"/>
    </row>
    <row r="646" ht="15.75" customHeight="1" s="57">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row>
    <row r="647" ht="15.75" customHeight="1" s="57">
      <c r="A647" s="54" t="n"/>
      <c r="B647" s="54" t="n"/>
      <c r="C647" s="54" t="n"/>
      <c r="D647" s="54" t="n"/>
      <c r="E647" s="54" t="n"/>
      <c r="F647" s="54" t="n"/>
      <c r="G647" s="54" t="n"/>
      <c r="H647" s="54" t="n"/>
      <c r="I647" s="54" t="n"/>
      <c r="J647" s="54" t="n"/>
      <c r="K647" s="54" t="n"/>
      <c r="L647" s="54" t="n"/>
      <c r="M647" s="54" t="n"/>
      <c r="N647" s="54" t="n"/>
      <c r="O647" s="54" t="n"/>
      <c r="P647" s="54" t="n"/>
      <c r="Q647" s="54" t="n"/>
      <c r="R647" s="54" t="n"/>
      <c r="S647" s="54" t="n"/>
      <c r="T647" s="54" t="n"/>
      <c r="U647" s="54" t="n"/>
      <c r="V647" s="54" t="n"/>
      <c r="W647" s="54" t="n"/>
      <c r="X647" s="54" t="n"/>
      <c r="Y647" s="54" t="n"/>
      <c r="Z647" s="54" t="n"/>
    </row>
    <row r="648" ht="15.75" customHeight="1" s="57">
      <c r="A648" s="54" t="n"/>
      <c r="B648" s="54" t="n"/>
      <c r="C648" s="54" t="n"/>
      <c r="D648" s="54" t="n"/>
      <c r="E648" s="54" t="n"/>
      <c r="F648" s="54" t="n"/>
      <c r="G648" s="54" t="n"/>
      <c r="H648" s="54" t="n"/>
      <c r="I648" s="54" t="n"/>
      <c r="J648" s="54" t="n"/>
      <c r="K648" s="54" t="n"/>
      <c r="L648" s="54" t="n"/>
      <c r="M648" s="54" t="n"/>
      <c r="N648" s="54" t="n"/>
      <c r="O648" s="54" t="n"/>
      <c r="P648" s="54" t="n"/>
      <c r="Q648" s="54" t="n"/>
      <c r="R648" s="54" t="n"/>
      <c r="S648" s="54" t="n"/>
      <c r="T648" s="54" t="n"/>
      <c r="U648" s="54" t="n"/>
      <c r="V648" s="54" t="n"/>
      <c r="W648" s="54" t="n"/>
      <c r="X648" s="54" t="n"/>
      <c r="Y648" s="54" t="n"/>
      <c r="Z648" s="54" t="n"/>
    </row>
    <row r="649" ht="15.75" customHeight="1" s="57">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row>
    <row r="650" ht="15.75" customHeight="1" s="57">
      <c r="A650" s="54" t="n"/>
      <c r="B650" s="54" t="n"/>
      <c r="C650" s="54" t="n"/>
      <c r="D650" s="54" t="n"/>
      <c r="E650" s="54" t="n"/>
      <c r="F650" s="54" t="n"/>
      <c r="G650" s="54" t="n"/>
      <c r="H650" s="54" t="n"/>
      <c r="I650" s="54" t="n"/>
      <c r="J650" s="54" t="n"/>
      <c r="K650" s="54" t="n"/>
      <c r="L650" s="54" t="n"/>
      <c r="M650" s="54" t="n"/>
      <c r="N650" s="54" t="n"/>
      <c r="O650" s="54" t="n"/>
      <c r="P650" s="54" t="n"/>
      <c r="Q650" s="54" t="n"/>
      <c r="R650" s="54" t="n"/>
      <c r="S650" s="54" t="n"/>
      <c r="T650" s="54" t="n"/>
      <c r="U650" s="54" t="n"/>
      <c r="V650" s="54" t="n"/>
      <c r="W650" s="54" t="n"/>
      <c r="X650" s="54" t="n"/>
      <c r="Y650" s="54" t="n"/>
      <c r="Z650" s="54" t="n"/>
    </row>
    <row r="651" ht="15.75" customHeight="1" s="57">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row>
    <row r="652" ht="15.75" customHeight="1" s="57">
      <c r="A652" s="54" t="n"/>
      <c r="B652" s="54" t="n"/>
      <c r="C652" s="54" t="n"/>
      <c r="D652" s="54" t="n"/>
      <c r="E652" s="54" t="n"/>
      <c r="F652" s="54" t="n"/>
      <c r="G652" s="54" t="n"/>
      <c r="H652" s="54" t="n"/>
      <c r="I652" s="54" t="n"/>
      <c r="J652" s="54" t="n"/>
      <c r="K652" s="54" t="n"/>
      <c r="L652" s="54" t="n"/>
      <c r="M652" s="54" t="n"/>
      <c r="N652" s="54" t="n"/>
      <c r="O652" s="54" t="n"/>
      <c r="P652" s="54" t="n"/>
      <c r="Q652" s="54" t="n"/>
      <c r="R652" s="54" t="n"/>
      <c r="S652" s="54" t="n"/>
      <c r="T652" s="54" t="n"/>
      <c r="U652" s="54" t="n"/>
      <c r="V652" s="54" t="n"/>
      <c r="W652" s="54" t="n"/>
      <c r="X652" s="54" t="n"/>
      <c r="Y652" s="54" t="n"/>
      <c r="Z652" s="54" t="n"/>
    </row>
    <row r="653" ht="15.75" customHeight="1" s="57">
      <c r="A653" s="54" t="n"/>
      <c r="B653" s="54" t="n"/>
      <c r="C653" s="54" t="n"/>
      <c r="D653" s="54" t="n"/>
      <c r="E653" s="54" t="n"/>
      <c r="F653" s="54" t="n"/>
      <c r="G653" s="54" t="n"/>
      <c r="H653" s="54" t="n"/>
      <c r="I653" s="54" t="n"/>
      <c r="J653" s="54" t="n"/>
      <c r="K653" s="54" t="n"/>
      <c r="L653" s="54" t="n"/>
      <c r="M653" s="54" t="n"/>
      <c r="N653" s="54" t="n"/>
      <c r="O653" s="54" t="n"/>
      <c r="P653" s="54" t="n"/>
      <c r="Q653" s="54" t="n"/>
      <c r="R653" s="54" t="n"/>
      <c r="S653" s="54" t="n"/>
      <c r="T653" s="54" t="n"/>
      <c r="U653" s="54" t="n"/>
      <c r="V653" s="54" t="n"/>
      <c r="W653" s="54" t="n"/>
      <c r="X653" s="54" t="n"/>
      <c r="Y653" s="54" t="n"/>
      <c r="Z653" s="54" t="n"/>
    </row>
    <row r="654" ht="15.75" customHeight="1" s="57">
      <c r="A654" s="54" t="n"/>
      <c r="B654" s="54" t="n"/>
      <c r="C654" s="54" t="n"/>
      <c r="D654" s="54" t="n"/>
      <c r="E654" s="54" t="n"/>
      <c r="F654" s="54" t="n"/>
      <c r="G654" s="54" t="n"/>
      <c r="H654" s="54" t="n"/>
      <c r="I654" s="54" t="n"/>
      <c r="J654" s="54" t="n"/>
      <c r="K654" s="54" t="n"/>
      <c r="L654" s="54" t="n"/>
      <c r="M654" s="54" t="n"/>
      <c r="N654" s="54" t="n"/>
      <c r="O654" s="54" t="n"/>
      <c r="P654" s="54" t="n"/>
      <c r="Q654" s="54" t="n"/>
      <c r="R654" s="54" t="n"/>
      <c r="S654" s="54" t="n"/>
      <c r="T654" s="54" t="n"/>
      <c r="U654" s="54" t="n"/>
      <c r="V654" s="54" t="n"/>
      <c r="W654" s="54" t="n"/>
      <c r="X654" s="54" t="n"/>
      <c r="Y654" s="54" t="n"/>
      <c r="Z654" s="54" t="n"/>
    </row>
    <row r="655" ht="15.75" customHeight="1" s="57">
      <c r="A655" s="54" t="n"/>
      <c r="B655" s="54" t="n"/>
      <c r="C655" s="54" t="n"/>
      <c r="D655" s="54" t="n"/>
      <c r="E655" s="54" t="n"/>
      <c r="F655" s="54" t="n"/>
      <c r="G655" s="54" t="n"/>
      <c r="H655" s="54" t="n"/>
      <c r="I655" s="54" t="n"/>
      <c r="J655" s="54" t="n"/>
      <c r="K655" s="54" t="n"/>
      <c r="L655" s="54" t="n"/>
      <c r="M655" s="54" t="n"/>
      <c r="N655" s="54" t="n"/>
      <c r="O655" s="54" t="n"/>
      <c r="P655" s="54" t="n"/>
      <c r="Q655" s="54" t="n"/>
      <c r="R655" s="54" t="n"/>
      <c r="S655" s="54" t="n"/>
      <c r="T655" s="54" t="n"/>
      <c r="U655" s="54" t="n"/>
      <c r="V655" s="54" t="n"/>
      <c r="W655" s="54" t="n"/>
      <c r="X655" s="54" t="n"/>
      <c r="Y655" s="54" t="n"/>
      <c r="Z655" s="54" t="n"/>
    </row>
    <row r="656" ht="15.75" customHeight="1" s="57">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row>
    <row r="657" ht="15.75" customHeight="1" s="57">
      <c r="A657" s="54" t="n"/>
      <c r="B657" s="54" t="n"/>
      <c r="C657" s="54" t="n"/>
      <c r="D657" s="54" t="n"/>
      <c r="E657" s="54" t="n"/>
      <c r="F657" s="54" t="n"/>
      <c r="G657" s="54" t="n"/>
      <c r="H657" s="54" t="n"/>
      <c r="I657" s="54" t="n"/>
      <c r="J657" s="54" t="n"/>
      <c r="K657" s="54" t="n"/>
      <c r="L657" s="54" t="n"/>
      <c r="M657" s="54" t="n"/>
      <c r="N657" s="54" t="n"/>
      <c r="O657" s="54" t="n"/>
      <c r="P657" s="54" t="n"/>
      <c r="Q657" s="54" t="n"/>
      <c r="R657" s="54" t="n"/>
      <c r="S657" s="54" t="n"/>
      <c r="T657" s="54" t="n"/>
      <c r="U657" s="54" t="n"/>
      <c r="V657" s="54" t="n"/>
      <c r="W657" s="54" t="n"/>
      <c r="X657" s="54" t="n"/>
      <c r="Y657" s="54" t="n"/>
      <c r="Z657" s="54" t="n"/>
    </row>
    <row r="658" ht="15.75" customHeight="1" s="57">
      <c r="A658" s="54" t="n"/>
      <c r="B658" s="54" t="n"/>
      <c r="C658" s="54" t="n"/>
      <c r="D658" s="54" t="n"/>
      <c r="E658" s="54" t="n"/>
      <c r="F658" s="54" t="n"/>
      <c r="G658" s="54" t="n"/>
      <c r="H658" s="54" t="n"/>
      <c r="I658" s="54" t="n"/>
      <c r="J658" s="54" t="n"/>
      <c r="K658" s="54" t="n"/>
      <c r="L658" s="54" t="n"/>
      <c r="M658" s="54" t="n"/>
      <c r="N658" s="54" t="n"/>
      <c r="O658" s="54" t="n"/>
      <c r="P658" s="54" t="n"/>
      <c r="Q658" s="54" t="n"/>
      <c r="R658" s="54" t="n"/>
      <c r="S658" s="54" t="n"/>
      <c r="T658" s="54" t="n"/>
      <c r="U658" s="54" t="n"/>
      <c r="V658" s="54" t="n"/>
      <c r="W658" s="54" t="n"/>
      <c r="X658" s="54" t="n"/>
      <c r="Y658" s="54" t="n"/>
      <c r="Z658" s="54" t="n"/>
    </row>
    <row r="659" ht="15.75" customHeight="1" s="57">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row>
    <row r="660" ht="15.75" customHeight="1" s="57">
      <c r="A660" s="54" t="n"/>
      <c r="B660" s="54" t="n"/>
      <c r="C660" s="54" t="n"/>
      <c r="D660" s="54" t="n"/>
      <c r="E660" s="54" t="n"/>
      <c r="F660" s="54" t="n"/>
      <c r="G660" s="54" t="n"/>
      <c r="H660" s="54" t="n"/>
      <c r="I660" s="54" t="n"/>
      <c r="J660" s="54" t="n"/>
      <c r="K660" s="54" t="n"/>
      <c r="L660" s="54" t="n"/>
      <c r="M660" s="54" t="n"/>
      <c r="N660" s="54" t="n"/>
      <c r="O660" s="54" t="n"/>
      <c r="P660" s="54" t="n"/>
      <c r="Q660" s="54" t="n"/>
      <c r="R660" s="54" t="n"/>
      <c r="S660" s="54" t="n"/>
      <c r="T660" s="54" t="n"/>
      <c r="U660" s="54" t="n"/>
      <c r="V660" s="54" t="n"/>
      <c r="W660" s="54" t="n"/>
      <c r="X660" s="54" t="n"/>
      <c r="Y660" s="54" t="n"/>
      <c r="Z660" s="54" t="n"/>
    </row>
    <row r="661" ht="15.75" customHeight="1" s="57">
      <c r="A661" s="54" t="n"/>
      <c r="B661" s="54" t="n"/>
      <c r="C661" s="54" t="n"/>
      <c r="D661" s="54" t="n"/>
      <c r="E661" s="54" t="n"/>
      <c r="F661" s="54" t="n"/>
      <c r="G661" s="54" t="n"/>
      <c r="H661" s="54" t="n"/>
      <c r="I661" s="54" t="n"/>
      <c r="J661" s="54" t="n"/>
      <c r="K661" s="54" t="n"/>
      <c r="L661" s="54" t="n"/>
      <c r="M661" s="54" t="n"/>
      <c r="N661" s="54" t="n"/>
      <c r="O661" s="54" t="n"/>
      <c r="P661" s="54" t="n"/>
      <c r="Q661" s="54" t="n"/>
      <c r="R661" s="54" t="n"/>
      <c r="S661" s="54" t="n"/>
      <c r="T661" s="54" t="n"/>
      <c r="U661" s="54" t="n"/>
      <c r="V661" s="54" t="n"/>
      <c r="W661" s="54" t="n"/>
      <c r="X661" s="54" t="n"/>
      <c r="Y661" s="54" t="n"/>
      <c r="Z661" s="54" t="n"/>
    </row>
    <row r="662" ht="15.75" customHeight="1" s="57">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row>
    <row r="663" ht="15.75" customHeight="1" s="57">
      <c r="A663" s="54" t="n"/>
      <c r="B663" s="54" t="n"/>
      <c r="C663" s="54" t="n"/>
      <c r="D663" s="54" t="n"/>
      <c r="E663" s="54" t="n"/>
      <c r="F663" s="54" t="n"/>
      <c r="G663" s="54" t="n"/>
      <c r="H663" s="54" t="n"/>
      <c r="I663" s="54" t="n"/>
      <c r="J663" s="54" t="n"/>
      <c r="K663" s="54" t="n"/>
      <c r="L663" s="54" t="n"/>
      <c r="M663" s="54" t="n"/>
      <c r="N663" s="54" t="n"/>
      <c r="O663" s="54" t="n"/>
      <c r="P663" s="54" t="n"/>
      <c r="Q663" s="54" t="n"/>
      <c r="R663" s="54" t="n"/>
      <c r="S663" s="54" t="n"/>
      <c r="T663" s="54" t="n"/>
      <c r="U663" s="54" t="n"/>
      <c r="V663" s="54" t="n"/>
      <c r="W663" s="54" t="n"/>
      <c r="X663" s="54" t="n"/>
      <c r="Y663" s="54" t="n"/>
      <c r="Z663" s="54" t="n"/>
    </row>
    <row r="664" ht="15.75" customHeight="1" s="57">
      <c r="A664" s="54" t="n"/>
      <c r="B664" s="54" t="n"/>
      <c r="C664" s="54" t="n"/>
      <c r="D664" s="54" t="n"/>
      <c r="E664" s="54" t="n"/>
      <c r="F664" s="54" t="n"/>
      <c r="G664" s="54" t="n"/>
      <c r="H664" s="54" t="n"/>
      <c r="I664" s="54" t="n"/>
      <c r="J664" s="54" t="n"/>
      <c r="K664" s="54" t="n"/>
      <c r="L664" s="54" t="n"/>
      <c r="M664" s="54" t="n"/>
      <c r="N664" s="54" t="n"/>
      <c r="O664" s="54" t="n"/>
      <c r="P664" s="54" t="n"/>
      <c r="Q664" s="54" t="n"/>
      <c r="R664" s="54" t="n"/>
      <c r="S664" s="54" t="n"/>
      <c r="T664" s="54" t="n"/>
      <c r="U664" s="54" t="n"/>
      <c r="V664" s="54" t="n"/>
      <c r="W664" s="54" t="n"/>
      <c r="X664" s="54" t="n"/>
      <c r="Y664" s="54" t="n"/>
      <c r="Z664" s="54" t="n"/>
    </row>
    <row r="665" ht="15.75" customHeight="1" s="57">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row>
    <row r="666" ht="15.75" customHeight="1" s="57">
      <c r="A666" s="54" t="n"/>
      <c r="B666" s="54" t="n"/>
      <c r="C666" s="54" t="n"/>
      <c r="D666" s="54" t="n"/>
      <c r="E666" s="54" t="n"/>
      <c r="F666" s="54" t="n"/>
      <c r="G666" s="54" t="n"/>
      <c r="H666" s="54" t="n"/>
      <c r="I666" s="54" t="n"/>
      <c r="J666" s="54" t="n"/>
      <c r="K666" s="54" t="n"/>
      <c r="L666" s="54" t="n"/>
      <c r="M666" s="54" t="n"/>
      <c r="N666" s="54" t="n"/>
      <c r="O666" s="54" t="n"/>
      <c r="P666" s="54" t="n"/>
      <c r="Q666" s="54" t="n"/>
      <c r="R666" s="54" t="n"/>
      <c r="S666" s="54" t="n"/>
      <c r="T666" s="54" t="n"/>
      <c r="U666" s="54" t="n"/>
      <c r="V666" s="54" t="n"/>
      <c r="W666" s="54" t="n"/>
      <c r="X666" s="54" t="n"/>
      <c r="Y666" s="54" t="n"/>
      <c r="Z666" s="54" t="n"/>
    </row>
    <row r="667" ht="15.75" customHeight="1" s="57">
      <c r="A667" s="54" t="n"/>
      <c r="B667" s="54" t="n"/>
      <c r="C667" s="54" t="n"/>
      <c r="D667" s="54" t="n"/>
      <c r="E667" s="54" t="n"/>
      <c r="F667" s="54" t="n"/>
      <c r="G667" s="54" t="n"/>
      <c r="H667" s="54" t="n"/>
      <c r="I667" s="54" t="n"/>
      <c r="J667" s="54" t="n"/>
      <c r="K667" s="54" t="n"/>
      <c r="L667" s="54" t="n"/>
      <c r="M667" s="54" t="n"/>
      <c r="N667" s="54" t="n"/>
      <c r="O667" s="54" t="n"/>
      <c r="P667" s="54" t="n"/>
      <c r="Q667" s="54" t="n"/>
      <c r="R667" s="54" t="n"/>
      <c r="S667" s="54" t="n"/>
      <c r="T667" s="54" t="n"/>
      <c r="U667" s="54" t="n"/>
      <c r="V667" s="54" t="n"/>
      <c r="W667" s="54" t="n"/>
      <c r="X667" s="54" t="n"/>
      <c r="Y667" s="54" t="n"/>
      <c r="Z667" s="54" t="n"/>
    </row>
    <row r="668" ht="15.75" customHeight="1" s="57">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row>
    <row r="669" ht="15.75" customHeight="1" s="57">
      <c r="A669" s="54" t="n"/>
      <c r="B669" s="54" t="n"/>
      <c r="C669" s="54" t="n"/>
      <c r="D669" s="54" t="n"/>
      <c r="E669" s="54" t="n"/>
      <c r="F669" s="54" t="n"/>
      <c r="G669" s="54" t="n"/>
      <c r="H669" s="54" t="n"/>
      <c r="I669" s="54" t="n"/>
      <c r="J669" s="54" t="n"/>
      <c r="K669" s="54" t="n"/>
      <c r="L669" s="54" t="n"/>
      <c r="M669" s="54" t="n"/>
      <c r="N669" s="54" t="n"/>
      <c r="O669" s="54" t="n"/>
      <c r="P669" s="54" t="n"/>
      <c r="Q669" s="54" t="n"/>
      <c r="R669" s="54" t="n"/>
      <c r="S669" s="54" t="n"/>
      <c r="T669" s="54" t="n"/>
      <c r="U669" s="54" t="n"/>
      <c r="V669" s="54" t="n"/>
      <c r="W669" s="54" t="n"/>
      <c r="X669" s="54" t="n"/>
      <c r="Y669" s="54" t="n"/>
      <c r="Z669" s="54" t="n"/>
    </row>
    <row r="670" ht="15.75" customHeight="1" s="57">
      <c r="A670" s="54" t="n"/>
      <c r="B670" s="54" t="n"/>
      <c r="C670" s="54" t="n"/>
      <c r="D670" s="54" t="n"/>
      <c r="E670" s="54" t="n"/>
      <c r="F670" s="54" t="n"/>
      <c r="G670" s="54" t="n"/>
      <c r="H670" s="54" t="n"/>
      <c r="I670" s="54" t="n"/>
      <c r="J670" s="54" t="n"/>
      <c r="K670" s="54" t="n"/>
      <c r="L670" s="54" t="n"/>
      <c r="M670" s="54" t="n"/>
      <c r="N670" s="54" t="n"/>
      <c r="O670" s="54" t="n"/>
      <c r="P670" s="54" t="n"/>
      <c r="Q670" s="54" t="n"/>
      <c r="R670" s="54" t="n"/>
      <c r="S670" s="54" t="n"/>
      <c r="T670" s="54" t="n"/>
      <c r="U670" s="54" t="n"/>
      <c r="V670" s="54" t="n"/>
      <c r="W670" s="54" t="n"/>
      <c r="X670" s="54" t="n"/>
      <c r="Y670" s="54" t="n"/>
      <c r="Z670" s="54" t="n"/>
    </row>
    <row r="671" ht="15.75" customHeight="1" s="57">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row>
    <row r="672" ht="15.75" customHeight="1" s="57">
      <c r="A672" s="54" t="n"/>
      <c r="B672" s="54" t="n"/>
      <c r="C672" s="54" t="n"/>
      <c r="D672" s="54" t="n"/>
      <c r="E672" s="54" t="n"/>
      <c r="F672" s="54" t="n"/>
      <c r="G672" s="54" t="n"/>
      <c r="H672" s="54" t="n"/>
      <c r="I672" s="54" t="n"/>
      <c r="J672" s="54" t="n"/>
      <c r="K672" s="54" t="n"/>
      <c r="L672" s="54" t="n"/>
      <c r="M672" s="54" t="n"/>
      <c r="N672" s="54" t="n"/>
      <c r="O672" s="54" t="n"/>
      <c r="P672" s="54" t="n"/>
      <c r="Q672" s="54" t="n"/>
      <c r="R672" s="54" t="n"/>
      <c r="S672" s="54" t="n"/>
      <c r="T672" s="54" t="n"/>
      <c r="U672" s="54" t="n"/>
      <c r="V672" s="54" t="n"/>
      <c r="W672" s="54" t="n"/>
      <c r="X672" s="54" t="n"/>
      <c r="Y672" s="54" t="n"/>
      <c r="Z672" s="54" t="n"/>
    </row>
    <row r="673" ht="15.75" customHeight="1" s="57">
      <c r="A673" s="54" t="n"/>
      <c r="B673" s="54" t="n"/>
      <c r="C673" s="54" t="n"/>
      <c r="D673" s="54" t="n"/>
      <c r="E673" s="54" t="n"/>
      <c r="F673" s="54" t="n"/>
      <c r="G673" s="54" t="n"/>
      <c r="H673" s="54" t="n"/>
      <c r="I673" s="54" t="n"/>
      <c r="J673" s="54" t="n"/>
      <c r="K673" s="54" t="n"/>
      <c r="L673" s="54" t="n"/>
      <c r="M673" s="54" t="n"/>
      <c r="N673" s="54" t="n"/>
      <c r="O673" s="54" t="n"/>
      <c r="P673" s="54" t="n"/>
      <c r="Q673" s="54" t="n"/>
      <c r="R673" s="54" t="n"/>
      <c r="S673" s="54" t="n"/>
      <c r="T673" s="54" t="n"/>
      <c r="U673" s="54" t="n"/>
      <c r="V673" s="54" t="n"/>
      <c r="W673" s="54" t="n"/>
      <c r="X673" s="54" t="n"/>
      <c r="Y673" s="54" t="n"/>
      <c r="Z673" s="54" t="n"/>
    </row>
    <row r="674" ht="15.75" customHeight="1" s="57">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row>
    <row r="675" ht="15.75" customHeight="1" s="57">
      <c r="A675" s="54" t="n"/>
      <c r="B675" s="54" t="n"/>
      <c r="C675" s="54" t="n"/>
      <c r="D675" s="54" t="n"/>
      <c r="E675" s="54" t="n"/>
      <c r="F675" s="54" t="n"/>
      <c r="G675" s="54" t="n"/>
      <c r="H675" s="54" t="n"/>
      <c r="I675" s="54" t="n"/>
      <c r="J675" s="54" t="n"/>
      <c r="K675" s="54" t="n"/>
      <c r="L675" s="54" t="n"/>
      <c r="M675" s="54" t="n"/>
      <c r="N675" s="54" t="n"/>
      <c r="O675" s="54" t="n"/>
      <c r="P675" s="54" t="n"/>
      <c r="Q675" s="54" t="n"/>
      <c r="R675" s="54" t="n"/>
      <c r="S675" s="54" t="n"/>
      <c r="T675" s="54" t="n"/>
      <c r="U675" s="54" t="n"/>
      <c r="V675" s="54" t="n"/>
      <c r="W675" s="54" t="n"/>
      <c r="X675" s="54" t="n"/>
      <c r="Y675" s="54" t="n"/>
      <c r="Z675" s="54" t="n"/>
    </row>
    <row r="676" ht="15.75" customHeight="1" s="57">
      <c r="A676" s="54" t="n"/>
      <c r="B676" s="54" t="n"/>
      <c r="C676" s="54" t="n"/>
      <c r="D676" s="54" t="n"/>
      <c r="E676" s="54" t="n"/>
      <c r="F676" s="54" t="n"/>
      <c r="G676" s="54" t="n"/>
      <c r="H676" s="54" t="n"/>
      <c r="I676" s="54" t="n"/>
      <c r="J676" s="54" t="n"/>
      <c r="K676" s="54" t="n"/>
      <c r="L676" s="54" t="n"/>
      <c r="M676" s="54" t="n"/>
      <c r="N676" s="54" t="n"/>
      <c r="O676" s="54" t="n"/>
      <c r="P676" s="54" t="n"/>
      <c r="Q676" s="54" t="n"/>
      <c r="R676" s="54" t="n"/>
      <c r="S676" s="54" t="n"/>
      <c r="T676" s="54" t="n"/>
      <c r="U676" s="54" t="n"/>
      <c r="V676" s="54" t="n"/>
      <c r="W676" s="54" t="n"/>
      <c r="X676" s="54" t="n"/>
      <c r="Y676" s="54" t="n"/>
      <c r="Z676" s="54" t="n"/>
    </row>
    <row r="677" ht="15.75" customHeight="1" s="57">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row>
    <row r="678" ht="15.75" customHeight="1" s="57">
      <c r="A678" s="54" t="n"/>
      <c r="B678" s="54" t="n"/>
      <c r="C678" s="54" t="n"/>
      <c r="D678" s="54" t="n"/>
      <c r="E678" s="54" t="n"/>
      <c r="F678" s="54" t="n"/>
      <c r="G678" s="54" t="n"/>
      <c r="H678" s="54" t="n"/>
      <c r="I678" s="54" t="n"/>
      <c r="J678" s="54" t="n"/>
      <c r="K678" s="54" t="n"/>
      <c r="L678" s="54" t="n"/>
      <c r="M678" s="54" t="n"/>
      <c r="N678" s="54" t="n"/>
      <c r="O678" s="54" t="n"/>
      <c r="P678" s="54" t="n"/>
      <c r="Q678" s="54" t="n"/>
      <c r="R678" s="54" t="n"/>
      <c r="S678" s="54" t="n"/>
      <c r="T678" s="54" t="n"/>
      <c r="U678" s="54" t="n"/>
      <c r="V678" s="54" t="n"/>
      <c r="W678" s="54" t="n"/>
      <c r="X678" s="54" t="n"/>
      <c r="Y678" s="54" t="n"/>
      <c r="Z678" s="54" t="n"/>
    </row>
    <row r="679" ht="15.75" customHeight="1" s="57">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row>
    <row r="680" ht="15.75" customHeight="1" s="57">
      <c r="A680" s="54" t="n"/>
      <c r="B680" s="54" t="n"/>
      <c r="C680" s="54" t="n"/>
      <c r="D680" s="54" t="n"/>
      <c r="E680" s="54" t="n"/>
      <c r="F680" s="54" t="n"/>
      <c r="G680" s="54" t="n"/>
      <c r="H680" s="54" t="n"/>
      <c r="I680" s="54" t="n"/>
      <c r="J680" s="54" t="n"/>
      <c r="K680" s="54" t="n"/>
      <c r="L680" s="54" t="n"/>
      <c r="M680" s="54" t="n"/>
      <c r="N680" s="54" t="n"/>
      <c r="O680" s="54" t="n"/>
      <c r="P680" s="54" t="n"/>
      <c r="Q680" s="54" t="n"/>
      <c r="R680" s="54" t="n"/>
      <c r="S680" s="54" t="n"/>
      <c r="T680" s="54" t="n"/>
      <c r="U680" s="54" t="n"/>
      <c r="V680" s="54" t="n"/>
      <c r="W680" s="54" t="n"/>
      <c r="X680" s="54" t="n"/>
      <c r="Y680" s="54" t="n"/>
      <c r="Z680" s="54" t="n"/>
    </row>
    <row r="681" ht="15.75" customHeight="1" s="57">
      <c r="A681" s="54" t="n"/>
      <c r="B681" s="54" t="n"/>
      <c r="C681" s="54" t="n"/>
      <c r="D681" s="54" t="n"/>
      <c r="E681" s="54" t="n"/>
      <c r="F681" s="54" t="n"/>
      <c r="G681" s="54" t="n"/>
      <c r="H681" s="54" t="n"/>
      <c r="I681" s="54" t="n"/>
      <c r="J681" s="54" t="n"/>
      <c r="K681" s="54" t="n"/>
      <c r="L681" s="54" t="n"/>
      <c r="M681" s="54" t="n"/>
      <c r="N681" s="54" t="n"/>
      <c r="O681" s="54" t="n"/>
      <c r="P681" s="54" t="n"/>
      <c r="Q681" s="54" t="n"/>
      <c r="R681" s="54" t="n"/>
      <c r="S681" s="54" t="n"/>
      <c r="T681" s="54" t="n"/>
      <c r="U681" s="54" t="n"/>
      <c r="V681" s="54" t="n"/>
      <c r="W681" s="54" t="n"/>
      <c r="X681" s="54" t="n"/>
      <c r="Y681" s="54" t="n"/>
      <c r="Z681" s="54" t="n"/>
    </row>
    <row r="682" ht="15.75" customHeight="1" s="57">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row>
    <row r="683" ht="15.75" customHeight="1" s="57">
      <c r="A683" s="54" t="n"/>
      <c r="B683" s="54" t="n"/>
      <c r="C683" s="54" t="n"/>
      <c r="D683" s="54" t="n"/>
      <c r="E683" s="54" t="n"/>
      <c r="F683" s="54" t="n"/>
      <c r="G683" s="54" t="n"/>
      <c r="H683" s="54" t="n"/>
      <c r="I683" s="54" t="n"/>
      <c r="J683" s="54" t="n"/>
      <c r="K683" s="54" t="n"/>
      <c r="L683" s="54" t="n"/>
      <c r="M683" s="54" t="n"/>
      <c r="N683" s="54" t="n"/>
      <c r="O683" s="54" t="n"/>
      <c r="P683" s="54" t="n"/>
      <c r="Q683" s="54" t="n"/>
      <c r="R683" s="54" t="n"/>
      <c r="S683" s="54" t="n"/>
      <c r="T683" s="54" t="n"/>
      <c r="U683" s="54" t="n"/>
      <c r="V683" s="54" t="n"/>
      <c r="W683" s="54" t="n"/>
      <c r="X683" s="54" t="n"/>
      <c r="Y683" s="54" t="n"/>
      <c r="Z683" s="54" t="n"/>
    </row>
    <row r="684" ht="15.75" customHeight="1" s="57">
      <c r="A684" s="54" t="n"/>
      <c r="B684" s="54" t="n"/>
      <c r="C684" s="54" t="n"/>
      <c r="D684" s="54" t="n"/>
      <c r="E684" s="54" t="n"/>
      <c r="F684" s="54" t="n"/>
      <c r="G684" s="54" t="n"/>
      <c r="H684" s="54" t="n"/>
      <c r="I684" s="54" t="n"/>
      <c r="J684" s="54" t="n"/>
      <c r="K684" s="54" t="n"/>
      <c r="L684" s="54" t="n"/>
      <c r="M684" s="54" t="n"/>
      <c r="N684" s="54" t="n"/>
      <c r="O684" s="54" t="n"/>
      <c r="P684" s="54" t="n"/>
      <c r="Q684" s="54" t="n"/>
      <c r="R684" s="54" t="n"/>
      <c r="S684" s="54" t="n"/>
      <c r="T684" s="54" t="n"/>
      <c r="U684" s="54" t="n"/>
      <c r="V684" s="54" t="n"/>
      <c r="W684" s="54" t="n"/>
      <c r="X684" s="54" t="n"/>
      <c r="Y684" s="54" t="n"/>
      <c r="Z684" s="54" t="n"/>
    </row>
    <row r="685" ht="15.75" customHeight="1" s="57">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row>
    <row r="686" ht="15.75" customHeight="1" s="57">
      <c r="A686" s="54" t="n"/>
      <c r="B686" s="54" t="n"/>
      <c r="C686" s="54" t="n"/>
      <c r="D686" s="54" t="n"/>
      <c r="E686" s="54" t="n"/>
      <c r="F686" s="54" t="n"/>
      <c r="G686" s="54" t="n"/>
      <c r="H686" s="54" t="n"/>
      <c r="I686" s="54" t="n"/>
      <c r="J686" s="54" t="n"/>
      <c r="K686" s="54" t="n"/>
      <c r="L686" s="54" t="n"/>
      <c r="M686" s="54" t="n"/>
      <c r="N686" s="54" t="n"/>
      <c r="O686" s="54" t="n"/>
      <c r="P686" s="54" t="n"/>
      <c r="Q686" s="54" t="n"/>
      <c r="R686" s="54" t="n"/>
      <c r="S686" s="54" t="n"/>
      <c r="T686" s="54" t="n"/>
      <c r="U686" s="54" t="n"/>
      <c r="V686" s="54" t="n"/>
      <c r="W686" s="54" t="n"/>
      <c r="X686" s="54" t="n"/>
      <c r="Y686" s="54" t="n"/>
      <c r="Z686" s="54" t="n"/>
    </row>
    <row r="687" ht="15.75" customHeight="1" s="57">
      <c r="A687" s="54" t="n"/>
      <c r="B687" s="54" t="n"/>
      <c r="C687" s="54" t="n"/>
      <c r="D687" s="54" t="n"/>
      <c r="E687" s="54" t="n"/>
      <c r="F687" s="54" t="n"/>
      <c r="G687" s="54" t="n"/>
      <c r="H687" s="54" t="n"/>
      <c r="I687" s="54" t="n"/>
      <c r="J687" s="54" t="n"/>
      <c r="K687" s="54" t="n"/>
      <c r="L687" s="54" t="n"/>
      <c r="M687" s="54" t="n"/>
      <c r="N687" s="54" t="n"/>
      <c r="O687" s="54" t="n"/>
      <c r="P687" s="54" t="n"/>
      <c r="Q687" s="54" t="n"/>
      <c r="R687" s="54" t="n"/>
      <c r="S687" s="54" t="n"/>
      <c r="T687" s="54" t="n"/>
      <c r="U687" s="54" t="n"/>
      <c r="V687" s="54" t="n"/>
      <c r="W687" s="54" t="n"/>
      <c r="X687" s="54" t="n"/>
      <c r="Y687" s="54" t="n"/>
      <c r="Z687" s="54" t="n"/>
    </row>
    <row r="688" ht="15.75" customHeight="1" s="57">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row>
    <row r="689" ht="15.75" customHeight="1" s="57">
      <c r="A689" s="54" t="n"/>
      <c r="B689" s="54" t="n"/>
      <c r="C689" s="54" t="n"/>
      <c r="D689" s="54" t="n"/>
      <c r="E689" s="54" t="n"/>
      <c r="F689" s="54" t="n"/>
      <c r="G689" s="54" t="n"/>
      <c r="H689" s="54" t="n"/>
      <c r="I689" s="54" t="n"/>
      <c r="J689" s="54" t="n"/>
      <c r="K689" s="54" t="n"/>
      <c r="L689" s="54" t="n"/>
      <c r="M689" s="54" t="n"/>
      <c r="N689" s="54" t="n"/>
      <c r="O689" s="54" t="n"/>
      <c r="P689" s="54" t="n"/>
      <c r="Q689" s="54" t="n"/>
      <c r="R689" s="54" t="n"/>
      <c r="S689" s="54" t="n"/>
      <c r="T689" s="54" t="n"/>
      <c r="U689" s="54" t="n"/>
      <c r="V689" s="54" t="n"/>
      <c r="W689" s="54" t="n"/>
      <c r="X689" s="54" t="n"/>
      <c r="Y689" s="54" t="n"/>
      <c r="Z689" s="54" t="n"/>
    </row>
    <row r="690" ht="15.75" customHeight="1" s="57">
      <c r="A690" s="54" t="n"/>
      <c r="B690" s="54" t="n"/>
      <c r="C690" s="54" t="n"/>
      <c r="D690" s="54" t="n"/>
      <c r="E690" s="54" t="n"/>
      <c r="F690" s="54" t="n"/>
      <c r="G690" s="54" t="n"/>
      <c r="H690" s="54" t="n"/>
      <c r="I690" s="54" t="n"/>
      <c r="J690" s="54" t="n"/>
      <c r="K690" s="54" t="n"/>
      <c r="L690" s="54" t="n"/>
      <c r="M690" s="54" t="n"/>
      <c r="N690" s="54" t="n"/>
      <c r="O690" s="54" t="n"/>
      <c r="P690" s="54" t="n"/>
      <c r="Q690" s="54" t="n"/>
      <c r="R690" s="54" t="n"/>
      <c r="S690" s="54" t="n"/>
      <c r="T690" s="54" t="n"/>
      <c r="U690" s="54" t="n"/>
      <c r="V690" s="54" t="n"/>
      <c r="W690" s="54" t="n"/>
      <c r="X690" s="54" t="n"/>
      <c r="Y690" s="54" t="n"/>
      <c r="Z690" s="54" t="n"/>
    </row>
    <row r="691" ht="15.75" customHeight="1" s="57">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row>
    <row r="692" ht="15.75" customHeight="1" s="57">
      <c r="A692" s="54" t="n"/>
      <c r="B692" s="54" t="n"/>
      <c r="C692" s="54" t="n"/>
      <c r="D692" s="54" t="n"/>
      <c r="E692" s="54" t="n"/>
      <c r="F692" s="54" t="n"/>
      <c r="G692" s="54" t="n"/>
      <c r="H692" s="54" t="n"/>
      <c r="I692" s="54" t="n"/>
      <c r="J692" s="54" t="n"/>
      <c r="K692" s="54" t="n"/>
      <c r="L692" s="54" t="n"/>
      <c r="M692" s="54" t="n"/>
      <c r="N692" s="54" t="n"/>
      <c r="O692" s="54" t="n"/>
      <c r="P692" s="54" t="n"/>
      <c r="Q692" s="54" t="n"/>
      <c r="R692" s="54" t="n"/>
      <c r="S692" s="54" t="n"/>
      <c r="T692" s="54" t="n"/>
      <c r="U692" s="54" t="n"/>
      <c r="V692" s="54" t="n"/>
      <c r="W692" s="54" t="n"/>
      <c r="X692" s="54" t="n"/>
      <c r="Y692" s="54" t="n"/>
      <c r="Z692" s="54" t="n"/>
    </row>
    <row r="693" ht="15.75" customHeight="1" s="57">
      <c r="A693" s="54" t="n"/>
      <c r="B693" s="54" t="n"/>
      <c r="C693" s="54" t="n"/>
      <c r="D693" s="54" t="n"/>
      <c r="E693" s="54" t="n"/>
      <c r="F693" s="54" t="n"/>
      <c r="G693" s="54" t="n"/>
      <c r="H693" s="54" t="n"/>
      <c r="I693" s="54" t="n"/>
      <c r="J693" s="54" t="n"/>
      <c r="K693" s="54" t="n"/>
      <c r="L693" s="54" t="n"/>
      <c r="M693" s="54" t="n"/>
      <c r="N693" s="54" t="n"/>
      <c r="O693" s="54" t="n"/>
      <c r="P693" s="54" t="n"/>
      <c r="Q693" s="54" t="n"/>
      <c r="R693" s="54" t="n"/>
      <c r="S693" s="54" t="n"/>
      <c r="T693" s="54" t="n"/>
      <c r="U693" s="54" t="n"/>
      <c r="V693" s="54" t="n"/>
      <c r="W693" s="54" t="n"/>
      <c r="X693" s="54" t="n"/>
      <c r="Y693" s="54" t="n"/>
      <c r="Z693" s="54" t="n"/>
    </row>
    <row r="694" ht="15.75" customHeight="1" s="57">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row>
    <row r="695" ht="15.75" customHeight="1" s="57">
      <c r="A695" s="54" t="n"/>
      <c r="B695" s="54" t="n"/>
      <c r="C695" s="54" t="n"/>
      <c r="D695" s="54" t="n"/>
      <c r="E695" s="54" t="n"/>
      <c r="F695" s="54" t="n"/>
      <c r="G695" s="54" t="n"/>
      <c r="H695" s="54" t="n"/>
      <c r="I695" s="54" t="n"/>
      <c r="J695" s="54" t="n"/>
      <c r="K695" s="54" t="n"/>
      <c r="L695" s="54" t="n"/>
      <c r="M695" s="54" t="n"/>
      <c r="N695" s="54" t="n"/>
      <c r="O695" s="54" t="n"/>
      <c r="P695" s="54" t="n"/>
      <c r="Q695" s="54" t="n"/>
      <c r="R695" s="54" t="n"/>
      <c r="S695" s="54" t="n"/>
      <c r="T695" s="54" t="n"/>
      <c r="U695" s="54" t="n"/>
      <c r="V695" s="54" t="n"/>
      <c r="W695" s="54" t="n"/>
      <c r="X695" s="54" t="n"/>
      <c r="Y695" s="54" t="n"/>
      <c r="Z695" s="54" t="n"/>
    </row>
    <row r="696" ht="15.75" customHeight="1" s="57">
      <c r="A696" s="54" t="n"/>
      <c r="B696" s="54" t="n"/>
      <c r="C696" s="54" t="n"/>
      <c r="D696" s="54" t="n"/>
      <c r="E696" s="54" t="n"/>
      <c r="F696" s="54" t="n"/>
      <c r="G696" s="54" t="n"/>
      <c r="H696" s="54" t="n"/>
      <c r="I696" s="54" t="n"/>
      <c r="J696" s="54" t="n"/>
      <c r="K696" s="54" t="n"/>
      <c r="L696" s="54" t="n"/>
      <c r="M696" s="54" t="n"/>
      <c r="N696" s="54" t="n"/>
      <c r="O696" s="54" t="n"/>
      <c r="P696" s="54" t="n"/>
      <c r="Q696" s="54" t="n"/>
      <c r="R696" s="54" t="n"/>
      <c r="S696" s="54" t="n"/>
      <c r="T696" s="54" t="n"/>
      <c r="U696" s="54" t="n"/>
      <c r="V696" s="54" t="n"/>
      <c r="W696" s="54" t="n"/>
      <c r="X696" s="54" t="n"/>
      <c r="Y696" s="54" t="n"/>
      <c r="Z696" s="54" t="n"/>
    </row>
    <row r="697" ht="15.75" customHeight="1" s="57">
      <c r="A697" s="54" t="n"/>
      <c r="B697" s="54" t="n"/>
      <c r="C697" s="54" t="n"/>
      <c r="D697" s="54" t="n"/>
      <c r="E697" s="54" t="n"/>
      <c r="F697" s="54" t="n"/>
      <c r="G697" s="54" t="n"/>
      <c r="H697" s="54" t="n"/>
      <c r="I697" s="54" t="n"/>
      <c r="J697" s="54" t="n"/>
      <c r="K697" s="54" t="n"/>
      <c r="L697" s="54" t="n"/>
      <c r="M697" s="54" t="n"/>
      <c r="N697" s="54" t="n"/>
      <c r="O697" s="54" t="n"/>
      <c r="P697" s="54" t="n"/>
      <c r="Q697" s="54" t="n"/>
      <c r="R697" s="54" t="n"/>
      <c r="S697" s="54" t="n"/>
      <c r="T697" s="54" t="n"/>
      <c r="U697" s="54" t="n"/>
      <c r="V697" s="54" t="n"/>
      <c r="W697" s="54" t="n"/>
      <c r="X697" s="54" t="n"/>
      <c r="Y697" s="54" t="n"/>
      <c r="Z697" s="54" t="n"/>
    </row>
    <row r="698" ht="15.75" customHeight="1" s="57">
      <c r="A698" s="54" t="n"/>
      <c r="B698" s="54" t="n"/>
      <c r="C698" s="54" t="n"/>
      <c r="D698" s="54" t="n"/>
      <c r="E698" s="54" t="n"/>
      <c r="F698" s="54" t="n"/>
      <c r="G698" s="54" t="n"/>
      <c r="H698" s="54" t="n"/>
      <c r="I698" s="54" t="n"/>
      <c r="J698" s="54" t="n"/>
      <c r="K698" s="54" t="n"/>
      <c r="L698" s="54" t="n"/>
      <c r="M698" s="54" t="n"/>
      <c r="N698" s="54" t="n"/>
      <c r="O698" s="54" t="n"/>
      <c r="P698" s="54" t="n"/>
      <c r="Q698" s="54" t="n"/>
      <c r="R698" s="54" t="n"/>
      <c r="S698" s="54" t="n"/>
      <c r="T698" s="54" t="n"/>
      <c r="U698" s="54" t="n"/>
      <c r="V698" s="54" t="n"/>
      <c r="W698" s="54" t="n"/>
      <c r="X698" s="54" t="n"/>
      <c r="Y698" s="54" t="n"/>
      <c r="Z698" s="54" t="n"/>
    </row>
    <row r="699" ht="15.75" customHeight="1" s="57">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row>
    <row r="700" ht="15.75" customHeight="1" s="57">
      <c r="A700" s="54" t="n"/>
      <c r="B700" s="54" t="n"/>
      <c r="C700" s="54" t="n"/>
      <c r="D700" s="54" t="n"/>
      <c r="E700" s="54" t="n"/>
      <c r="F700" s="54" t="n"/>
      <c r="G700" s="54" t="n"/>
      <c r="H700" s="54" t="n"/>
      <c r="I700" s="54" t="n"/>
      <c r="J700" s="54" t="n"/>
      <c r="K700" s="54" t="n"/>
      <c r="L700" s="54" t="n"/>
      <c r="M700" s="54" t="n"/>
      <c r="N700" s="54" t="n"/>
      <c r="O700" s="54" t="n"/>
      <c r="P700" s="54" t="n"/>
      <c r="Q700" s="54" t="n"/>
      <c r="R700" s="54" t="n"/>
      <c r="S700" s="54" t="n"/>
      <c r="T700" s="54" t="n"/>
      <c r="U700" s="54" t="n"/>
      <c r="V700" s="54" t="n"/>
      <c r="W700" s="54" t="n"/>
      <c r="X700" s="54" t="n"/>
      <c r="Y700" s="54" t="n"/>
      <c r="Z700" s="54" t="n"/>
    </row>
    <row r="701" ht="15.75" customHeight="1" s="57">
      <c r="A701" s="54" t="n"/>
      <c r="B701" s="54" t="n"/>
      <c r="C701" s="54" t="n"/>
      <c r="D701" s="54" t="n"/>
      <c r="E701" s="54" t="n"/>
      <c r="F701" s="54" t="n"/>
      <c r="G701" s="54" t="n"/>
      <c r="H701" s="54" t="n"/>
      <c r="I701" s="54" t="n"/>
      <c r="J701" s="54" t="n"/>
      <c r="K701" s="54" t="n"/>
      <c r="L701" s="54" t="n"/>
      <c r="M701" s="54" t="n"/>
      <c r="N701" s="54" t="n"/>
      <c r="O701" s="54" t="n"/>
      <c r="P701" s="54" t="n"/>
      <c r="Q701" s="54" t="n"/>
      <c r="R701" s="54" t="n"/>
      <c r="S701" s="54" t="n"/>
      <c r="T701" s="54" t="n"/>
      <c r="U701" s="54" t="n"/>
      <c r="V701" s="54" t="n"/>
      <c r="W701" s="54" t="n"/>
      <c r="X701" s="54" t="n"/>
      <c r="Y701" s="54" t="n"/>
      <c r="Z701" s="54" t="n"/>
    </row>
    <row r="702" ht="15.75" customHeight="1" s="57">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row>
    <row r="703" ht="15.75" customHeight="1" s="57">
      <c r="A703" s="54" t="n"/>
      <c r="B703" s="54" t="n"/>
      <c r="C703" s="54" t="n"/>
      <c r="D703" s="54" t="n"/>
      <c r="E703" s="54" t="n"/>
      <c r="F703" s="54" t="n"/>
      <c r="G703" s="54" t="n"/>
      <c r="H703" s="54" t="n"/>
      <c r="I703" s="54" t="n"/>
      <c r="J703" s="54" t="n"/>
      <c r="K703" s="54" t="n"/>
      <c r="L703" s="54" t="n"/>
      <c r="M703" s="54" t="n"/>
      <c r="N703" s="54" t="n"/>
      <c r="O703" s="54" t="n"/>
      <c r="P703" s="54" t="n"/>
      <c r="Q703" s="54" t="n"/>
      <c r="R703" s="54" t="n"/>
      <c r="S703" s="54" t="n"/>
      <c r="T703" s="54" t="n"/>
      <c r="U703" s="54" t="n"/>
      <c r="V703" s="54" t="n"/>
      <c r="W703" s="54" t="n"/>
      <c r="X703" s="54" t="n"/>
      <c r="Y703" s="54" t="n"/>
      <c r="Z703" s="54" t="n"/>
    </row>
    <row r="704" ht="15.75" customHeight="1" s="57">
      <c r="A704" s="54" t="n"/>
      <c r="B704" s="54" t="n"/>
      <c r="C704" s="54" t="n"/>
      <c r="D704" s="54" t="n"/>
      <c r="E704" s="54" t="n"/>
      <c r="F704" s="54" t="n"/>
      <c r="G704" s="54" t="n"/>
      <c r="H704" s="54" t="n"/>
      <c r="I704" s="54" t="n"/>
      <c r="J704" s="54" t="n"/>
      <c r="K704" s="54" t="n"/>
      <c r="L704" s="54" t="n"/>
      <c r="M704" s="54" t="n"/>
      <c r="N704" s="54" t="n"/>
      <c r="O704" s="54" t="n"/>
      <c r="P704" s="54" t="n"/>
      <c r="Q704" s="54" t="n"/>
      <c r="R704" s="54" t="n"/>
      <c r="S704" s="54" t="n"/>
      <c r="T704" s="54" t="n"/>
      <c r="U704" s="54" t="n"/>
      <c r="V704" s="54" t="n"/>
      <c r="W704" s="54" t="n"/>
      <c r="X704" s="54" t="n"/>
      <c r="Y704" s="54" t="n"/>
      <c r="Z704" s="54" t="n"/>
    </row>
    <row r="705" ht="15.75" customHeight="1" s="57">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row>
    <row r="706" ht="15.75" customHeight="1" s="57">
      <c r="A706" s="54" t="n"/>
      <c r="B706" s="54" t="n"/>
      <c r="C706" s="54" t="n"/>
      <c r="D706" s="54" t="n"/>
      <c r="E706" s="54" t="n"/>
      <c r="F706" s="54" t="n"/>
      <c r="G706" s="54" t="n"/>
      <c r="H706" s="54" t="n"/>
      <c r="I706" s="54" t="n"/>
      <c r="J706" s="54" t="n"/>
      <c r="K706" s="54" t="n"/>
      <c r="L706" s="54" t="n"/>
      <c r="M706" s="54" t="n"/>
      <c r="N706" s="54" t="n"/>
      <c r="O706" s="54" t="n"/>
      <c r="P706" s="54" t="n"/>
      <c r="Q706" s="54" t="n"/>
      <c r="R706" s="54" t="n"/>
      <c r="S706" s="54" t="n"/>
      <c r="T706" s="54" t="n"/>
      <c r="U706" s="54" t="n"/>
      <c r="V706" s="54" t="n"/>
      <c r="W706" s="54" t="n"/>
      <c r="X706" s="54" t="n"/>
      <c r="Y706" s="54" t="n"/>
      <c r="Z706" s="54" t="n"/>
    </row>
    <row r="707" ht="15.75" customHeight="1" s="57">
      <c r="A707" s="54" t="n"/>
      <c r="B707" s="54" t="n"/>
      <c r="C707" s="54" t="n"/>
      <c r="D707" s="54" t="n"/>
      <c r="E707" s="54" t="n"/>
      <c r="F707" s="54" t="n"/>
      <c r="G707" s="54" t="n"/>
      <c r="H707" s="54" t="n"/>
      <c r="I707" s="54" t="n"/>
      <c r="J707" s="54" t="n"/>
      <c r="K707" s="54" t="n"/>
      <c r="L707" s="54" t="n"/>
      <c r="M707" s="54" t="n"/>
      <c r="N707" s="54" t="n"/>
      <c r="O707" s="54" t="n"/>
      <c r="P707" s="54" t="n"/>
      <c r="Q707" s="54" t="n"/>
      <c r="R707" s="54" t="n"/>
      <c r="S707" s="54" t="n"/>
      <c r="T707" s="54" t="n"/>
      <c r="U707" s="54" t="n"/>
      <c r="V707" s="54" t="n"/>
      <c r="W707" s="54" t="n"/>
      <c r="X707" s="54" t="n"/>
      <c r="Y707" s="54" t="n"/>
      <c r="Z707" s="54" t="n"/>
    </row>
    <row r="708" ht="15.75" customHeight="1" s="57">
      <c r="A708" s="54" t="n"/>
      <c r="B708" s="54" t="n"/>
      <c r="C708" s="54" t="n"/>
      <c r="D708" s="54" t="n"/>
      <c r="E708" s="54" t="n"/>
      <c r="F708" s="54" t="n"/>
      <c r="G708" s="54" t="n"/>
      <c r="H708" s="54" t="n"/>
      <c r="I708" s="54" t="n"/>
      <c r="J708" s="54" t="n"/>
      <c r="K708" s="54" t="n"/>
      <c r="L708" s="54" t="n"/>
      <c r="M708" s="54" t="n"/>
      <c r="N708" s="54" t="n"/>
      <c r="O708" s="54" t="n"/>
      <c r="P708" s="54" t="n"/>
      <c r="Q708" s="54" t="n"/>
      <c r="R708" s="54" t="n"/>
      <c r="S708" s="54" t="n"/>
      <c r="T708" s="54" t="n"/>
      <c r="U708" s="54" t="n"/>
      <c r="V708" s="54" t="n"/>
      <c r="W708" s="54" t="n"/>
      <c r="X708" s="54" t="n"/>
      <c r="Y708" s="54" t="n"/>
      <c r="Z708" s="54" t="n"/>
    </row>
    <row r="709" ht="15.75" customHeight="1" s="57">
      <c r="A709" s="54" t="n"/>
      <c r="B709" s="54" t="n"/>
      <c r="C709" s="54" t="n"/>
      <c r="D709" s="54" t="n"/>
      <c r="E709" s="54" t="n"/>
      <c r="F709" s="54" t="n"/>
      <c r="G709" s="54" t="n"/>
      <c r="H709" s="54" t="n"/>
      <c r="I709" s="54" t="n"/>
      <c r="J709" s="54" t="n"/>
      <c r="K709" s="54" t="n"/>
      <c r="L709" s="54" t="n"/>
      <c r="M709" s="54" t="n"/>
      <c r="N709" s="54" t="n"/>
      <c r="O709" s="54" t="n"/>
      <c r="P709" s="54" t="n"/>
      <c r="Q709" s="54" t="n"/>
      <c r="R709" s="54" t="n"/>
      <c r="S709" s="54" t="n"/>
      <c r="T709" s="54" t="n"/>
      <c r="U709" s="54" t="n"/>
      <c r="V709" s="54" t="n"/>
      <c r="W709" s="54" t="n"/>
      <c r="X709" s="54" t="n"/>
      <c r="Y709" s="54" t="n"/>
      <c r="Z709" s="54" t="n"/>
    </row>
    <row r="710" ht="15.75" customHeight="1" s="57">
      <c r="A710" s="54" t="n"/>
      <c r="B710" s="54" t="n"/>
      <c r="C710" s="54" t="n"/>
      <c r="D710" s="54" t="n"/>
      <c r="E710" s="54" t="n"/>
      <c r="F710" s="54" t="n"/>
      <c r="G710" s="54" t="n"/>
      <c r="H710" s="54" t="n"/>
      <c r="I710" s="54" t="n"/>
      <c r="J710" s="54" t="n"/>
      <c r="K710" s="54" t="n"/>
      <c r="L710" s="54" t="n"/>
      <c r="M710" s="54" t="n"/>
      <c r="N710" s="54" t="n"/>
      <c r="O710" s="54" t="n"/>
      <c r="P710" s="54" t="n"/>
      <c r="Q710" s="54" t="n"/>
      <c r="R710" s="54" t="n"/>
      <c r="S710" s="54" t="n"/>
      <c r="T710" s="54" t="n"/>
      <c r="U710" s="54" t="n"/>
      <c r="V710" s="54" t="n"/>
      <c r="W710" s="54" t="n"/>
      <c r="X710" s="54" t="n"/>
      <c r="Y710" s="54" t="n"/>
      <c r="Z710" s="54" t="n"/>
    </row>
    <row r="711" ht="15.75" customHeight="1" s="57">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row>
    <row r="712" ht="15.75" customHeight="1" s="57">
      <c r="A712" s="54" t="n"/>
      <c r="B712" s="54" t="n"/>
      <c r="C712" s="54" t="n"/>
      <c r="D712" s="54" t="n"/>
      <c r="E712" s="54" t="n"/>
      <c r="F712" s="54" t="n"/>
      <c r="G712" s="54" t="n"/>
      <c r="H712" s="54" t="n"/>
      <c r="I712" s="54" t="n"/>
      <c r="J712" s="54" t="n"/>
      <c r="K712" s="54" t="n"/>
      <c r="L712" s="54" t="n"/>
      <c r="M712" s="54" t="n"/>
      <c r="N712" s="54" t="n"/>
      <c r="O712" s="54" t="n"/>
      <c r="P712" s="54" t="n"/>
      <c r="Q712" s="54" t="n"/>
      <c r="R712" s="54" t="n"/>
      <c r="S712" s="54" t="n"/>
      <c r="T712" s="54" t="n"/>
      <c r="U712" s="54" t="n"/>
      <c r="V712" s="54" t="n"/>
      <c r="W712" s="54" t="n"/>
      <c r="X712" s="54" t="n"/>
      <c r="Y712" s="54" t="n"/>
      <c r="Z712" s="54" t="n"/>
    </row>
    <row r="713" ht="15.75" customHeight="1" s="57">
      <c r="A713" s="54" t="n"/>
      <c r="B713" s="54" t="n"/>
      <c r="C713" s="54" t="n"/>
      <c r="D713" s="54" t="n"/>
      <c r="E713" s="54" t="n"/>
      <c r="F713" s="54" t="n"/>
      <c r="G713" s="54" t="n"/>
      <c r="H713" s="54" t="n"/>
      <c r="I713" s="54" t="n"/>
      <c r="J713" s="54" t="n"/>
      <c r="K713" s="54" t="n"/>
      <c r="L713" s="54" t="n"/>
      <c r="M713" s="54" t="n"/>
      <c r="N713" s="54" t="n"/>
      <c r="O713" s="54" t="n"/>
      <c r="P713" s="54" t="n"/>
      <c r="Q713" s="54" t="n"/>
      <c r="R713" s="54" t="n"/>
      <c r="S713" s="54" t="n"/>
      <c r="T713" s="54" t="n"/>
      <c r="U713" s="54" t="n"/>
      <c r="V713" s="54" t="n"/>
      <c r="W713" s="54" t="n"/>
      <c r="X713" s="54" t="n"/>
      <c r="Y713" s="54" t="n"/>
      <c r="Z713" s="54" t="n"/>
    </row>
    <row r="714" ht="15.75" customHeight="1" s="57">
      <c r="A714" s="54" t="n"/>
      <c r="B714" s="54" t="n"/>
      <c r="C714" s="54" t="n"/>
      <c r="D714" s="54" t="n"/>
      <c r="E714" s="54" t="n"/>
      <c r="F714" s="54" t="n"/>
      <c r="G714" s="54" t="n"/>
      <c r="H714" s="54" t="n"/>
      <c r="I714" s="54" t="n"/>
      <c r="J714" s="54" t="n"/>
      <c r="K714" s="54" t="n"/>
      <c r="L714" s="54" t="n"/>
      <c r="M714" s="54" t="n"/>
      <c r="N714" s="54" t="n"/>
      <c r="O714" s="54" t="n"/>
      <c r="P714" s="54" t="n"/>
      <c r="Q714" s="54" t="n"/>
      <c r="R714" s="54" t="n"/>
      <c r="S714" s="54" t="n"/>
      <c r="T714" s="54" t="n"/>
      <c r="U714" s="54" t="n"/>
      <c r="V714" s="54" t="n"/>
      <c r="W714" s="54" t="n"/>
      <c r="X714" s="54" t="n"/>
      <c r="Y714" s="54" t="n"/>
      <c r="Z714" s="54" t="n"/>
    </row>
    <row r="715" ht="15.75" customHeight="1" s="57">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row>
    <row r="716" ht="15.75" customHeight="1" s="57">
      <c r="A716" s="54" t="n"/>
      <c r="B716" s="54" t="n"/>
      <c r="C716" s="54" t="n"/>
      <c r="D716" s="54" t="n"/>
      <c r="E716" s="54" t="n"/>
      <c r="F716" s="54" t="n"/>
      <c r="G716" s="54" t="n"/>
      <c r="H716" s="54" t="n"/>
      <c r="I716" s="54" t="n"/>
      <c r="J716" s="54" t="n"/>
      <c r="K716" s="54" t="n"/>
      <c r="L716" s="54" t="n"/>
      <c r="M716" s="54" t="n"/>
      <c r="N716" s="54" t="n"/>
      <c r="O716" s="54" t="n"/>
      <c r="P716" s="54" t="n"/>
      <c r="Q716" s="54" t="n"/>
      <c r="R716" s="54" t="n"/>
      <c r="S716" s="54" t="n"/>
      <c r="T716" s="54" t="n"/>
      <c r="U716" s="54" t="n"/>
      <c r="V716" s="54" t="n"/>
      <c r="W716" s="54" t="n"/>
      <c r="X716" s="54" t="n"/>
      <c r="Y716" s="54" t="n"/>
      <c r="Z716" s="54" t="n"/>
    </row>
    <row r="717" ht="15.75" customHeight="1" s="57">
      <c r="A717" s="54" t="n"/>
      <c r="B717" s="54" t="n"/>
      <c r="C717" s="54" t="n"/>
      <c r="D717" s="54" t="n"/>
      <c r="E717" s="54" t="n"/>
      <c r="F717" s="54" t="n"/>
      <c r="G717" s="54" t="n"/>
      <c r="H717" s="54" t="n"/>
      <c r="I717" s="54" t="n"/>
      <c r="J717" s="54" t="n"/>
      <c r="K717" s="54" t="n"/>
      <c r="L717" s="54" t="n"/>
      <c r="M717" s="54" t="n"/>
      <c r="N717" s="54" t="n"/>
      <c r="O717" s="54" t="n"/>
      <c r="P717" s="54" t="n"/>
      <c r="Q717" s="54" t="n"/>
      <c r="R717" s="54" t="n"/>
      <c r="S717" s="54" t="n"/>
      <c r="T717" s="54" t="n"/>
      <c r="U717" s="54" t="n"/>
      <c r="V717" s="54" t="n"/>
      <c r="W717" s="54" t="n"/>
      <c r="X717" s="54" t="n"/>
      <c r="Y717" s="54" t="n"/>
      <c r="Z717" s="54" t="n"/>
    </row>
    <row r="718" ht="15.75" customHeight="1" s="57">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row>
    <row r="719" ht="15.75" customHeight="1" s="57">
      <c r="A719" s="54" t="n"/>
      <c r="B719" s="54" t="n"/>
      <c r="C719" s="54" t="n"/>
      <c r="D719" s="54" t="n"/>
      <c r="E719" s="54" t="n"/>
      <c r="F719" s="54" t="n"/>
      <c r="G719" s="54" t="n"/>
      <c r="H719" s="54" t="n"/>
      <c r="I719" s="54" t="n"/>
      <c r="J719" s="54" t="n"/>
      <c r="K719" s="54" t="n"/>
      <c r="L719" s="54" t="n"/>
      <c r="M719" s="54" t="n"/>
      <c r="N719" s="54" t="n"/>
      <c r="O719" s="54" t="n"/>
      <c r="P719" s="54" t="n"/>
      <c r="Q719" s="54" t="n"/>
      <c r="R719" s="54" t="n"/>
      <c r="S719" s="54" t="n"/>
      <c r="T719" s="54" t="n"/>
      <c r="U719" s="54" t="n"/>
      <c r="V719" s="54" t="n"/>
      <c r="W719" s="54" t="n"/>
      <c r="X719" s="54" t="n"/>
      <c r="Y719" s="54" t="n"/>
      <c r="Z719" s="54" t="n"/>
    </row>
    <row r="720" ht="15.75" customHeight="1" s="57">
      <c r="A720" s="54" t="n"/>
      <c r="B720" s="54" t="n"/>
      <c r="C720" s="54" t="n"/>
      <c r="D720" s="54" t="n"/>
      <c r="E720" s="54" t="n"/>
      <c r="F720" s="54" t="n"/>
      <c r="G720" s="54" t="n"/>
      <c r="H720" s="54" t="n"/>
      <c r="I720" s="54" t="n"/>
      <c r="J720" s="54" t="n"/>
      <c r="K720" s="54" t="n"/>
      <c r="L720" s="54" t="n"/>
      <c r="M720" s="54" t="n"/>
      <c r="N720" s="54" t="n"/>
      <c r="O720" s="54" t="n"/>
      <c r="P720" s="54" t="n"/>
      <c r="Q720" s="54" t="n"/>
      <c r="R720" s="54" t="n"/>
      <c r="S720" s="54" t="n"/>
      <c r="T720" s="54" t="n"/>
      <c r="U720" s="54" t="n"/>
      <c r="V720" s="54" t="n"/>
      <c r="W720" s="54" t="n"/>
      <c r="X720" s="54" t="n"/>
      <c r="Y720" s="54" t="n"/>
      <c r="Z720" s="54" t="n"/>
    </row>
    <row r="721" ht="15.75" customHeight="1" s="57">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row>
    <row r="722" ht="15.75" customHeight="1" s="57">
      <c r="A722" s="54" t="n"/>
      <c r="B722" s="54" t="n"/>
      <c r="C722" s="54" t="n"/>
      <c r="D722" s="54" t="n"/>
      <c r="E722" s="54" t="n"/>
      <c r="F722" s="54" t="n"/>
      <c r="G722" s="54" t="n"/>
      <c r="H722" s="54" t="n"/>
      <c r="I722" s="54" t="n"/>
      <c r="J722" s="54" t="n"/>
      <c r="K722" s="54" t="n"/>
      <c r="L722" s="54" t="n"/>
      <c r="M722" s="54" t="n"/>
      <c r="N722" s="54" t="n"/>
      <c r="O722" s="54" t="n"/>
      <c r="P722" s="54" t="n"/>
      <c r="Q722" s="54" t="n"/>
      <c r="R722" s="54" t="n"/>
      <c r="S722" s="54" t="n"/>
      <c r="T722" s="54" t="n"/>
      <c r="U722" s="54" t="n"/>
      <c r="V722" s="54" t="n"/>
      <c r="W722" s="54" t="n"/>
      <c r="X722" s="54" t="n"/>
      <c r="Y722" s="54" t="n"/>
      <c r="Z722" s="54" t="n"/>
    </row>
    <row r="723" ht="15.75" customHeight="1" s="57">
      <c r="A723" s="54" t="n"/>
      <c r="B723" s="54" t="n"/>
      <c r="C723" s="54" t="n"/>
      <c r="D723" s="54" t="n"/>
      <c r="E723" s="54" t="n"/>
      <c r="F723" s="54" t="n"/>
      <c r="G723" s="54" t="n"/>
      <c r="H723" s="54" t="n"/>
      <c r="I723" s="54" t="n"/>
      <c r="J723" s="54" t="n"/>
      <c r="K723" s="54" t="n"/>
      <c r="L723" s="54" t="n"/>
      <c r="M723" s="54" t="n"/>
      <c r="N723" s="54" t="n"/>
      <c r="O723" s="54" t="n"/>
      <c r="P723" s="54" t="n"/>
      <c r="Q723" s="54" t="n"/>
      <c r="R723" s="54" t="n"/>
      <c r="S723" s="54" t="n"/>
      <c r="T723" s="54" t="n"/>
      <c r="U723" s="54" t="n"/>
      <c r="V723" s="54" t="n"/>
      <c r="W723" s="54" t="n"/>
      <c r="X723" s="54" t="n"/>
      <c r="Y723" s="54" t="n"/>
      <c r="Z723" s="54" t="n"/>
    </row>
    <row r="724" ht="15.75" customHeight="1" s="57">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row>
    <row r="725" ht="15.75" customHeight="1" s="57">
      <c r="A725" s="54" t="n"/>
      <c r="B725" s="54" t="n"/>
      <c r="C725" s="54" t="n"/>
      <c r="D725" s="54" t="n"/>
      <c r="E725" s="54" t="n"/>
      <c r="F725" s="54" t="n"/>
      <c r="G725" s="54" t="n"/>
      <c r="H725" s="54" t="n"/>
      <c r="I725" s="54" t="n"/>
      <c r="J725" s="54" t="n"/>
      <c r="K725" s="54" t="n"/>
      <c r="L725" s="54" t="n"/>
      <c r="M725" s="54" t="n"/>
      <c r="N725" s="54" t="n"/>
      <c r="O725" s="54" t="n"/>
      <c r="P725" s="54" t="n"/>
      <c r="Q725" s="54" t="n"/>
      <c r="R725" s="54" t="n"/>
      <c r="S725" s="54" t="n"/>
      <c r="T725" s="54" t="n"/>
      <c r="U725" s="54" t="n"/>
      <c r="V725" s="54" t="n"/>
      <c r="W725" s="54" t="n"/>
      <c r="X725" s="54" t="n"/>
      <c r="Y725" s="54" t="n"/>
      <c r="Z725" s="54" t="n"/>
    </row>
    <row r="726" ht="15.75" customHeight="1" s="57">
      <c r="A726" s="54" t="n"/>
      <c r="B726" s="54" t="n"/>
      <c r="C726" s="54" t="n"/>
      <c r="D726" s="54" t="n"/>
      <c r="E726" s="54" t="n"/>
      <c r="F726" s="54" t="n"/>
      <c r="G726" s="54" t="n"/>
      <c r="H726" s="54" t="n"/>
      <c r="I726" s="54" t="n"/>
      <c r="J726" s="54" t="n"/>
      <c r="K726" s="54" t="n"/>
      <c r="L726" s="54" t="n"/>
      <c r="M726" s="54" t="n"/>
      <c r="N726" s="54" t="n"/>
      <c r="O726" s="54" t="n"/>
      <c r="P726" s="54" t="n"/>
      <c r="Q726" s="54" t="n"/>
      <c r="R726" s="54" t="n"/>
      <c r="S726" s="54" t="n"/>
      <c r="T726" s="54" t="n"/>
      <c r="U726" s="54" t="n"/>
      <c r="V726" s="54" t="n"/>
      <c r="W726" s="54" t="n"/>
      <c r="X726" s="54" t="n"/>
      <c r="Y726" s="54" t="n"/>
      <c r="Z726" s="54" t="n"/>
    </row>
    <row r="727" ht="15.75" customHeight="1" s="57">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row>
    <row r="728" ht="15.75" customHeight="1" s="57">
      <c r="A728" s="54" t="n"/>
      <c r="B728" s="54" t="n"/>
      <c r="C728" s="54" t="n"/>
      <c r="D728" s="54" t="n"/>
      <c r="E728" s="54" t="n"/>
      <c r="F728" s="54" t="n"/>
      <c r="G728" s="54" t="n"/>
      <c r="H728" s="54" t="n"/>
      <c r="I728" s="54" t="n"/>
      <c r="J728" s="54" t="n"/>
      <c r="K728" s="54" t="n"/>
      <c r="L728" s="54" t="n"/>
      <c r="M728" s="54" t="n"/>
      <c r="N728" s="54" t="n"/>
      <c r="O728" s="54" t="n"/>
      <c r="P728" s="54" t="n"/>
      <c r="Q728" s="54" t="n"/>
      <c r="R728" s="54" t="n"/>
      <c r="S728" s="54" t="n"/>
      <c r="T728" s="54" t="n"/>
      <c r="U728" s="54" t="n"/>
      <c r="V728" s="54" t="n"/>
      <c r="W728" s="54" t="n"/>
      <c r="X728" s="54" t="n"/>
      <c r="Y728" s="54" t="n"/>
      <c r="Z728" s="54" t="n"/>
    </row>
    <row r="729" ht="15.75" customHeight="1" s="57">
      <c r="A729" s="54" t="n"/>
      <c r="B729" s="54" t="n"/>
      <c r="C729" s="54" t="n"/>
      <c r="D729" s="54" t="n"/>
      <c r="E729" s="54" t="n"/>
      <c r="F729" s="54" t="n"/>
      <c r="G729" s="54" t="n"/>
      <c r="H729" s="54" t="n"/>
      <c r="I729" s="54" t="n"/>
      <c r="J729" s="54" t="n"/>
      <c r="K729" s="54" t="n"/>
      <c r="L729" s="54" t="n"/>
      <c r="M729" s="54" t="n"/>
      <c r="N729" s="54" t="n"/>
      <c r="O729" s="54" t="n"/>
      <c r="P729" s="54" t="n"/>
      <c r="Q729" s="54" t="n"/>
      <c r="R729" s="54" t="n"/>
      <c r="S729" s="54" t="n"/>
      <c r="T729" s="54" t="n"/>
      <c r="U729" s="54" t="n"/>
      <c r="V729" s="54" t="n"/>
      <c r="W729" s="54" t="n"/>
      <c r="X729" s="54" t="n"/>
      <c r="Y729" s="54" t="n"/>
      <c r="Z729" s="54" t="n"/>
    </row>
    <row r="730" ht="15.75" customHeight="1" s="57">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row>
    <row r="731" ht="15.75" customHeight="1" s="57">
      <c r="A731" s="54" t="n"/>
      <c r="B731" s="54" t="n"/>
      <c r="C731" s="54" t="n"/>
      <c r="D731" s="54" t="n"/>
      <c r="E731" s="54" t="n"/>
      <c r="F731" s="54" t="n"/>
      <c r="G731" s="54" t="n"/>
      <c r="H731" s="54" t="n"/>
      <c r="I731" s="54" t="n"/>
      <c r="J731" s="54" t="n"/>
      <c r="K731" s="54" t="n"/>
      <c r="L731" s="54" t="n"/>
      <c r="M731" s="54" t="n"/>
      <c r="N731" s="54" t="n"/>
      <c r="O731" s="54" t="n"/>
      <c r="P731" s="54" t="n"/>
      <c r="Q731" s="54" t="n"/>
      <c r="R731" s="54" t="n"/>
      <c r="S731" s="54" t="n"/>
      <c r="T731" s="54" t="n"/>
      <c r="U731" s="54" t="n"/>
      <c r="V731" s="54" t="n"/>
      <c r="W731" s="54" t="n"/>
      <c r="X731" s="54" t="n"/>
      <c r="Y731" s="54" t="n"/>
      <c r="Z731" s="54" t="n"/>
    </row>
    <row r="732" ht="15.75" customHeight="1" s="57">
      <c r="A732" s="54" t="n"/>
      <c r="B732" s="54" t="n"/>
      <c r="C732" s="54" t="n"/>
      <c r="D732" s="54" t="n"/>
      <c r="E732" s="54" t="n"/>
      <c r="F732" s="54" t="n"/>
      <c r="G732" s="54" t="n"/>
      <c r="H732" s="54" t="n"/>
      <c r="I732" s="54" t="n"/>
      <c r="J732" s="54" t="n"/>
      <c r="K732" s="54" t="n"/>
      <c r="L732" s="54" t="n"/>
      <c r="M732" s="54" t="n"/>
      <c r="N732" s="54" t="n"/>
      <c r="O732" s="54" t="n"/>
      <c r="P732" s="54" t="n"/>
      <c r="Q732" s="54" t="n"/>
      <c r="R732" s="54" t="n"/>
      <c r="S732" s="54" t="n"/>
      <c r="T732" s="54" t="n"/>
      <c r="U732" s="54" t="n"/>
      <c r="V732" s="54" t="n"/>
      <c r="W732" s="54" t="n"/>
      <c r="X732" s="54" t="n"/>
      <c r="Y732" s="54" t="n"/>
      <c r="Z732" s="54" t="n"/>
    </row>
    <row r="733" ht="15.75" customHeight="1" s="57">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row>
    <row r="734" ht="15.75" customHeight="1" s="57">
      <c r="A734" s="54" t="n"/>
      <c r="B734" s="54" t="n"/>
      <c r="C734" s="54" t="n"/>
      <c r="D734" s="54" t="n"/>
      <c r="E734" s="54" t="n"/>
      <c r="F734" s="54" t="n"/>
      <c r="G734" s="54" t="n"/>
      <c r="H734" s="54" t="n"/>
      <c r="I734" s="54" t="n"/>
      <c r="J734" s="54" t="n"/>
      <c r="K734" s="54" t="n"/>
      <c r="L734" s="54" t="n"/>
      <c r="M734" s="54" t="n"/>
      <c r="N734" s="54" t="n"/>
      <c r="O734" s="54" t="n"/>
      <c r="P734" s="54" t="n"/>
      <c r="Q734" s="54" t="n"/>
      <c r="R734" s="54" t="n"/>
      <c r="S734" s="54" t="n"/>
      <c r="T734" s="54" t="n"/>
      <c r="U734" s="54" t="n"/>
      <c r="V734" s="54" t="n"/>
      <c r="W734" s="54" t="n"/>
      <c r="X734" s="54" t="n"/>
      <c r="Y734" s="54" t="n"/>
      <c r="Z734" s="54" t="n"/>
    </row>
    <row r="735" ht="15.75" customHeight="1" s="57">
      <c r="A735" s="54" t="n"/>
      <c r="B735" s="54" t="n"/>
      <c r="C735" s="54" t="n"/>
      <c r="D735" s="54" t="n"/>
      <c r="E735" s="54" t="n"/>
      <c r="F735" s="54" t="n"/>
      <c r="G735" s="54" t="n"/>
      <c r="H735" s="54" t="n"/>
      <c r="I735" s="54" t="n"/>
      <c r="J735" s="54" t="n"/>
      <c r="K735" s="54" t="n"/>
      <c r="L735" s="54" t="n"/>
      <c r="M735" s="54" t="n"/>
      <c r="N735" s="54" t="n"/>
      <c r="O735" s="54" t="n"/>
      <c r="P735" s="54" t="n"/>
      <c r="Q735" s="54" t="n"/>
      <c r="R735" s="54" t="n"/>
      <c r="S735" s="54" t="n"/>
      <c r="T735" s="54" t="n"/>
      <c r="U735" s="54" t="n"/>
      <c r="V735" s="54" t="n"/>
      <c r="W735" s="54" t="n"/>
      <c r="X735" s="54" t="n"/>
      <c r="Y735" s="54" t="n"/>
      <c r="Z735" s="54" t="n"/>
    </row>
    <row r="736" ht="15.75" customHeight="1" s="57">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row>
    <row r="737" ht="15.75" customHeight="1" s="57">
      <c r="A737" s="54" t="n"/>
      <c r="B737" s="54" t="n"/>
      <c r="C737" s="54" t="n"/>
      <c r="D737" s="54" t="n"/>
      <c r="E737" s="54" t="n"/>
      <c r="F737" s="54" t="n"/>
      <c r="G737" s="54" t="n"/>
      <c r="H737" s="54" t="n"/>
      <c r="I737" s="54" t="n"/>
      <c r="J737" s="54" t="n"/>
      <c r="K737" s="54" t="n"/>
      <c r="L737" s="54" t="n"/>
      <c r="M737" s="54" t="n"/>
      <c r="N737" s="54" t="n"/>
      <c r="O737" s="54" t="n"/>
      <c r="P737" s="54" t="n"/>
      <c r="Q737" s="54" t="n"/>
      <c r="R737" s="54" t="n"/>
      <c r="S737" s="54" t="n"/>
      <c r="T737" s="54" t="n"/>
      <c r="U737" s="54" t="n"/>
      <c r="V737" s="54" t="n"/>
      <c r="W737" s="54" t="n"/>
      <c r="X737" s="54" t="n"/>
      <c r="Y737" s="54" t="n"/>
      <c r="Z737" s="54" t="n"/>
    </row>
    <row r="738" ht="15.75" customHeight="1" s="57">
      <c r="A738" s="54" t="n"/>
      <c r="B738" s="54" t="n"/>
      <c r="C738" s="54" t="n"/>
      <c r="D738" s="54" t="n"/>
      <c r="E738" s="54" t="n"/>
      <c r="F738" s="54" t="n"/>
      <c r="G738" s="54" t="n"/>
      <c r="H738" s="54" t="n"/>
      <c r="I738" s="54" t="n"/>
      <c r="J738" s="54" t="n"/>
      <c r="K738" s="54" t="n"/>
      <c r="L738" s="54" t="n"/>
      <c r="M738" s="54" t="n"/>
      <c r="N738" s="54" t="n"/>
      <c r="O738" s="54" t="n"/>
      <c r="P738" s="54" t="n"/>
      <c r="Q738" s="54" t="n"/>
      <c r="R738" s="54" t="n"/>
      <c r="S738" s="54" t="n"/>
      <c r="T738" s="54" t="n"/>
      <c r="U738" s="54" t="n"/>
      <c r="V738" s="54" t="n"/>
      <c r="W738" s="54" t="n"/>
      <c r="X738" s="54" t="n"/>
      <c r="Y738" s="54" t="n"/>
      <c r="Z738" s="54" t="n"/>
    </row>
    <row r="739" ht="15.75" customHeight="1" s="57">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row>
    <row r="740" ht="15.75" customHeight="1" s="57">
      <c r="A740" s="54" t="n"/>
      <c r="B740" s="54" t="n"/>
      <c r="C740" s="54" t="n"/>
      <c r="D740" s="54" t="n"/>
      <c r="E740" s="54" t="n"/>
      <c r="F740" s="54" t="n"/>
      <c r="G740" s="54" t="n"/>
      <c r="H740" s="54" t="n"/>
      <c r="I740" s="54" t="n"/>
      <c r="J740" s="54" t="n"/>
      <c r="K740" s="54" t="n"/>
      <c r="L740" s="54" t="n"/>
      <c r="M740" s="54" t="n"/>
      <c r="N740" s="54" t="n"/>
      <c r="O740" s="54" t="n"/>
      <c r="P740" s="54" t="n"/>
      <c r="Q740" s="54" t="n"/>
      <c r="R740" s="54" t="n"/>
      <c r="S740" s="54" t="n"/>
      <c r="T740" s="54" t="n"/>
      <c r="U740" s="54" t="n"/>
      <c r="V740" s="54" t="n"/>
      <c r="W740" s="54" t="n"/>
      <c r="X740" s="54" t="n"/>
      <c r="Y740" s="54" t="n"/>
      <c r="Z740" s="54" t="n"/>
    </row>
    <row r="741" ht="15.75" customHeight="1" s="57">
      <c r="A741" s="54" t="n"/>
      <c r="B741" s="54" t="n"/>
      <c r="C741" s="54" t="n"/>
      <c r="D741" s="54" t="n"/>
      <c r="E741" s="54" t="n"/>
      <c r="F741" s="54" t="n"/>
      <c r="G741" s="54" t="n"/>
      <c r="H741" s="54" t="n"/>
      <c r="I741" s="54" t="n"/>
      <c r="J741" s="54" t="n"/>
      <c r="K741" s="54" t="n"/>
      <c r="L741" s="54" t="n"/>
      <c r="M741" s="54" t="n"/>
      <c r="N741" s="54" t="n"/>
      <c r="O741" s="54" t="n"/>
      <c r="P741" s="54" t="n"/>
      <c r="Q741" s="54" t="n"/>
      <c r="R741" s="54" t="n"/>
      <c r="S741" s="54" t="n"/>
      <c r="T741" s="54" t="n"/>
      <c r="U741" s="54" t="n"/>
      <c r="V741" s="54" t="n"/>
      <c r="W741" s="54" t="n"/>
      <c r="X741" s="54" t="n"/>
      <c r="Y741" s="54" t="n"/>
      <c r="Z741" s="54" t="n"/>
    </row>
    <row r="742" ht="15.75" customHeight="1" s="57">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row>
    <row r="743" ht="15.75" customHeight="1" s="57">
      <c r="A743" s="54" t="n"/>
      <c r="B743" s="54" t="n"/>
      <c r="C743" s="54" t="n"/>
      <c r="D743" s="54" t="n"/>
      <c r="E743" s="54" t="n"/>
      <c r="F743" s="54" t="n"/>
      <c r="G743" s="54" t="n"/>
      <c r="H743" s="54" t="n"/>
      <c r="I743" s="54" t="n"/>
      <c r="J743" s="54" t="n"/>
      <c r="K743" s="54" t="n"/>
      <c r="L743" s="54" t="n"/>
      <c r="M743" s="54" t="n"/>
      <c r="N743" s="54" t="n"/>
      <c r="O743" s="54" t="n"/>
      <c r="P743" s="54" t="n"/>
      <c r="Q743" s="54" t="n"/>
      <c r="R743" s="54" t="n"/>
      <c r="S743" s="54" t="n"/>
      <c r="T743" s="54" t="n"/>
      <c r="U743" s="54" t="n"/>
      <c r="V743" s="54" t="n"/>
      <c r="W743" s="54" t="n"/>
      <c r="X743" s="54" t="n"/>
      <c r="Y743" s="54" t="n"/>
      <c r="Z743" s="54" t="n"/>
    </row>
    <row r="744" ht="15.75" customHeight="1" s="57">
      <c r="A744" s="54" t="n"/>
      <c r="B744" s="54" t="n"/>
      <c r="C744" s="54" t="n"/>
      <c r="D744" s="54" t="n"/>
      <c r="E744" s="54" t="n"/>
      <c r="F744" s="54" t="n"/>
      <c r="G744" s="54" t="n"/>
      <c r="H744" s="54" t="n"/>
      <c r="I744" s="54" t="n"/>
      <c r="J744" s="54" t="n"/>
      <c r="K744" s="54" t="n"/>
      <c r="L744" s="54" t="n"/>
      <c r="M744" s="54" t="n"/>
      <c r="N744" s="54" t="n"/>
      <c r="O744" s="54" t="n"/>
      <c r="P744" s="54" t="n"/>
      <c r="Q744" s="54" t="n"/>
      <c r="R744" s="54" t="n"/>
      <c r="S744" s="54" t="n"/>
      <c r="T744" s="54" t="n"/>
      <c r="U744" s="54" t="n"/>
      <c r="V744" s="54" t="n"/>
      <c r="W744" s="54" t="n"/>
      <c r="X744" s="54" t="n"/>
      <c r="Y744" s="54" t="n"/>
      <c r="Z744" s="54" t="n"/>
    </row>
    <row r="745" ht="15.75" customHeight="1" s="57">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row>
    <row r="746" ht="15.75" customHeight="1" s="57">
      <c r="A746" s="54" t="n"/>
      <c r="B746" s="54" t="n"/>
      <c r="C746" s="54" t="n"/>
      <c r="D746" s="54" t="n"/>
      <c r="E746" s="54" t="n"/>
      <c r="F746" s="54" t="n"/>
      <c r="G746" s="54" t="n"/>
      <c r="H746" s="54" t="n"/>
      <c r="I746" s="54" t="n"/>
      <c r="J746" s="54" t="n"/>
      <c r="K746" s="54" t="n"/>
      <c r="L746" s="54" t="n"/>
      <c r="M746" s="54" t="n"/>
      <c r="N746" s="54" t="n"/>
      <c r="O746" s="54" t="n"/>
      <c r="P746" s="54" t="n"/>
      <c r="Q746" s="54" t="n"/>
      <c r="R746" s="54" t="n"/>
      <c r="S746" s="54" t="n"/>
      <c r="T746" s="54" t="n"/>
      <c r="U746" s="54" t="n"/>
      <c r="V746" s="54" t="n"/>
      <c r="W746" s="54" t="n"/>
      <c r="X746" s="54" t="n"/>
      <c r="Y746" s="54" t="n"/>
      <c r="Z746" s="54" t="n"/>
    </row>
    <row r="747" ht="15.75" customHeight="1" s="57">
      <c r="A747" s="54" t="n"/>
      <c r="B747" s="54" t="n"/>
      <c r="C747" s="54" t="n"/>
      <c r="D747" s="54" t="n"/>
      <c r="E747" s="54" t="n"/>
      <c r="F747" s="54" t="n"/>
      <c r="G747" s="54" t="n"/>
      <c r="H747" s="54" t="n"/>
      <c r="I747" s="54" t="n"/>
      <c r="J747" s="54" t="n"/>
      <c r="K747" s="54" t="n"/>
      <c r="L747" s="54" t="n"/>
      <c r="M747" s="54" t="n"/>
      <c r="N747" s="54" t="n"/>
      <c r="O747" s="54" t="n"/>
      <c r="P747" s="54" t="n"/>
      <c r="Q747" s="54" t="n"/>
      <c r="R747" s="54" t="n"/>
      <c r="S747" s="54" t="n"/>
      <c r="T747" s="54" t="n"/>
      <c r="U747" s="54" t="n"/>
      <c r="V747" s="54" t="n"/>
      <c r="W747" s="54" t="n"/>
      <c r="X747" s="54" t="n"/>
      <c r="Y747" s="54" t="n"/>
      <c r="Z747" s="54" t="n"/>
    </row>
    <row r="748" ht="15.75" customHeight="1" s="57">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row>
    <row r="749" ht="15.75" customHeight="1" s="57">
      <c r="A749" s="54" t="n"/>
      <c r="B749" s="54" t="n"/>
      <c r="C749" s="54" t="n"/>
      <c r="D749" s="54" t="n"/>
      <c r="E749" s="54" t="n"/>
      <c r="F749" s="54" t="n"/>
      <c r="G749" s="54" t="n"/>
      <c r="H749" s="54" t="n"/>
      <c r="I749" s="54" t="n"/>
      <c r="J749" s="54" t="n"/>
      <c r="K749" s="54" t="n"/>
      <c r="L749" s="54" t="n"/>
      <c r="M749" s="54" t="n"/>
      <c r="N749" s="54" t="n"/>
      <c r="O749" s="54" t="n"/>
      <c r="P749" s="54" t="n"/>
      <c r="Q749" s="54" t="n"/>
      <c r="R749" s="54" t="n"/>
      <c r="S749" s="54" t="n"/>
      <c r="T749" s="54" t="n"/>
      <c r="U749" s="54" t="n"/>
      <c r="V749" s="54" t="n"/>
      <c r="W749" s="54" t="n"/>
      <c r="X749" s="54" t="n"/>
      <c r="Y749" s="54" t="n"/>
      <c r="Z749" s="54" t="n"/>
    </row>
    <row r="750" ht="15.75" customHeight="1" s="57">
      <c r="A750" s="54" t="n"/>
      <c r="B750" s="54" t="n"/>
      <c r="C750" s="54" t="n"/>
      <c r="D750" s="54" t="n"/>
      <c r="E750" s="54" t="n"/>
      <c r="F750" s="54" t="n"/>
      <c r="G750" s="54" t="n"/>
      <c r="H750" s="54" t="n"/>
      <c r="I750" s="54" t="n"/>
      <c r="J750" s="54" t="n"/>
      <c r="K750" s="54" t="n"/>
      <c r="L750" s="54" t="n"/>
      <c r="M750" s="54" t="n"/>
      <c r="N750" s="54" t="n"/>
      <c r="O750" s="54" t="n"/>
      <c r="P750" s="54" t="n"/>
      <c r="Q750" s="54" t="n"/>
      <c r="R750" s="54" t="n"/>
      <c r="S750" s="54" t="n"/>
      <c r="T750" s="54" t="n"/>
      <c r="U750" s="54" t="n"/>
      <c r="V750" s="54" t="n"/>
      <c r="W750" s="54" t="n"/>
      <c r="X750" s="54" t="n"/>
      <c r="Y750" s="54" t="n"/>
      <c r="Z750" s="54" t="n"/>
    </row>
    <row r="751" ht="15.75" customHeight="1" s="57">
      <c r="A751" s="54" t="n"/>
      <c r="B751" s="54" t="n"/>
      <c r="C751" s="54" t="n"/>
      <c r="D751" s="54" t="n"/>
      <c r="E751" s="54" t="n"/>
      <c r="F751" s="54" t="n"/>
      <c r="G751" s="54" t="n"/>
      <c r="H751" s="54" t="n"/>
      <c r="I751" s="54" t="n"/>
      <c r="J751" s="54" t="n"/>
      <c r="K751" s="54" t="n"/>
      <c r="L751" s="54" t="n"/>
      <c r="M751" s="54" t="n"/>
      <c r="N751" s="54" t="n"/>
      <c r="O751" s="54" t="n"/>
      <c r="P751" s="54" t="n"/>
      <c r="Q751" s="54" t="n"/>
      <c r="R751" s="54" t="n"/>
      <c r="S751" s="54" t="n"/>
      <c r="T751" s="54" t="n"/>
      <c r="U751" s="54" t="n"/>
      <c r="V751" s="54" t="n"/>
      <c r="W751" s="54" t="n"/>
      <c r="X751" s="54" t="n"/>
      <c r="Y751" s="54" t="n"/>
      <c r="Z751" s="54" t="n"/>
    </row>
    <row r="752" ht="15.75" customHeight="1" s="57">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row>
    <row r="753" ht="15.75" customHeight="1" s="57">
      <c r="A753" s="54" t="n"/>
      <c r="B753" s="54" t="n"/>
      <c r="C753" s="54" t="n"/>
      <c r="D753" s="54" t="n"/>
      <c r="E753" s="54" t="n"/>
      <c r="F753" s="54" t="n"/>
      <c r="G753" s="54" t="n"/>
      <c r="H753" s="54" t="n"/>
      <c r="I753" s="54" t="n"/>
      <c r="J753" s="54" t="n"/>
      <c r="K753" s="54" t="n"/>
      <c r="L753" s="54" t="n"/>
      <c r="M753" s="54" t="n"/>
      <c r="N753" s="54" t="n"/>
      <c r="O753" s="54" t="n"/>
      <c r="P753" s="54" t="n"/>
      <c r="Q753" s="54" t="n"/>
      <c r="R753" s="54" t="n"/>
      <c r="S753" s="54" t="n"/>
      <c r="T753" s="54" t="n"/>
      <c r="U753" s="54" t="n"/>
      <c r="V753" s="54" t="n"/>
      <c r="W753" s="54" t="n"/>
      <c r="X753" s="54" t="n"/>
      <c r="Y753" s="54" t="n"/>
      <c r="Z753" s="54" t="n"/>
    </row>
    <row r="754" ht="15.75" customHeight="1" s="57">
      <c r="A754" s="54" t="n"/>
      <c r="B754" s="54" t="n"/>
      <c r="C754" s="54" t="n"/>
      <c r="D754" s="54" t="n"/>
      <c r="E754" s="54" t="n"/>
      <c r="F754" s="54" t="n"/>
      <c r="G754" s="54" t="n"/>
      <c r="H754" s="54" t="n"/>
      <c r="I754" s="54" t="n"/>
      <c r="J754" s="54" t="n"/>
      <c r="K754" s="54" t="n"/>
      <c r="L754" s="54" t="n"/>
      <c r="M754" s="54" t="n"/>
      <c r="N754" s="54" t="n"/>
      <c r="O754" s="54" t="n"/>
      <c r="P754" s="54" t="n"/>
      <c r="Q754" s="54" t="n"/>
      <c r="R754" s="54" t="n"/>
      <c r="S754" s="54" t="n"/>
      <c r="T754" s="54" t="n"/>
      <c r="U754" s="54" t="n"/>
      <c r="V754" s="54" t="n"/>
      <c r="W754" s="54" t="n"/>
      <c r="X754" s="54" t="n"/>
      <c r="Y754" s="54" t="n"/>
      <c r="Z754" s="54" t="n"/>
    </row>
    <row r="755" ht="15.75" customHeight="1" s="57">
      <c r="A755" s="54" t="n"/>
      <c r="B755" s="54" t="n"/>
      <c r="C755" s="54" t="n"/>
      <c r="D755" s="54" t="n"/>
      <c r="E755" s="54" t="n"/>
      <c r="F755" s="54" t="n"/>
      <c r="G755" s="54" t="n"/>
      <c r="H755" s="54" t="n"/>
      <c r="I755" s="54" t="n"/>
      <c r="J755" s="54" t="n"/>
      <c r="K755" s="54" t="n"/>
      <c r="L755" s="54" t="n"/>
      <c r="M755" s="54" t="n"/>
      <c r="N755" s="54" t="n"/>
      <c r="O755" s="54" t="n"/>
      <c r="P755" s="54" t="n"/>
      <c r="Q755" s="54" t="n"/>
      <c r="R755" s="54" t="n"/>
      <c r="S755" s="54" t="n"/>
      <c r="T755" s="54" t="n"/>
      <c r="U755" s="54" t="n"/>
      <c r="V755" s="54" t="n"/>
      <c r="W755" s="54" t="n"/>
      <c r="X755" s="54" t="n"/>
      <c r="Y755" s="54" t="n"/>
      <c r="Z755" s="54" t="n"/>
    </row>
    <row r="756" ht="15.75" customHeight="1" s="57">
      <c r="A756" s="54" t="n"/>
      <c r="B756" s="54" t="n"/>
      <c r="C756" s="54" t="n"/>
      <c r="D756" s="54" t="n"/>
      <c r="E756" s="54" t="n"/>
      <c r="F756" s="54" t="n"/>
      <c r="G756" s="54" t="n"/>
      <c r="H756" s="54" t="n"/>
      <c r="I756" s="54" t="n"/>
      <c r="J756" s="54" t="n"/>
      <c r="K756" s="54" t="n"/>
      <c r="L756" s="54" t="n"/>
      <c r="M756" s="54" t="n"/>
      <c r="N756" s="54" t="n"/>
      <c r="O756" s="54" t="n"/>
      <c r="P756" s="54" t="n"/>
      <c r="Q756" s="54" t="n"/>
      <c r="R756" s="54" t="n"/>
      <c r="S756" s="54" t="n"/>
      <c r="T756" s="54" t="n"/>
      <c r="U756" s="54" t="n"/>
      <c r="V756" s="54" t="n"/>
      <c r="W756" s="54" t="n"/>
      <c r="X756" s="54" t="n"/>
      <c r="Y756" s="54" t="n"/>
      <c r="Z756" s="54" t="n"/>
    </row>
    <row r="757" ht="15.75" customHeight="1" s="57">
      <c r="A757" s="54" t="n"/>
      <c r="B757" s="54" t="n"/>
      <c r="C757" s="54" t="n"/>
      <c r="D757" s="54" t="n"/>
      <c r="E757" s="54" t="n"/>
      <c r="F757" s="54" t="n"/>
      <c r="G757" s="54" t="n"/>
      <c r="H757" s="54" t="n"/>
      <c r="I757" s="54" t="n"/>
      <c r="J757" s="54" t="n"/>
      <c r="K757" s="54" t="n"/>
      <c r="L757" s="54" t="n"/>
      <c r="M757" s="54" t="n"/>
      <c r="N757" s="54" t="n"/>
      <c r="O757" s="54" t="n"/>
      <c r="P757" s="54" t="n"/>
      <c r="Q757" s="54" t="n"/>
      <c r="R757" s="54" t="n"/>
      <c r="S757" s="54" t="n"/>
      <c r="T757" s="54" t="n"/>
      <c r="U757" s="54" t="n"/>
      <c r="V757" s="54" t="n"/>
      <c r="W757" s="54" t="n"/>
      <c r="X757" s="54" t="n"/>
      <c r="Y757" s="54" t="n"/>
      <c r="Z757" s="54" t="n"/>
    </row>
    <row r="758" ht="15.75" customHeight="1" s="57">
      <c r="A758" s="54" t="n"/>
      <c r="B758" s="54" t="n"/>
      <c r="C758" s="54" t="n"/>
      <c r="D758" s="54" t="n"/>
      <c r="E758" s="54" t="n"/>
      <c r="F758" s="54" t="n"/>
      <c r="G758" s="54" t="n"/>
      <c r="H758" s="54" t="n"/>
      <c r="I758" s="54" t="n"/>
      <c r="J758" s="54" t="n"/>
      <c r="K758" s="54" t="n"/>
      <c r="L758" s="54" t="n"/>
      <c r="M758" s="54" t="n"/>
      <c r="N758" s="54" t="n"/>
      <c r="O758" s="54" t="n"/>
      <c r="P758" s="54" t="n"/>
      <c r="Q758" s="54" t="n"/>
      <c r="R758" s="54" t="n"/>
      <c r="S758" s="54" t="n"/>
      <c r="T758" s="54" t="n"/>
      <c r="U758" s="54" t="n"/>
      <c r="V758" s="54" t="n"/>
      <c r="W758" s="54" t="n"/>
      <c r="X758" s="54" t="n"/>
      <c r="Y758" s="54" t="n"/>
      <c r="Z758" s="54" t="n"/>
    </row>
    <row r="759" ht="15.75" customHeight="1" s="57">
      <c r="A759" s="54" t="n"/>
      <c r="B759" s="54" t="n"/>
      <c r="C759" s="54" t="n"/>
      <c r="D759" s="54" t="n"/>
      <c r="E759" s="54" t="n"/>
      <c r="F759" s="54" t="n"/>
      <c r="G759" s="54" t="n"/>
      <c r="H759" s="54" t="n"/>
      <c r="I759" s="54" t="n"/>
      <c r="J759" s="54" t="n"/>
      <c r="K759" s="54" t="n"/>
      <c r="L759" s="54" t="n"/>
      <c r="M759" s="54" t="n"/>
      <c r="N759" s="54" t="n"/>
      <c r="O759" s="54" t="n"/>
      <c r="P759" s="54" t="n"/>
      <c r="Q759" s="54" t="n"/>
      <c r="R759" s="54" t="n"/>
      <c r="S759" s="54" t="n"/>
      <c r="T759" s="54" t="n"/>
      <c r="U759" s="54" t="n"/>
      <c r="V759" s="54" t="n"/>
      <c r="W759" s="54" t="n"/>
      <c r="X759" s="54" t="n"/>
      <c r="Y759" s="54" t="n"/>
      <c r="Z759" s="54" t="n"/>
    </row>
    <row r="760" ht="15.75" customHeight="1" s="57">
      <c r="A760" s="54" t="n"/>
      <c r="B760" s="54" t="n"/>
      <c r="C760" s="54" t="n"/>
      <c r="D760" s="54" t="n"/>
      <c r="E760" s="54" t="n"/>
      <c r="F760" s="54" t="n"/>
      <c r="G760" s="54" t="n"/>
      <c r="H760" s="54" t="n"/>
      <c r="I760" s="54" t="n"/>
      <c r="J760" s="54" t="n"/>
      <c r="K760" s="54" t="n"/>
      <c r="L760" s="54" t="n"/>
      <c r="M760" s="54" t="n"/>
      <c r="N760" s="54" t="n"/>
      <c r="O760" s="54" t="n"/>
      <c r="P760" s="54" t="n"/>
      <c r="Q760" s="54" t="n"/>
      <c r="R760" s="54" t="n"/>
      <c r="S760" s="54" t="n"/>
      <c r="T760" s="54" t="n"/>
      <c r="U760" s="54" t="n"/>
      <c r="V760" s="54" t="n"/>
      <c r="W760" s="54" t="n"/>
      <c r="X760" s="54" t="n"/>
      <c r="Y760" s="54" t="n"/>
      <c r="Z760" s="54" t="n"/>
    </row>
    <row r="761" ht="15.75" customHeight="1" s="57">
      <c r="A761" s="54" t="n"/>
      <c r="B761" s="54" t="n"/>
      <c r="C761" s="54" t="n"/>
      <c r="D761" s="54" t="n"/>
      <c r="E761" s="54" t="n"/>
      <c r="F761" s="54" t="n"/>
      <c r="G761" s="54" t="n"/>
      <c r="H761" s="54" t="n"/>
      <c r="I761" s="54" t="n"/>
      <c r="J761" s="54" t="n"/>
      <c r="K761" s="54" t="n"/>
      <c r="L761" s="54" t="n"/>
      <c r="M761" s="54" t="n"/>
      <c r="N761" s="54" t="n"/>
      <c r="O761" s="54" t="n"/>
      <c r="P761" s="54" t="n"/>
      <c r="Q761" s="54" t="n"/>
      <c r="R761" s="54" t="n"/>
      <c r="S761" s="54" t="n"/>
      <c r="T761" s="54" t="n"/>
      <c r="U761" s="54" t="n"/>
      <c r="V761" s="54" t="n"/>
      <c r="W761" s="54" t="n"/>
      <c r="X761" s="54" t="n"/>
      <c r="Y761" s="54" t="n"/>
      <c r="Z761" s="54" t="n"/>
    </row>
    <row r="762" ht="15.75" customHeight="1" s="57">
      <c r="A762" s="54" t="n"/>
      <c r="B762" s="54" t="n"/>
      <c r="C762" s="54" t="n"/>
      <c r="D762" s="54" t="n"/>
      <c r="E762" s="54" t="n"/>
      <c r="F762" s="54" t="n"/>
      <c r="G762" s="54" t="n"/>
      <c r="H762" s="54" t="n"/>
      <c r="I762" s="54" t="n"/>
      <c r="J762" s="54" t="n"/>
      <c r="K762" s="54" t="n"/>
      <c r="L762" s="54" t="n"/>
      <c r="M762" s="54" t="n"/>
      <c r="N762" s="54" t="n"/>
      <c r="O762" s="54" t="n"/>
      <c r="P762" s="54" t="n"/>
      <c r="Q762" s="54" t="n"/>
      <c r="R762" s="54" t="n"/>
      <c r="S762" s="54" t="n"/>
      <c r="T762" s="54" t="n"/>
      <c r="U762" s="54" t="n"/>
      <c r="V762" s="54" t="n"/>
      <c r="W762" s="54" t="n"/>
      <c r="X762" s="54" t="n"/>
      <c r="Y762" s="54" t="n"/>
      <c r="Z762" s="54" t="n"/>
    </row>
    <row r="763" ht="15.75" customHeight="1" s="57">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row>
    <row r="764" ht="15.75" customHeight="1" s="57">
      <c r="A764" s="54" t="n"/>
      <c r="B764" s="54" t="n"/>
      <c r="C764" s="54" t="n"/>
      <c r="D764" s="54" t="n"/>
      <c r="E764" s="54" t="n"/>
      <c r="F764" s="54" t="n"/>
      <c r="G764" s="54" t="n"/>
      <c r="H764" s="54" t="n"/>
      <c r="I764" s="54" t="n"/>
      <c r="J764" s="54" t="n"/>
      <c r="K764" s="54" t="n"/>
      <c r="L764" s="54" t="n"/>
      <c r="M764" s="54" t="n"/>
      <c r="N764" s="54" t="n"/>
      <c r="O764" s="54" t="n"/>
      <c r="P764" s="54" t="n"/>
      <c r="Q764" s="54" t="n"/>
      <c r="R764" s="54" t="n"/>
      <c r="S764" s="54" t="n"/>
      <c r="T764" s="54" t="n"/>
      <c r="U764" s="54" t="n"/>
      <c r="V764" s="54" t="n"/>
      <c r="W764" s="54" t="n"/>
      <c r="X764" s="54" t="n"/>
      <c r="Y764" s="54" t="n"/>
      <c r="Z764" s="54" t="n"/>
    </row>
    <row r="765" ht="15.75" customHeight="1" s="57">
      <c r="A765" s="54" t="n"/>
      <c r="B765" s="54" t="n"/>
      <c r="C765" s="54" t="n"/>
      <c r="D765" s="54" t="n"/>
      <c r="E765" s="54" t="n"/>
      <c r="F765" s="54" t="n"/>
      <c r="G765" s="54" t="n"/>
      <c r="H765" s="54" t="n"/>
      <c r="I765" s="54" t="n"/>
      <c r="J765" s="54" t="n"/>
      <c r="K765" s="54" t="n"/>
      <c r="L765" s="54" t="n"/>
      <c r="M765" s="54" t="n"/>
      <c r="N765" s="54" t="n"/>
      <c r="O765" s="54" t="n"/>
      <c r="P765" s="54" t="n"/>
      <c r="Q765" s="54" t="n"/>
      <c r="R765" s="54" t="n"/>
      <c r="S765" s="54" t="n"/>
      <c r="T765" s="54" t="n"/>
      <c r="U765" s="54" t="n"/>
      <c r="V765" s="54" t="n"/>
      <c r="W765" s="54" t="n"/>
      <c r="X765" s="54" t="n"/>
      <c r="Y765" s="54" t="n"/>
      <c r="Z765" s="54" t="n"/>
    </row>
    <row r="766" ht="15.75" customHeight="1" s="57">
      <c r="A766" s="54" t="n"/>
      <c r="B766" s="54" t="n"/>
      <c r="C766" s="54" t="n"/>
      <c r="D766" s="54" t="n"/>
      <c r="E766" s="54" t="n"/>
      <c r="F766" s="54" t="n"/>
      <c r="G766" s="54" t="n"/>
      <c r="H766" s="54" t="n"/>
      <c r="I766" s="54" t="n"/>
      <c r="J766" s="54" t="n"/>
      <c r="K766" s="54" t="n"/>
      <c r="L766" s="54" t="n"/>
      <c r="M766" s="54" t="n"/>
      <c r="N766" s="54" t="n"/>
      <c r="O766" s="54" t="n"/>
      <c r="P766" s="54" t="n"/>
      <c r="Q766" s="54" t="n"/>
      <c r="R766" s="54" t="n"/>
      <c r="S766" s="54" t="n"/>
      <c r="T766" s="54" t="n"/>
      <c r="U766" s="54" t="n"/>
      <c r="V766" s="54" t="n"/>
      <c r="W766" s="54" t="n"/>
      <c r="X766" s="54" t="n"/>
      <c r="Y766" s="54" t="n"/>
      <c r="Z766" s="54" t="n"/>
    </row>
    <row r="767" ht="15.75" customHeight="1" s="57">
      <c r="A767" s="54" t="n"/>
      <c r="B767" s="54" t="n"/>
      <c r="C767" s="54" t="n"/>
      <c r="D767" s="54" t="n"/>
      <c r="E767" s="54" t="n"/>
      <c r="F767" s="54" t="n"/>
      <c r="G767" s="54" t="n"/>
      <c r="H767" s="54" t="n"/>
      <c r="I767" s="54" t="n"/>
      <c r="J767" s="54" t="n"/>
      <c r="K767" s="54" t="n"/>
      <c r="L767" s="54" t="n"/>
      <c r="M767" s="54" t="n"/>
      <c r="N767" s="54" t="n"/>
      <c r="O767" s="54" t="n"/>
      <c r="P767" s="54" t="n"/>
      <c r="Q767" s="54" t="n"/>
      <c r="R767" s="54" t="n"/>
      <c r="S767" s="54" t="n"/>
      <c r="T767" s="54" t="n"/>
      <c r="U767" s="54" t="n"/>
      <c r="V767" s="54" t="n"/>
      <c r="W767" s="54" t="n"/>
      <c r="X767" s="54" t="n"/>
      <c r="Y767" s="54" t="n"/>
      <c r="Z767" s="54" t="n"/>
    </row>
    <row r="768" ht="15.75" customHeight="1" s="57">
      <c r="A768" s="54" t="n"/>
      <c r="B768" s="54" t="n"/>
      <c r="C768" s="54" t="n"/>
      <c r="D768" s="54" t="n"/>
      <c r="E768" s="54" t="n"/>
      <c r="F768" s="54" t="n"/>
      <c r="G768" s="54" t="n"/>
      <c r="H768" s="54" t="n"/>
      <c r="I768" s="54" t="n"/>
      <c r="J768" s="54" t="n"/>
      <c r="K768" s="54" t="n"/>
      <c r="L768" s="54" t="n"/>
      <c r="M768" s="54" t="n"/>
      <c r="N768" s="54" t="n"/>
      <c r="O768" s="54" t="n"/>
      <c r="P768" s="54" t="n"/>
      <c r="Q768" s="54" t="n"/>
      <c r="R768" s="54" t="n"/>
      <c r="S768" s="54" t="n"/>
      <c r="T768" s="54" t="n"/>
      <c r="U768" s="54" t="n"/>
      <c r="V768" s="54" t="n"/>
      <c r="W768" s="54" t="n"/>
      <c r="X768" s="54" t="n"/>
      <c r="Y768" s="54" t="n"/>
      <c r="Z768" s="54" t="n"/>
    </row>
    <row r="769" ht="15.75" customHeight="1" s="57">
      <c r="A769" s="54" t="n"/>
      <c r="B769" s="54" t="n"/>
      <c r="C769" s="54" t="n"/>
      <c r="D769" s="54" t="n"/>
      <c r="E769" s="54" t="n"/>
      <c r="F769" s="54" t="n"/>
      <c r="G769" s="54" t="n"/>
      <c r="H769" s="54" t="n"/>
      <c r="I769" s="54" t="n"/>
      <c r="J769" s="54" t="n"/>
      <c r="K769" s="54" t="n"/>
      <c r="L769" s="54" t="n"/>
      <c r="M769" s="54" t="n"/>
      <c r="N769" s="54" t="n"/>
      <c r="O769" s="54" t="n"/>
      <c r="P769" s="54" t="n"/>
      <c r="Q769" s="54" t="n"/>
      <c r="R769" s="54" t="n"/>
      <c r="S769" s="54" t="n"/>
      <c r="T769" s="54" t="n"/>
      <c r="U769" s="54" t="n"/>
      <c r="V769" s="54" t="n"/>
      <c r="W769" s="54" t="n"/>
      <c r="X769" s="54" t="n"/>
      <c r="Y769" s="54" t="n"/>
      <c r="Z769" s="54" t="n"/>
    </row>
    <row r="770" ht="15.75" customHeight="1" s="57">
      <c r="A770" s="54" t="n"/>
      <c r="B770" s="54" t="n"/>
      <c r="C770" s="54" t="n"/>
      <c r="D770" s="54" t="n"/>
      <c r="E770" s="54" t="n"/>
      <c r="F770" s="54" t="n"/>
      <c r="G770" s="54" t="n"/>
      <c r="H770" s="54" t="n"/>
      <c r="I770" s="54" t="n"/>
      <c r="J770" s="54" t="n"/>
      <c r="K770" s="54" t="n"/>
      <c r="L770" s="54" t="n"/>
      <c r="M770" s="54" t="n"/>
      <c r="N770" s="54" t="n"/>
      <c r="O770" s="54" t="n"/>
      <c r="P770" s="54" t="n"/>
      <c r="Q770" s="54" t="n"/>
      <c r="R770" s="54" t="n"/>
      <c r="S770" s="54" t="n"/>
      <c r="T770" s="54" t="n"/>
      <c r="U770" s="54" t="n"/>
      <c r="V770" s="54" t="n"/>
      <c r="W770" s="54" t="n"/>
      <c r="X770" s="54" t="n"/>
      <c r="Y770" s="54" t="n"/>
      <c r="Z770" s="54" t="n"/>
    </row>
    <row r="771" ht="15.75" customHeight="1" s="57">
      <c r="A771" s="54" t="n"/>
      <c r="B771" s="54" t="n"/>
      <c r="C771" s="54" t="n"/>
      <c r="D771" s="54" t="n"/>
      <c r="E771" s="54" t="n"/>
      <c r="F771" s="54" t="n"/>
      <c r="G771" s="54" t="n"/>
      <c r="H771" s="54" t="n"/>
      <c r="I771" s="54" t="n"/>
      <c r="J771" s="54" t="n"/>
      <c r="K771" s="54" t="n"/>
      <c r="L771" s="54" t="n"/>
      <c r="M771" s="54" t="n"/>
      <c r="N771" s="54" t="n"/>
      <c r="O771" s="54" t="n"/>
      <c r="P771" s="54" t="n"/>
      <c r="Q771" s="54" t="n"/>
      <c r="R771" s="54" t="n"/>
      <c r="S771" s="54" t="n"/>
      <c r="T771" s="54" t="n"/>
      <c r="U771" s="54" t="n"/>
      <c r="V771" s="54" t="n"/>
      <c r="W771" s="54" t="n"/>
      <c r="X771" s="54" t="n"/>
      <c r="Y771" s="54" t="n"/>
      <c r="Z771" s="54" t="n"/>
    </row>
    <row r="772" ht="15.75" customHeight="1" s="57">
      <c r="A772" s="54" t="n"/>
      <c r="B772" s="54" t="n"/>
      <c r="C772" s="54" t="n"/>
      <c r="D772" s="54" t="n"/>
      <c r="E772" s="54" t="n"/>
      <c r="F772" s="54" t="n"/>
      <c r="G772" s="54" t="n"/>
      <c r="H772" s="54" t="n"/>
      <c r="I772" s="54" t="n"/>
      <c r="J772" s="54" t="n"/>
      <c r="K772" s="54" t="n"/>
      <c r="L772" s="54" t="n"/>
      <c r="M772" s="54" t="n"/>
      <c r="N772" s="54" t="n"/>
      <c r="O772" s="54" t="n"/>
      <c r="P772" s="54" t="n"/>
      <c r="Q772" s="54" t="n"/>
      <c r="R772" s="54" t="n"/>
      <c r="S772" s="54" t="n"/>
      <c r="T772" s="54" t="n"/>
      <c r="U772" s="54" t="n"/>
      <c r="V772" s="54" t="n"/>
      <c r="W772" s="54" t="n"/>
      <c r="X772" s="54" t="n"/>
      <c r="Y772" s="54" t="n"/>
      <c r="Z772" s="54" t="n"/>
    </row>
    <row r="773" ht="15.75" customHeight="1" s="57">
      <c r="A773" s="54" t="n"/>
      <c r="B773" s="54" t="n"/>
      <c r="C773" s="54" t="n"/>
      <c r="D773" s="54" t="n"/>
      <c r="E773" s="54" t="n"/>
      <c r="F773" s="54" t="n"/>
      <c r="G773" s="54" t="n"/>
      <c r="H773" s="54" t="n"/>
      <c r="I773" s="54" t="n"/>
      <c r="J773" s="54" t="n"/>
      <c r="K773" s="54" t="n"/>
      <c r="L773" s="54" t="n"/>
      <c r="M773" s="54" t="n"/>
      <c r="N773" s="54" t="n"/>
      <c r="O773" s="54" t="n"/>
      <c r="P773" s="54" t="n"/>
      <c r="Q773" s="54" t="n"/>
      <c r="R773" s="54" t="n"/>
      <c r="S773" s="54" t="n"/>
      <c r="T773" s="54" t="n"/>
      <c r="U773" s="54" t="n"/>
      <c r="V773" s="54" t="n"/>
      <c r="W773" s="54" t="n"/>
      <c r="X773" s="54" t="n"/>
      <c r="Y773" s="54" t="n"/>
      <c r="Z773" s="54" t="n"/>
    </row>
    <row r="774" ht="15.75" customHeight="1" s="57">
      <c r="A774" s="54" t="n"/>
      <c r="B774" s="54" t="n"/>
      <c r="C774" s="54" t="n"/>
      <c r="D774" s="54" t="n"/>
      <c r="E774" s="54" t="n"/>
      <c r="F774" s="54" t="n"/>
      <c r="G774" s="54" t="n"/>
      <c r="H774" s="54" t="n"/>
      <c r="I774" s="54" t="n"/>
      <c r="J774" s="54" t="n"/>
      <c r="K774" s="54" t="n"/>
      <c r="L774" s="54" t="n"/>
      <c r="M774" s="54" t="n"/>
      <c r="N774" s="54" t="n"/>
      <c r="O774" s="54" t="n"/>
      <c r="P774" s="54" t="n"/>
      <c r="Q774" s="54" t="n"/>
      <c r="R774" s="54" t="n"/>
      <c r="S774" s="54" t="n"/>
      <c r="T774" s="54" t="n"/>
      <c r="U774" s="54" t="n"/>
      <c r="V774" s="54" t="n"/>
      <c r="W774" s="54" t="n"/>
      <c r="X774" s="54" t="n"/>
      <c r="Y774" s="54" t="n"/>
      <c r="Z774" s="54" t="n"/>
    </row>
    <row r="775" ht="15.75" customHeight="1" s="57">
      <c r="A775" s="54" t="n"/>
      <c r="B775" s="54" t="n"/>
      <c r="C775" s="54" t="n"/>
      <c r="D775" s="54" t="n"/>
      <c r="E775" s="54" t="n"/>
      <c r="F775" s="54" t="n"/>
      <c r="G775" s="54" t="n"/>
      <c r="H775" s="54" t="n"/>
      <c r="I775" s="54" t="n"/>
      <c r="J775" s="54" t="n"/>
      <c r="K775" s="54" t="n"/>
      <c r="L775" s="54" t="n"/>
      <c r="M775" s="54" t="n"/>
      <c r="N775" s="54" t="n"/>
      <c r="O775" s="54" t="n"/>
      <c r="P775" s="54" t="n"/>
      <c r="Q775" s="54" t="n"/>
      <c r="R775" s="54" t="n"/>
      <c r="S775" s="54" t="n"/>
      <c r="T775" s="54" t="n"/>
      <c r="U775" s="54" t="n"/>
      <c r="V775" s="54" t="n"/>
      <c r="W775" s="54" t="n"/>
      <c r="X775" s="54" t="n"/>
      <c r="Y775" s="54" t="n"/>
      <c r="Z775" s="54" t="n"/>
    </row>
    <row r="776" ht="15.75" customHeight="1" s="57">
      <c r="A776" s="54" t="n"/>
      <c r="B776" s="54" t="n"/>
      <c r="C776" s="54" t="n"/>
      <c r="D776" s="54" t="n"/>
      <c r="E776" s="54" t="n"/>
      <c r="F776" s="54" t="n"/>
      <c r="G776" s="54" t="n"/>
      <c r="H776" s="54" t="n"/>
      <c r="I776" s="54" t="n"/>
      <c r="J776" s="54" t="n"/>
      <c r="K776" s="54" t="n"/>
      <c r="L776" s="54" t="n"/>
      <c r="M776" s="54" t="n"/>
      <c r="N776" s="54" t="n"/>
      <c r="O776" s="54" t="n"/>
      <c r="P776" s="54" t="n"/>
      <c r="Q776" s="54" t="n"/>
      <c r="R776" s="54" t="n"/>
      <c r="S776" s="54" t="n"/>
      <c r="T776" s="54" t="n"/>
      <c r="U776" s="54" t="n"/>
      <c r="V776" s="54" t="n"/>
      <c r="W776" s="54" t="n"/>
      <c r="X776" s="54" t="n"/>
      <c r="Y776" s="54" t="n"/>
      <c r="Z776" s="54" t="n"/>
    </row>
    <row r="777" ht="15.75" customHeight="1" s="57">
      <c r="A777" s="54" t="n"/>
      <c r="B777" s="54" t="n"/>
      <c r="C777" s="54" t="n"/>
      <c r="D777" s="54" t="n"/>
      <c r="E777" s="54" t="n"/>
      <c r="F777" s="54" t="n"/>
      <c r="G777" s="54" t="n"/>
      <c r="H777" s="54" t="n"/>
      <c r="I777" s="54" t="n"/>
      <c r="J777" s="54" t="n"/>
      <c r="K777" s="54" t="n"/>
      <c r="L777" s="54" t="n"/>
      <c r="M777" s="54" t="n"/>
      <c r="N777" s="54" t="n"/>
      <c r="O777" s="54" t="n"/>
      <c r="P777" s="54" t="n"/>
      <c r="Q777" s="54" t="n"/>
      <c r="R777" s="54" t="n"/>
      <c r="S777" s="54" t="n"/>
      <c r="T777" s="54" t="n"/>
      <c r="U777" s="54" t="n"/>
      <c r="V777" s="54" t="n"/>
      <c r="W777" s="54" t="n"/>
      <c r="X777" s="54" t="n"/>
      <c r="Y777" s="54" t="n"/>
      <c r="Z777" s="54" t="n"/>
    </row>
    <row r="778" ht="15.75" customHeight="1" s="57">
      <c r="A778" s="54" t="n"/>
      <c r="B778" s="54" t="n"/>
      <c r="C778" s="54" t="n"/>
      <c r="D778" s="54" t="n"/>
      <c r="E778" s="54" t="n"/>
      <c r="F778" s="54" t="n"/>
      <c r="G778" s="54" t="n"/>
      <c r="H778" s="54" t="n"/>
      <c r="I778" s="54" t="n"/>
      <c r="J778" s="54" t="n"/>
      <c r="K778" s="54" t="n"/>
      <c r="L778" s="54" t="n"/>
      <c r="M778" s="54" t="n"/>
      <c r="N778" s="54" t="n"/>
      <c r="O778" s="54" t="n"/>
      <c r="P778" s="54" t="n"/>
      <c r="Q778" s="54" t="n"/>
      <c r="R778" s="54" t="n"/>
      <c r="S778" s="54" t="n"/>
      <c r="T778" s="54" t="n"/>
      <c r="U778" s="54" t="n"/>
      <c r="V778" s="54" t="n"/>
      <c r="W778" s="54" t="n"/>
      <c r="X778" s="54" t="n"/>
      <c r="Y778" s="54" t="n"/>
      <c r="Z778" s="54" t="n"/>
    </row>
    <row r="779" ht="15.75" customHeight="1" s="57">
      <c r="A779" s="54" t="n"/>
      <c r="B779" s="54" t="n"/>
      <c r="C779" s="54" t="n"/>
      <c r="D779" s="54" t="n"/>
      <c r="E779" s="54" t="n"/>
      <c r="F779" s="54" t="n"/>
      <c r="G779" s="54" t="n"/>
      <c r="H779" s="54" t="n"/>
      <c r="I779" s="54" t="n"/>
      <c r="J779" s="54" t="n"/>
      <c r="K779" s="54" t="n"/>
      <c r="L779" s="54" t="n"/>
      <c r="M779" s="54" t="n"/>
      <c r="N779" s="54" t="n"/>
      <c r="O779" s="54" t="n"/>
      <c r="P779" s="54" t="n"/>
      <c r="Q779" s="54" t="n"/>
      <c r="R779" s="54" t="n"/>
      <c r="S779" s="54" t="n"/>
      <c r="T779" s="54" t="n"/>
      <c r="U779" s="54" t="n"/>
      <c r="V779" s="54" t="n"/>
      <c r="W779" s="54" t="n"/>
      <c r="X779" s="54" t="n"/>
      <c r="Y779" s="54" t="n"/>
      <c r="Z779" s="54" t="n"/>
    </row>
    <row r="780" ht="15.75" customHeight="1" s="57">
      <c r="A780" s="54" t="n"/>
      <c r="B780" s="54" t="n"/>
      <c r="C780" s="54" t="n"/>
      <c r="D780" s="54" t="n"/>
      <c r="E780" s="54" t="n"/>
      <c r="F780" s="54" t="n"/>
      <c r="G780" s="54" t="n"/>
      <c r="H780" s="54" t="n"/>
      <c r="I780" s="54" t="n"/>
      <c r="J780" s="54" t="n"/>
      <c r="K780" s="54" t="n"/>
      <c r="L780" s="54" t="n"/>
      <c r="M780" s="54" t="n"/>
      <c r="N780" s="54" t="n"/>
      <c r="O780" s="54" t="n"/>
      <c r="P780" s="54" t="n"/>
      <c r="Q780" s="54" t="n"/>
      <c r="R780" s="54" t="n"/>
      <c r="S780" s="54" t="n"/>
      <c r="T780" s="54" t="n"/>
      <c r="U780" s="54" t="n"/>
      <c r="V780" s="54" t="n"/>
      <c r="W780" s="54" t="n"/>
      <c r="X780" s="54" t="n"/>
      <c r="Y780" s="54" t="n"/>
      <c r="Z780" s="54" t="n"/>
    </row>
    <row r="781" ht="15.75" customHeight="1" s="57">
      <c r="A781" s="54" t="n"/>
      <c r="B781" s="54" t="n"/>
      <c r="C781" s="54" t="n"/>
      <c r="D781" s="54" t="n"/>
      <c r="E781" s="54" t="n"/>
      <c r="F781" s="54" t="n"/>
      <c r="G781" s="54" t="n"/>
      <c r="H781" s="54" t="n"/>
      <c r="I781" s="54" t="n"/>
      <c r="J781" s="54" t="n"/>
      <c r="K781" s="54" t="n"/>
      <c r="L781" s="54" t="n"/>
      <c r="M781" s="54" t="n"/>
      <c r="N781" s="54" t="n"/>
      <c r="O781" s="54" t="n"/>
      <c r="P781" s="54" t="n"/>
      <c r="Q781" s="54" t="n"/>
      <c r="R781" s="54" t="n"/>
      <c r="S781" s="54" t="n"/>
      <c r="T781" s="54" t="n"/>
      <c r="U781" s="54" t="n"/>
      <c r="V781" s="54" t="n"/>
      <c r="W781" s="54" t="n"/>
      <c r="X781" s="54" t="n"/>
      <c r="Y781" s="54" t="n"/>
      <c r="Z781" s="54" t="n"/>
    </row>
    <row r="782" ht="15.75" customHeight="1" s="57">
      <c r="A782" s="54" t="n"/>
      <c r="B782" s="54" t="n"/>
      <c r="C782" s="54" t="n"/>
      <c r="D782" s="54" t="n"/>
      <c r="E782" s="54" t="n"/>
      <c r="F782" s="54" t="n"/>
      <c r="G782" s="54" t="n"/>
      <c r="H782" s="54" t="n"/>
      <c r="I782" s="54" t="n"/>
      <c r="J782" s="54" t="n"/>
      <c r="K782" s="54" t="n"/>
      <c r="L782" s="54" t="n"/>
      <c r="M782" s="54" t="n"/>
      <c r="N782" s="54" t="n"/>
      <c r="O782" s="54" t="n"/>
      <c r="P782" s="54" t="n"/>
      <c r="Q782" s="54" t="n"/>
      <c r="R782" s="54" t="n"/>
      <c r="S782" s="54" t="n"/>
      <c r="T782" s="54" t="n"/>
      <c r="U782" s="54" t="n"/>
      <c r="V782" s="54" t="n"/>
      <c r="W782" s="54" t="n"/>
      <c r="X782" s="54" t="n"/>
      <c r="Y782" s="54" t="n"/>
      <c r="Z782" s="54" t="n"/>
    </row>
    <row r="783" ht="15.75" customHeight="1" s="57">
      <c r="A783" s="54" t="n"/>
      <c r="B783" s="54" t="n"/>
      <c r="C783" s="54" t="n"/>
      <c r="D783" s="54" t="n"/>
      <c r="E783" s="54" t="n"/>
      <c r="F783" s="54" t="n"/>
      <c r="G783" s="54" t="n"/>
      <c r="H783" s="54" t="n"/>
      <c r="I783" s="54" t="n"/>
      <c r="J783" s="54" t="n"/>
      <c r="K783" s="54" t="n"/>
      <c r="L783" s="54" t="n"/>
      <c r="M783" s="54" t="n"/>
      <c r="N783" s="54" t="n"/>
      <c r="O783" s="54" t="n"/>
      <c r="P783" s="54" t="n"/>
      <c r="Q783" s="54" t="n"/>
      <c r="R783" s="54" t="n"/>
      <c r="S783" s="54" t="n"/>
      <c r="T783" s="54" t="n"/>
      <c r="U783" s="54" t="n"/>
      <c r="V783" s="54" t="n"/>
      <c r="W783" s="54" t="n"/>
      <c r="X783" s="54" t="n"/>
      <c r="Y783" s="54" t="n"/>
      <c r="Z783" s="54" t="n"/>
    </row>
    <row r="784" ht="15.75" customHeight="1" s="57">
      <c r="A784" s="54" t="n"/>
      <c r="B784" s="54" t="n"/>
      <c r="C784" s="54" t="n"/>
      <c r="D784" s="54" t="n"/>
      <c r="E784" s="54" t="n"/>
      <c r="F784" s="54" t="n"/>
      <c r="G784" s="54" t="n"/>
      <c r="H784" s="54" t="n"/>
      <c r="I784" s="54" t="n"/>
      <c r="J784" s="54" t="n"/>
      <c r="K784" s="54" t="n"/>
      <c r="L784" s="54" t="n"/>
      <c r="M784" s="54" t="n"/>
      <c r="N784" s="54" t="n"/>
      <c r="O784" s="54" t="n"/>
      <c r="P784" s="54" t="n"/>
      <c r="Q784" s="54" t="n"/>
      <c r="R784" s="54" t="n"/>
      <c r="S784" s="54" t="n"/>
      <c r="T784" s="54" t="n"/>
      <c r="U784" s="54" t="n"/>
      <c r="V784" s="54" t="n"/>
      <c r="W784" s="54" t="n"/>
      <c r="X784" s="54" t="n"/>
      <c r="Y784" s="54" t="n"/>
      <c r="Z784" s="54" t="n"/>
    </row>
    <row r="785" ht="15.75" customHeight="1" s="57">
      <c r="A785" s="54" t="n"/>
      <c r="B785" s="54" t="n"/>
      <c r="C785" s="54" t="n"/>
      <c r="D785" s="54" t="n"/>
      <c r="E785" s="54" t="n"/>
      <c r="F785" s="54" t="n"/>
      <c r="G785" s="54" t="n"/>
      <c r="H785" s="54" t="n"/>
      <c r="I785" s="54" t="n"/>
      <c r="J785" s="54" t="n"/>
      <c r="K785" s="54" t="n"/>
      <c r="L785" s="54" t="n"/>
      <c r="M785" s="54" t="n"/>
      <c r="N785" s="54" t="n"/>
      <c r="O785" s="54" t="n"/>
      <c r="P785" s="54" t="n"/>
      <c r="Q785" s="54" t="n"/>
      <c r="R785" s="54" t="n"/>
      <c r="S785" s="54" t="n"/>
      <c r="T785" s="54" t="n"/>
      <c r="U785" s="54" t="n"/>
      <c r="V785" s="54" t="n"/>
      <c r="W785" s="54" t="n"/>
      <c r="X785" s="54" t="n"/>
      <c r="Y785" s="54" t="n"/>
      <c r="Z785" s="54" t="n"/>
    </row>
    <row r="786" ht="15.75" customHeight="1" s="57">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row>
    <row r="787" ht="15.75" customHeight="1" s="57">
      <c r="A787" s="54" t="n"/>
      <c r="B787" s="54" t="n"/>
      <c r="C787" s="54" t="n"/>
      <c r="D787" s="54" t="n"/>
      <c r="E787" s="54" t="n"/>
      <c r="F787" s="54" t="n"/>
      <c r="G787" s="54" t="n"/>
      <c r="H787" s="54" t="n"/>
      <c r="I787" s="54" t="n"/>
      <c r="J787" s="54" t="n"/>
      <c r="K787" s="54" t="n"/>
      <c r="L787" s="54" t="n"/>
      <c r="M787" s="54" t="n"/>
      <c r="N787" s="54" t="n"/>
      <c r="O787" s="54" t="n"/>
      <c r="P787" s="54" t="n"/>
      <c r="Q787" s="54" t="n"/>
      <c r="R787" s="54" t="n"/>
      <c r="S787" s="54" t="n"/>
      <c r="T787" s="54" t="n"/>
      <c r="U787" s="54" t="n"/>
      <c r="V787" s="54" t="n"/>
      <c r="W787" s="54" t="n"/>
      <c r="X787" s="54" t="n"/>
      <c r="Y787" s="54" t="n"/>
      <c r="Z787" s="54" t="n"/>
    </row>
    <row r="788" ht="15.75" customHeight="1" s="57">
      <c r="A788" s="54" t="n"/>
      <c r="B788" s="54" t="n"/>
      <c r="C788" s="54" t="n"/>
      <c r="D788" s="54" t="n"/>
      <c r="E788" s="54" t="n"/>
      <c r="F788" s="54" t="n"/>
      <c r="G788" s="54" t="n"/>
      <c r="H788" s="54" t="n"/>
      <c r="I788" s="54" t="n"/>
      <c r="J788" s="54" t="n"/>
      <c r="K788" s="54" t="n"/>
      <c r="L788" s="54" t="n"/>
      <c r="M788" s="54" t="n"/>
      <c r="N788" s="54" t="n"/>
      <c r="O788" s="54" t="n"/>
      <c r="P788" s="54" t="n"/>
      <c r="Q788" s="54" t="n"/>
      <c r="R788" s="54" t="n"/>
      <c r="S788" s="54" t="n"/>
      <c r="T788" s="54" t="n"/>
      <c r="U788" s="54" t="n"/>
      <c r="V788" s="54" t="n"/>
      <c r="W788" s="54" t="n"/>
      <c r="X788" s="54" t="n"/>
      <c r="Y788" s="54" t="n"/>
      <c r="Z788" s="54" t="n"/>
    </row>
    <row r="789" ht="15.75" customHeight="1" s="57">
      <c r="A789" s="54" t="n"/>
      <c r="B789" s="54" t="n"/>
      <c r="C789" s="54" t="n"/>
      <c r="D789" s="54" t="n"/>
      <c r="E789" s="54" t="n"/>
      <c r="F789" s="54" t="n"/>
      <c r="G789" s="54" t="n"/>
      <c r="H789" s="54" t="n"/>
      <c r="I789" s="54" t="n"/>
      <c r="J789" s="54" t="n"/>
      <c r="K789" s="54" t="n"/>
      <c r="L789" s="54" t="n"/>
      <c r="M789" s="54" t="n"/>
      <c r="N789" s="54" t="n"/>
      <c r="O789" s="54" t="n"/>
      <c r="P789" s="54" t="n"/>
      <c r="Q789" s="54" t="n"/>
      <c r="R789" s="54" t="n"/>
      <c r="S789" s="54" t="n"/>
      <c r="T789" s="54" t="n"/>
      <c r="U789" s="54" t="n"/>
      <c r="V789" s="54" t="n"/>
      <c r="W789" s="54" t="n"/>
      <c r="X789" s="54" t="n"/>
      <c r="Y789" s="54" t="n"/>
      <c r="Z789" s="54" t="n"/>
    </row>
    <row r="790" ht="15.75" customHeight="1" s="57">
      <c r="A790" s="54" t="n"/>
      <c r="B790" s="54" t="n"/>
      <c r="C790" s="54" t="n"/>
      <c r="D790" s="54" t="n"/>
      <c r="E790" s="54" t="n"/>
      <c r="F790" s="54" t="n"/>
      <c r="G790" s="54" t="n"/>
      <c r="H790" s="54" t="n"/>
      <c r="I790" s="54" t="n"/>
      <c r="J790" s="54" t="n"/>
      <c r="K790" s="54" t="n"/>
      <c r="L790" s="54" t="n"/>
      <c r="M790" s="54" t="n"/>
      <c r="N790" s="54" t="n"/>
      <c r="O790" s="54" t="n"/>
      <c r="P790" s="54" t="n"/>
      <c r="Q790" s="54" t="n"/>
      <c r="R790" s="54" t="n"/>
      <c r="S790" s="54" t="n"/>
      <c r="T790" s="54" t="n"/>
      <c r="U790" s="54" t="n"/>
      <c r="V790" s="54" t="n"/>
      <c r="W790" s="54" t="n"/>
      <c r="X790" s="54" t="n"/>
      <c r="Y790" s="54" t="n"/>
      <c r="Z790" s="54" t="n"/>
    </row>
    <row r="791" ht="15.75" customHeight="1" s="57">
      <c r="A791" s="54" t="n"/>
      <c r="B791" s="54" t="n"/>
      <c r="C791" s="54" t="n"/>
      <c r="D791" s="54" t="n"/>
      <c r="E791" s="54" t="n"/>
      <c r="F791" s="54" t="n"/>
      <c r="G791" s="54" t="n"/>
      <c r="H791" s="54" t="n"/>
      <c r="I791" s="54" t="n"/>
      <c r="J791" s="54" t="n"/>
      <c r="K791" s="54" t="n"/>
      <c r="L791" s="54" t="n"/>
      <c r="M791" s="54" t="n"/>
      <c r="N791" s="54" t="n"/>
      <c r="O791" s="54" t="n"/>
      <c r="P791" s="54" t="n"/>
      <c r="Q791" s="54" t="n"/>
      <c r="R791" s="54" t="n"/>
      <c r="S791" s="54" t="n"/>
      <c r="T791" s="54" t="n"/>
      <c r="U791" s="54" t="n"/>
      <c r="V791" s="54" t="n"/>
      <c r="W791" s="54" t="n"/>
      <c r="X791" s="54" t="n"/>
      <c r="Y791" s="54" t="n"/>
      <c r="Z791" s="54" t="n"/>
    </row>
    <row r="792" ht="15.75" customHeight="1" s="57">
      <c r="A792" s="54" t="n"/>
      <c r="B792" s="54" t="n"/>
      <c r="C792" s="54" t="n"/>
      <c r="D792" s="54" t="n"/>
      <c r="E792" s="54" t="n"/>
      <c r="F792" s="54" t="n"/>
      <c r="G792" s="54" t="n"/>
      <c r="H792" s="54" t="n"/>
      <c r="I792" s="54" t="n"/>
      <c r="J792" s="54" t="n"/>
      <c r="K792" s="54" t="n"/>
      <c r="L792" s="54" t="n"/>
      <c r="M792" s="54" t="n"/>
      <c r="N792" s="54" t="n"/>
      <c r="O792" s="54" t="n"/>
      <c r="P792" s="54" t="n"/>
      <c r="Q792" s="54" t="n"/>
      <c r="R792" s="54" t="n"/>
      <c r="S792" s="54" t="n"/>
      <c r="T792" s="54" t="n"/>
      <c r="U792" s="54" t="n"/>
      <c r="V792" s="54" t="n"/>
      <c r="W792" s="54" t="n"/>
      <c r="X792" s="54" t="n"/>
      <c r="Y792" s="54" t="n"/>
      <c r="Z792" s="54" t="n"/>
    </row>
    <row r="793" ht="15.75" customHeight="1" s="57">
      <c r="A793" s="54" t="n"/>
      <c r="B793" s="54" t="n"/>
      <c r="C793" s="54" t="n"/>
      <c r="D793" s="54" t="n"/>
      <c r="E793" s="54" t="n"/>
      <c r="F793" s="54" t="n"/>
      <c r="G793" s="54" t="n"/>
      <c r="H793" s="54" t="n"/>
      <c r="I793" s="54" t="n"/>
      <c r="J793" s="54" t="n"/>
      <c r="K793" s="54" t="n"/>
      <c r="L793" s="54" t="n"/>
      <c r="M793" s="54" t="n"/>
      <c r="N793" s="54" t="n"/>
      <c r="O793" s="54" t="n"/>
      <c r="P793" s="54" t="n"/>
      <c r="Q793" s="54" t="n"/>
      <c r="R793" s="54" t="n"/>
      <c r="S793" s="54" t="n"/>
      <c r="T793" s="54" t="n"/>
      <c r="U793" s="54" t="n"/>
      <c r="V793" s="54" t="n"/>
      <c r="W793" s="54" t="n"/>
      <c r="X793" s="54" t="n"/>
      <c r="Y793" s="54" t="n"/>
      <c r="Z793" s="54" t="n"/>
    </row>
    <row r="794" ht="15.75" customHeight="1" s="57">
      <c r="A794" s="54" t="n"/>
      <c r="B794" s="54" t="n"/>
      <c r="C794" s="54" t="n"/>
      <c r="D794" s="54" t="n"/>
      <c r="E794" s="54" t="n"/>
      <c r="F794" s="54" t="n"/>
      <c r="G794" s="54" t="n"/>
      <c r="H794" s="54" t="n"/>
      <c r="I794" s="54" t="n"/>
      <c r="J794" s="54" t="n"/>
      <c r="K794" s="54" t="n"/>
      <c r="L794" s="54" t="n"/>
      <c r="M794" s="54" t="n"/>
      <c r="N794" s="54" t="n"/>
      <c r="O794" s="54" t="n"/>
      <c r="P794" s="54" t="n"/>
      <c r="Q794" s="54" t="n"/>
      <c r="R794" s="54" t="n"/>
      <c r="S794" s="54" t="n"/>
      <c r="T794" s="54" t="n"/>
      <c r="U794" s="54" t="n"/>
      <c r="V794" s="54" t="n"/>
      <c r="W794" s="54" t="n"/>
      <c r="X794" s="54" t="n"/>
      <c r="Y794" s="54" t="n"/>
      <c r="Z794" s="54" t="n"/>
    </row>
    <row r="795" ht="15.75" customHeight="1" s="57">
      <c r="A795" s="54" t="n"/>
      <c r="B795" s="54" t="n"/>
      <c r="C795" s="54" t="n"/>
      <c r="D795" s="54" t="n"/>
      <c r="E795" s="54" t="n"/>
      <c r="F795" s="54" t="n"/>
      <c r="G795" s="54" t="n"/>
      <c r="H795" s="54" t="n"/>
      <c r="I795" s="54" t="n"/>
      <c r="J795" s="54" t="n"/>
      <c r="K795" s="54" t="n"/>
      <c r="L795" s="54" t="n"/>
      <c r="M795" s="54" t="n"/>
      <c r="N795" s="54" t="n"/>
      <c r="O795" s="54" t="n"/>
      <c r="P795" s="54" t="n"/>
      <c r="Q795" s="54" t="n"/>
      <c r="R795" s="54" t="n"/>
      <c r="S795" s="54" t="n"/>
      <c r="T795" s="54" t="n"/>
      <c r="U795" s="54" t="n"/>
      <c r="V795" s="54" t="n"/>
      <c r="W795" s="54" t="n"/>
      <c r="X795" s="54" t="n"/>
      <c r="Y795" s="54" t="n"/>
      <c r="Z795" s="54" t="n"/>
    </row>
    <row r="796" ht="15.75" customHeight="1" s="57">
      <c r="A796" s="54" t="n"/>
      <c r="B796" s="54" t="n"/>
      <c r="C796" s="54" t="n"/>
      <c r="D796" s="54" t="n"/>
      <c r="E796" s="54" t="n"/>
      <c r="F796" s="54" t="n"/>
      <c r="G796" s="54" t="n"/>
      <c r="H796" s="54" t="n"/>
      <c r="I796" s="54" t="n"/>
      <c r="J796" s="54" t="n"/>
      <c r="K796" s="54" t="n"/>
      <c r="L796" s="54" t="n"/>
      <c r="M796" s="54" t="n"/>
      <c r="N796" s="54" t="n"/>
      <c r="O796" s="54" t="n"/>
      <c r="P796" s="54" t="n"/>
      <c r="Q796" s="54" t="n"/>
      <c r="R796" s="54" t="n"/>
      <c r="S796" s="54" t="n"/>
      <c r="T796" s="54" t="n"/>
      <c r="U796" s="54" t="n"/>
      <c r="V796" s="54" t="n"/>
      <c r="W796" s="54" t="n"/>
      <c r="X796" s="54" t="n"/>
      <c r="Y796" s="54" t="n"/>
      <c r="Z796" s="54" t="n"/>
    </row>
    <row r="797" ht="15.75" customHeight="1" s="57">
      <c r="A797" s="54" t="n"/>
      <c r="B797" s="54" t="n"/>
      <c r="C797" s="54" t="n"/>
      <c r="D797" s="54" t="n"/>
      <c r="E797" s="54" t="n"/>
      <c r="F797" s="54" t="n"/>
      <c r="G797" s="54" t="n"/>
      <c r="H797" s="54" t="n"/>
      <c r="I797" s="54" t="n"/>
      <c r="J797" s="54" t="n"/>
      <c r="K797" s="54" t="n"/>
      <c r="L797" s="54" t="n"/>
      <c r="M797" s="54" t="n"/>
      <c r="N797" s="54" t="n"/>
      <c r="O797" s="54" t="n"/>
      <c r="P797" s="54" t="n"/>
      <c r="Q797" s="54" t="n"/>
      <c r="R797" s="54" t="n"/>
      <c r="S797" s="54" t="n"/>
      <c r="T797" s="54" t="n"/>
      <c r="U797" s="54" t="n"/>
      <c r="V797" s="54" t="n"/>
      <c r="W797" s="54" t="n"/>
      <c r="X797" s="54" t="n"/>
      <c r="Y797" s="54" t="n"/>
      <c r="Z797" s="54" t="n"/>
    </row>
    <row r="798" ht="15.75" customHeight="1" s="57">
      <c r="A798" s="54" t="n"/>
      <c r="B798" s="54" t="n"/>
      <c r="C798" s="54" t="n"/>
      <c r="D798" s="54" t="n"/>
      <c r="E798" s="54" t="n"/>
      <c r="F798" s="54" t="n"/>
      <c r="G798" s="54" t="n"/>
      <c r="H798" s="54" t="n"/>
      <c r="I798" s="54" t="n"/>
      <c r="J798" s="54" t="n"/>
      <c r="K798" s="54" t="n"/>
      <c r="L798" s="54" t="n"/>
      <c r="M798" s="54" t="n"/>
      <c r="N798" s="54" t="n"/>
      <c r="O798" s="54" t="n"/>
      <c r="P798" s="54" t="n"/>
      <c r="Q798" s="54" t="n"/>
      <c r="R798" s="54" t="n"/>
      <c r="S798" s="54" t="n"/>
      <c r="T798" s="54" t="n"/>
      <c r="U798" s="54" t="n"/>
      <c r="V798" s="54" t="n"/>
      <c r="W798" s="54" t="n"/>
      <c r="X798" s="54" t="n"/>
      <c r="Y798" s="54" t="n"/>
      <c r="Z798" s="54" t="n"/>
    </row>
    <row r="799" ht="15.75" customHeight="1" s="57">
      <c r="A799" s="54" t="n"/>
      <c r="B799" s="54" t="n"/>
      <c r="C799" s="54" t="n"/>
      <c r="D799" s="54" t="n"/>
      <c r="E799" s="54" t="n"/>
      <c r="F799" s="54" t="n"/>
      <c r="G799" s="54" t="n"/>
      <c r="H799" s="54" t="n"/>
      <c r="I799" s="54" t="n"/>
      <c r="J799" s="54" t="n"/>
      <c r="K799" s="54" t="n"/>
      <c r="L799" s="54" t="n"/>
      <c r="M799" s="54" t="n"/>
      <c r="N799" s="54" t="n"/>
      <c r="O799" s="54" t="n"/>
      <c r="P799" s="54" t="n"/>
      <c r="Q799" s="54" t="n"/>
      <c r="R799" s="54" t="n"/>
      <c r="S799" s="54" t="n"/>
      <c r="T799" s="54" t="n"/>
      <c r="U799" s="54" t="n"/>
      <c r="V799" s="54" t="n"/>
      <c r="W799" s="54" t="n"/>
      <c r="X799" s="54" t="n"/>
      <c r="Y799" s="54" t="n"/>
      <c r="Z799" s="54" t="n"/>
    </row>
    <row r="800" ht="15.75" customHeight="1" s="57">
      <c r="A800" s="54" t="n"/>
      <c r="B800" s="54" t="n"/>
      <c r="C800" s="54" t="n"/>
      <c r="D800" s="54" t="n"/>
      <c r="E800" s="54" t="n"/>
      <c r="F800" s="54" t="n"/>
      <c r="G800" s="54" t="n"/>
      <c r="H800" s="54" t="n"/>
      <c r="I800" s="54" t="n"/>
      <c r="J800" s="54" t="n"/>
      <c r="K800" s="54" t="n"/>
      <c r="L800" s="54" t="n"/>
      <c r="M800" s="54" t="n"/>
      <c r="N800" s="54" t="n"/>
      <c r="O800" s="54" t="n"/>
      <c r="P800" s="54" t="n"/>
      <c r="Q800" s="54" t="n"/>
      <c r="R800" s="54" t="n"/>
      <c r="S800" s="54" t="n"/>
      <c r="T800" s="54" t="n"/>
      <c r="U800" s="54" t="n"/>
      <c r="V800" s="54" t="n"/>
      <c r="W800" s="54" t="n"/>
      <c r="X800" s="54" t="n"/>
      <c r="Y800" s="54" t="n"/>
      <c r="Z800" s="54" t="n"/>
    </row>
    <row r="801" ht="15.75" customHeight="1" s="57">
      <c r="A801" s="54" t="n"/>
      <c r="B801" s="54" t="n"/>
      <c r="C801" s="54" t="n"/>
      <c r="D801" s="54" t="n"/>
      <c r="E801" s="54" t="n"/>
      <c r="F801" s="54" t="n"/>
      <c r="G801" s="54" t="n"/>
      <c r="H801" s="54" t="n"/>
      <c r="I801" s="54" t="n"/>
      <c r="J801" s="54" t="n"/>
      <c r="K801" s="54" t="n"/>
      <c r="L801" s="54" t="n"/>
      <c r="M801" s="54" t="n"/>
      <c r="N801" s="54" t="n"/>
      <c r="O801" s="54" t="n"/>
      <c r="P801" s="54" t="n"/>
      <c r="Q801" s="54" t="n"/>
      <c r="R801" s="54" t="n"/>
      <c r="S801" s="54" t="n"/>
      <c r="T801" s="54" t="n"/>
      <c r="U801" s="54" t="n"/>
      <c r="V801" s="54" t="n"/>
      <c r="W801" s="54" t="n"/>
      <c r="X801" s="54" t="n"/>
      <c r="Y801" s="54" t="n"/>
      <c r="Z801" s="54" t="n"/>
    </row>
    <row r="802" ht="15.75" customHeight="1" s="57">
      <c r="A802" s="54" t="n"/>
      <c r="B802" s="54" t="n"/>
      <c r="C802" s="54" t="n"/>
      <c r="D802" s="54" t="n"/>
      <c r="E802" s="54" t="n"/>
      <c r="F802" s="54" t="n"/>
      <c r="G802" s="54" t="n"/>
      <c r="H802" s="54" t="n"/>
      <c r="I802" s="54" t="n"/>
      <c r="J802" s="54" t="n"/>
      <c r="K802" s="54" t="n"/>
      <c r="L802" s="54" t="n"/>
      <c r="M802" s="54" t="n"/>
      <c r="N802" s="54" t="n"/>
      <c r="O802" s="54" t="n"/>
      <c r="P802" s="54" t="n"/>
      <c r="Q802" s="54" t="n"/>
      <c r="R802" s="54" t="n"/>
      <c r="S802" s="54" t="n"/>
      <c r="T802" s="54" t="n"/>
      <c r="U802" s="54" t="n"/>
      <c r="V802" s="54" t="n"/>
      <c r="W802" s="54" t="n"/>
      <c r="X802" s="54" t="n"/>
      <c r="Y802" s="54" t="n"/>
      <c r="Z802" s="54" t="n"/>
    </row>
    <row r="803" ht="15.75" customHeight="1" s="57">
      <c r="A803" s="54" t="n"/>
      <c r="B803" s="54" t="n"/>
      <c r="C803" s="54" t="n"/>
      <c r="D803" s="54" t="n"/>
      <c r="E803" s="54" t="n"/>
      <c r="F803" s="54" t="n"/>
      <c r="G803" s="54" t="n"/>
      <c r="H803" s="54" t="n"/>
      <c r="I803" s="54" t="n"/>
      <c r="J803" s="54" t="n"/>
      <c r="K803" s="54" t="n"/>
      <c r="L803" s="54" t="n"/>
      <c r="M803" s="54" t="n"/>
      <c r="N803" s="54" t="n"/>
      <c r="O803" s="54" t="n"/>
      <c r="P803" s="54" t="n"/>
      <c r="Q803" s="54" t="n"/>
      <c r="R803" s="54" t="n"/>
      <c r="S803" s="54" t="n"/>
      <c r="T803" s="54" t="n"/>
      <c r="U803" s="54" t="n"/>
      <c r="V803" s="54" t="n"/>
      <c r="W803" s="54" t="n"/>
      <c r="X803" s="54" t="n"/>
      <c r="Y803" s="54" t="n"/>
      <c r="Z803" s="54" t="n"/>
    </row>
    <row r="804" ht="15.75" customHeight="1" s="57">
      <c r="A804" s="54" t="n"/>
      <c r="B804" s="54" t="n"/>
      <c r="C804" s="54" t="n"/>
      <c r="D804" s="54" t="n"/>
      <c r="E804" s="54" t="n"/>
      <c r="F804" s="54" t="n"/>
      <c r="G804" s="54" t="n"/>
      <c r="H804" s="54" t="n"/>
      <c r="I804" s="54" t="n"/>
      <c r="J804" s="54" t="n"/>
      <c r="K804" s="54" t="n"/>
      <c r="L804" s="54" t="n"/>
      <c r="M804" s="54" t="n"/>
      <c r="N804" s="54" t="n"/>
      <c r="O804" s="54" t="n"/>
      <c r="P804" s="54" t="n"/>
      <c r="Q804" s="54" t="n"/>
      <c r="R804" s="54" t="n"/>
      <c r="S804" s="54" t="n"/>
      <c r="T804" s="54" t="n"/>
      <c r="U804" s="54" t="n"/>
      <c r="V804" s="54" t="n"/>
      <c r="W804" s="54" t="n"/>
      <c r="X804" s="54" t="n"/>
      <c r="Y804" s="54" t="n"/>
      <c r="Z804" s="54" t="n"/>
    </row>
    <row r="805" ht="15.75" customHeight="1" s="57">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54" t="n"/>
      <c r="U805" s="54" t="n"/>
      <c r="V805" s="54" t="n"/>
      <c r="W805" s="54" t="n"/>
      <c r="X805" s="54" t="n"/>
      <c r="Y805" s="54" t="n"/>
      <c r="Z805" s="54" t="n"/>
    </row>
    <row r="806" ht="15.75" customHeight="1" s="57">
      <c r="A806" s="54" t="n"/>
      <c r="B806" s="54" t="n"/>
      <c r="C806" s="54" t="n"/>
      <c r="D806" s="54" t="n"/>
      <c r="E806" s="54" t="n"/>
      <c r="F806" s="54" t="n"/>
      <c r="G806" s="54" t="n"/>
      <c r="H806" s="54" t="n"/>
      <c r="I806" s="54" t="n"/>
      <c r="J806" s="54" t="n"/>
      <c r="K806" s="54" t="n"/>
      <c r="L806" s="54" t="n"/>
      <c r="M806" s="54" t="n"/>
      <c r="N806" s="54" t="n"/>
      <c r="O806" s="54" t="n"/>
      <c r="P806" s="54" t="n"/>
      <c r="Q806" s="54" t="n"/>
      <c r="R806" s="54" t="n"/>
      <c r="S806" s="54" t="n"/>
      <c r="T806" s="54" t="n"/>
      <c r="U806" s="54" t="n"/>
      <c r="V806" s="54" t="n"/>
      <c r="W806" s="54" t="n"/>
      <c r="X806" s="54" t="n"/>
      <c r="Y806" s="54" t="n"/>
      <c r="Z806" s="54" t="n"/>
    </row>
    <row r="807" ht="15.75" customHeight="1" s="57">
      <c r="A807" s="54" t="n"/>
      <c r="B807" s="54" t="n"/>
      <c r="C807" s="54" t="n"/>
      <c r="D807" s="54" t="n"/>
      <c r="E807" s="54" t="n"/>
      <c r="F807" s="54" t="n"/>
      <c r="G807" s="54" t="n"/>
      <c r="H807" s="54" t="n"/>
      <c r="I807" s="54" t="n"/>
      <c r="J807" s="54" t="n"/>
      <c r="K807" s="54" t="n"/>
      <c r="L807" s="54" t="n"/>
      <c r="M807" s="54" t="n"/>
      <c r="N807" s="54" t="n"/>
      <c r="O807" s="54" t="n"/>
      <c r="P807" s="54" t="n"/>
      <c r="Q807" s="54" t="n"/>
      <c r="R807" s="54" t="n"/>
      <c r="S807" s="54" t="n"/>
      <c r="T807" s="54" t="n"/>
      <c r="U807" s="54" t="n"/>
      <c r="V807" s="54" t="n"/>
      <c r="W807" s="54" t="n"/>
      <c r="X807" s="54" t="n"/>
      <c r="Y807" s="54" t="n"/>
      <c r="Z807" s="54" t="n"/>
    </row>
    <row r="808" ht="15.75" customHeight="1" s="57">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row>
    <row r="809" ht="15.75" customHeight="1" s="57">
      <c r="A809" s="54" t="n"/>
      <c r="B809" s="54" t="n"/>
      <c r="C809" s="54" t="n"/>
      <c r="D809" s="54" t="n"/>
      <c r="E809" s="54" t="n"/>
      <c r="F809" s="54" t="n"/>
      <c r="G809" s="54" t="n"/>
      <c r="H809" s="54" t="n"/>
      <c r="I809" s="54" t="n"/>
      <c r="J809" s="54" t="n"/>
      <c r="K809" s="54" t="n"/>
      <c r="L809" s="54" t="n"/>
      <c r="M809" s="54" t="n"/>
      <c r="N809" s="54" t="n"/>
      <c r="O809" s="54" t="n"/>
      <c r="P809" s="54" t="n"/>
      <c r="Q809" s="54" t="n"/>
      <c r="R809" s="54" t="n"/>
      <c r="S809" s="54" t="n"/>
      <c r="T809" s="54" t="n"/>
      <c r="U809" s="54" t="n"/>
      <c r="V809" s="54" t="n"/>
      <c r="W809" s="54" t="n"/>
      <c r="X809" s="54" t="n"/>
      <c r="Y809" s="54" t="n"/>
      <c r="Z809" s="54" t="n"/>
    </row>
    <row r="810" ht="15.75" customHeight="1" s="57">
      <c r="A810" s="54" t="n"/>
      <c r="B810" s="54" t="n"/>
      <c r="C810" s="54" t="n"/>
      <c r="D810" s="54" t="n"/>
      <c r="E810" s="54" t="n"/>
      <c r="F810" s="54" t="n"/>
      <c r="G810" s="54" t="n"/>
      <c r="H810" s="54" t="n"/>
      <c r="I810" s="54" t="n"/>
      <c r="J810" s="54" t="n"/>
      <c r="K810" s="54" t="n"/>
      <c r="L810" s="54" t="n"/>
      <c r="M810" s="54" t="n"/>
      <c r="N810" s="54" t="n"/>
      <c r="O810" s="54" t="n"/>
      <c r="P810" s="54" t="n"/>
      <c r="Q810" s="54" t="n"/>
      <c r="R810" s="54" t="n"/>
      <c r="S810" s="54" t="n"/>
      <c r="T810" s="54" t="n"/>
      <c r="U810" s="54" t="n"/>
      <c r="V810" s="54" t="n"/>
      <c r="W810" s="54" t="n"/>
      <c r="X810" s="54" t="n"/>
      <c r="Y810" s="54" t="n"/>
      <c r="Z810" s="54" t="n"/>
    </row>
    <row r="811" ht="15.75" customHeight="1" s="57">
      <c r="A811" s="54" t="n"/>
      <c r="B811" s="54" t="n"/>
      <c r="C811" s="54" t="n"/>
      <c r="D811" s="54" t="n"/>
      <c r="E811" s="54" t="n"/>
      <c r="F811" s="54" t="n"/>
      <c r="G811" s="54" t="n"/>
      <c r="H811" s="54" t="n"/>
      <c r="I811" s="54" t="n"/>
      <c r="J811" s="54" t="n"/>
      <c r="K811" s="54" t="n"/>
      <c r="L811" s="54" t="n"/>
      <c r="M811" s="54" t="n"/>
      <c r="N811" s="54" t="n"/>
      <c r="O811" s="54" t="n"/>
      <c r="P811" s="54" t="n"/>
      <c r="Q811" s="54" t="n"/>
      <c r="R811" s="54" t="n"/>
      <c r="S811" s="54" t="n"/>
      <c r="T811" s="54" t="n"/>
      <c r="U811" s="54" t="n"/>
      <c r="V811" s="54" t="n"/>
      <c r="W811" s="54" t="n"/>
      <c r="X811" s="54" t="n"/>
      <c r="Y811" s="54" t="n"/>
      <c r="Z811" s="54" t="n"/>
    </row>
    <row r="812" ht="15.75" customHeight="1" s="57">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row>
    <row r="813" ht="15.75" customHeight="1" s="57">
      <c r="A813" s="54" t="n"/>
      <c r="B813" s="54" t="n"/>
      <c r="C813" s="54" t="n"/>
      <c r="D813" s="54" t="n"/>
      <c r="E813" s="54" t="n"/>
      <c r="F813" s="54" t="n"/>
      <c r="G813" s="54" t="n"/>
      <c r="H813" s="54" t="n"/>
      <c r="I813" s="54" t="n"/>
      <c r="J813" s="54" t="n"/>
      <c r="K813" s="54" t="n"/>
      <c r="L813" s="54" t="n"/>
      <c r="M813" s="54" t="n"/>
      <c r="N813" s="54" t="n"/>
      <c r="O813" s="54" t="n"/>
      <c r="P813" s="54" t="n"/>
      <c r="Q813" s="54" t="n"/>
      <c r="R813" s="54" t="n"/>
      <c r="S813" s="54" t="n"/>
      <c r="T813" s="54" t="n"/>
      <c r="U813" s="54" t="n"/>
      <c r="V813" s="54" t="n"/>
      <c r="W813" s="54" t="n"/>
      <c r="X813" s="54" t="n"/>
      <c r="Y813" s="54" t="n"/>
      <c r="Z813" s="54" t="n"/>
    </row>
    <row r="814" ht="15.75" customHeight="1" s="57">
      <c r="A814" s="54" t="n"/>
      <c r="B814" s="54" t="n"/>
      <c r="C814" s="54" t="n"/>
      <c r="D814" s="54" t="n"/>
      <c r="E814" s="54" t="n"/>
      <c r="F814" s="54" t="n"/>
      <c r="G814" s="54" t="n"/>
      <c r="H814" s="54" t="n"/>
      <c r="I814" s="54" t="n"/>
      <c r="J814" s="54" t="n"/>
      <c r="K814" s="54" t="n"/>
      <c r="L814" s="54" t="n"/>
      <c r="M814" s="54" t="n"/>
      <c r="N814" s="54" t="n"/>
      <c r="O814" s="54" t="n"/>
      <c r="P814" s="54" t="n"/>
      <c r="Q814" s="54" t="n"/>
      <c r="R814" s="54" t="n"/>
      <c r="S814" s="54" t="n"/>
      <c r="T814" s="54" t="n"/>
      <c r="U814" s="54" t="n"/>
      <c r="V814" s="54" t="n"/>
      <c r="W814" s="54" t="n"/>
      <c r="X814" s="54" t="n"/>
      <c r="Y814" s="54" t="n"/>
      <c r="Z814" s="54" t="n"/>
    </row>
    <row r="815" ht="15.75" customHeight="1" s="57">
      <c r="A815" s="54" t="n"/>
      <c r="B815" s="54" t="n"/>
      <c r="C815" s="54" t="n"/>
      <c r="D815" s="54" t="n"/>
      <c r="E815" s="54" t="n"/>
      <c r="F815" s="54" t="n"/>
      <c r="G815" s="54" t="n"/>
      <c r="H815" s="54" t="n"/>
      <c r="I815" s="54" t="n"/>
      <c r="J815" s="54" t="n"/>
      <c r="K815" s="54" t="n"/>
      <c r="L815" s="54" t="n"/>
      <c r="M815" s="54" t="n"/>
      <c r="N815" s="54" t="n"/>
      <c r="O815" s="54" t="n"/>
      <c r="P815" s="54" t="n"/>
      <c r="Q815" s="54" t="n"/>
      <c r="R815" s="54" t="n"/>
      <c r="S815" s="54" t="n"/>
      <c r="T815" s="54" t="n"/>
      <c r="U815" s="54" t="n"/>
      <c r="V815" s="54" t="n"/>
      <c r="W815" s="54" t="n"/>
      <c r="X815" s="54" t="n"/>
      <c r="Y815" s="54" t="n"/>
      <c r="Z815" s="54" t="n"/>
    </row>
    <row r="816" ht="15.75" customHeight="1" s="57">
      <c r="A816" s="54" t="n"/>
      <c r="B816" s="54" t="n"/>
      <c r="C816" s="54" t="n"/>
      <c r="D816" s="54" t="n"/>
      <c r="E816" s="54" t="n"/>
      <c r="F816" s="54" t="n"/>
      <c r="G816" s="54" t="n"/>
      <c r="H816" s="54" t="n"/>
      <c r="I816" s="54" t="n"/>
      <c r="J816" s="54" t="n"/>
      <c r="K816" s="54" t="n"/>
      <c r="L816" s="54" t="n"/>
      <c r="M816" s="54" t="n"/>
      <c r="N816" s="54" t="n"/>
      <c r="O816" s="54" t="n"/>
      <c r="P816" s="54" t="n"/>
      <c r="Q816" s="54" t="n"/>
      <c r="R816" s="54" t="n"/>
      <c r="S816" s="54" t="n"/>
      <c r="T816" s="54" t="n"/>
      <c r="U816" s="54" t="n"/>
      <c r="V816" s="54" t="n"/>
      <c r="W816" s="54" t="n"/>
      <c r="X816" s="54" t="n"/>
      <c r="Y816" s="54" t="n"/>
      <c r="Z816" s="54" t="n"/>
    </row>
    <row r="817" ht="15.75" customHeight="1" s="57">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row>
    <row r="818" ht="15.75" customHeight="1" s="57">
      <c r="A818" s="54" t="n"/>
      <c r="B818" s="54" t="n"/>
      <c r="C818" s="54" t="n"/>
      <c r="D818" s="54" t="n"/>
      <c r="E818" s="54" t="n"/>
      <c r="F818" s="54" t="n"/>
      <c r="G818" s="54" t="n"/>
      <c r="H818" s="54" t="n"/>
      <c r="I818" s="54" t="n"/>
      <c r="J818" s="54" t="n"/>
      <c r="K818" s="54" t="n"/>
      <c r="L818" s="54" t="n"/>
      <c r="M818" s="54" t="n"/>
      <c r="N818" s="54" t="n"/>
      <c r="O818" s="54" t="n"/>
      <c r="P818" s="54" t="n"/>
      <c r="Q818" s="54" t="n"/>
      <c r="R818" s="54" t="n"/>
      <c r="S818" s="54" t="n"/>
      <c r="T818" s="54" t="n"/>
      <c r="U818" s="54" t="n"/>
      <c r="V818" s="54" t="n"/>
      <c r="W818" s="54" t="n"/>
      <c r="X818" s="54" t="n"/>
      <c r="Y818" s="54" t="n"/>
      <c r="Z818" s="54" t="n"/>
    </row>
    <row r="819" ht="15.75" customHeight="1" s="57">
      <c r="A819" s="54" t="n"/>
      <c r="B819" s="54" t="n"/>
      <c r="C819" s="54" t="n"/>
      <c r="D819" s="54" t="n"/>
      <c r="E819" s="54" t="n"/>
      <c r="F819" s="54" t="n"/>
      <c r="G819" s="54" t="n"/>
      <c r="H819" s="54" t="n"/>
      <c r="I819" s="54" t="n"/>
      <c r="J819" s="54" t="n"/>
      <c r="K819" s="54" t="n"/>
      <c r="L819" s="54" t="n"/>
      <c r="M819" s="54" t="n"/>
      <c r="N819" s="54" t="n"/>
      <c r="O819" s="54" t="n"/>
      <c r="P819" s="54" t="n"/>
      <c r="Q819" s="54" t="n"/>
      <c r="R819" s="54" t="n"/>
      <c r="S819" s="54" t="n"/>
      <c r="T819" s="54" t="n"/>
      <c r="U819" s="54" t="n"/>
      <c r="V819" s="54" t="n"/>
      <c r="W819" s="54" t="n"/>
      <c r="X819" s="54" t="n"/>
      <c r="Y819" s="54" t="n"/>
      <c r="Z819" s="54" t="n"/>
    </row>
    <row r="820" ht="15.75" customHeight="1" s="57">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row>
    <row r="821" ht="15.75" customHeight="1" s="57">
      <c r="A821" s="54" t="n"/>
      <c r="B821" s="54" t="n"/>
      <c r="C821" s="54" t="n"/>
      <c r="D821" s="54" t="n"/>
      <c r="E821" s="54" t="n"/>
      <c r="F821" s="54" t="n"/>
      <c r="G821" s="54" t="n"/>
      <c r="H821" s="54" t="n"/>
      <c r="I821" s="54" t="n"/>
      <c r="J821" s="54" t="n"/>
      <c r="K821" s="54" t="n"/>
      <c r="L821" s="54" t="n"/>
      <c r="M821" s="54" t="n"/>
      <c r="N821" s="54" t="n"/>
      <c r="O821" s="54" t="n"/>
      <c r="P821" s="54" t="n"/>
      <c r="Q821" s="54" t="n"/>
      <c r="R821" s="54" t="n"/>
      <c r="S821" s="54" t="n"/>
      <c r="T821" s="54" t="n"/>
      <c r="U821" s="54" t="n"/>
      <c r="V821" s="54" t="n"/>
      <c r="W821" s="54" t="n"/>
      <c r="X821" s="54" t="n"/>
      <c r="Y821" s="54" t="n"/>
      <c r="Z821" s="54" t="n"/>
    </row>
    <row r="822" ht="15.75" customHeight="1" s="57">
      <c r="A822" s="54" t="n"/>
      <c r="B822" s="54" t="n"/>
      <c r="C822" s="54" t="n"/>
      <c r="D822" s="54" t="n"/>
      <c r="E822" s="54" t="n"/>
      <c r="F822" s="54" t="n"/>
      <c r="G822" s="54" t="n"/>
      <c r="H822" s="54" t="n"/>
      <c r="I822" s="54" t="n"/>
      <c r="J822" s="54" t="n"/>
      <c r="K822" s="54" t="n"/>
      <c r="L822" s="54" t="n"/>
      <c r="M822" s="54" t="n"/>
      <c r="N822" s="54" t="n"/>
      <c r="O822" s="54" t="n"/>
      <c r="P822" s="54" t="n"/>
      <c r="Q822" s="54" t="n"/>
      <c r="R822" s="54" t="n"/>
      <c r="S822" s="54" t="n"/>
      <c r="T822" s="54" t="n"/>
      <c r="U822" s="54" t="n"/>
      <c r="V822" s="54" t="n"/>
      <c r="W822" s="54" t="n"/>
      <c r="X822" s="54" t="n"/>
      <c r="Y822" s="54" t="n"/>
      <c r="Z822" s="54" t="n"/>
    </row>
    <row r="823" ht="15.75" customHeight="1" s="57">
      <c r="A823" s="54" t="n"/>
      <c r="B823" s="54" t="n"/>
      <c r="C823" s="54" t="n"/>
      <c r="D823" s="54" t="n"/>
      <c r="E823" s="54" t="n"/>
      <c r="F823" s="54" t="n"/>
      <c r="G823" s="54" t="n"/>
      <c r="H823" s="54" t="n"/>
      <c r="I823" s="54" t="n"/>
      <c r="J823" s="54" t="n"/>
      <c r="K823" s="54" t="n"/>
      <c r="L823" s="54" t="n"/>
      <c r="M823" s="54" t="n"/>
      <c r="N823" s="54" t="n"/>
      <c r="O823" s="54" t="n"/>
      <c r="P823" s="54" t="n"/>
      <c r="Q823" s="54" t="n"/>
      <c r="R823" s="54" t="n"/>
      <c r="S823" s="54" t="n"/>
      <c r="T823" s="54" t="n"/>
      <c r="U823" s="54" t="n"/>
      <c r="V823" s="54" t="n"/>
      <c r="W823" s="54" t="n"/>
      <c r="X823" s="54" t="n"/>
      <c r="Y823" s="54" t="n"/>
      <c r="Z823" s="54" t="n"/>
    </row>
    <row r="824" ht="15.75" customHeight="1" s="57">
      <c r="A824" s="54" t="n"/>
      <c r="B824" s="54" t="n"/>
      <c r="C824" s="54" t="n"/>
      <c r="D824" s="54" t="n"/>
      <c r="E824" s="54" t="n"/>
      <c r="F824" s="54" t="n"/>
      <c r="G824" s="54" t="n"/>
      <c r="H824" s="54" t="n"/>
      <c r="I824" s="54" t="n"/>
      <c r="J824" s="54" t="n"/>
      <c r="K824" s="54" t="n"/>
      <c r="L824" s="54" t="n"/>
      <c r="M824" s="54" t="n"/>
      <c r="N824" s="54" t="n"/>
      <c r="O824" s="54" t="n"/>
      <c r="P824" s="54" t="n"/>
      <c r="Q824" s="54" t="n"/>
      <c r="R824" s="54" t="n"/>
      <c r="S824" s="54" t="n"/>
      <c r="T824" s="54" t="n"/>
      <c r="U824" s="54" t="n"/>
      <c r="V824" s="54" t="n"/>
      <c r="W824" s="54" t="n"/>
      <c r="X824" s="54" t="n"/>
      <c r="Y824" s="54" t="n"/>
      <c r="Z824" s="54" t="n"/>
    </row>
    <row r="825" ht="15.75" customHeight="1" s="57">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row>
    <row r="826" ht="15.75" customHeight="1" s="57">
      <c r="A826" s="54" t="n"/>
      <c r="B826" s="54" t="n"/>
      <c r="C826" s="54" t="n"/>
      <c r="D826" s="54" t="n"/>
      <c r="E826" s="54" t="n"/>
      <c r="F826" s="54" t="n"/>
      <c r="G826" s="54" t="n"/>
      <c r="H826" s="54" t="n"/>
      <c r="I826" s="54" t="n"/>
      <c r="J826" s="54" t="n"/>
      <c r="K826" s="54" t="n"/>
      <c r="L826" s="54" t="n"/>
      <c r="M826" s="54" t="n"/>
      <c r="N826" s="54" t="n"/>
      <c r="O826" s="54" t="n"/>
      <c r="P826" s="54" t="n"/>
      <c r="Q826" s="54" t="n"/>
      <c r="R826" s="54" t="n"/>
      <c r="S826" s="54" t="n"/>
      <c r="T826" s="54" t="n"/>
      <c r="U826" s="54" t="n"/>
      <c r="V826" s="54" t="n"/>
      <c r="W826" s="54" t="n"/>
      <c r="X826" s="54" t="n"/>
      <c r="Y826" s="54" t="n"/>
      <c r="Z826" s="54" t="n"/>
    </row>
    <row r="827" ht="15.75" customHeight="1" s="57">
      <c r="A827" s="54" t="n"/>
      <c r="B827" s="54" t="n"/>
      <c r="C827" s="54" t="n"/>
      <c r="D827" s="54" t="n"/>
      <c r="E827" s="54" t="n"/>
      <c r="F827" s="54" t="n"/>
      <c r="G827" s="54" t="n"/>
      <c r="H827" s="54" t="n"/>
      <c r="I827" s="54" t="n"/>
      <c r="J827" s="54" t="n"/>
      <c r="K827" s="54" t="n"/>
      <c r="L827" s="54" t="n"/>
      <c r="M827" s="54" t="n"/>
      <c r="N827" s="54" t="n"/>
      <c r="O827" s="54" t="n"/>
      <c r="P827" s="54" t="n"/>
      <c r="Q827" s="54" t="n"/>
      <c r="R827" s="54" t="n"/>
      <c r="S827" s="54" t="n"/>
      <c r="T827" s="54" t="n"/>
      <c r="U827" s="54" t="n"/>
      <c r="V827" s="54" t="n"/>
      <c r="W827" s="54" t="n"/>
      <c r="X827" s="54" t="n"/>
      <c r="Y827" s="54" t="n"/>
      <c r="Z827" s="54" t="n"/>
    </row>
    <row r="828" ht="15.75" customHeight="1" s="57">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row>
    <row r="829" ht="15.75" customHeight="1" s="57">
      <c r="A829" s="54" t="n"/>
      <c r="B829" s="54" t="n"/>
      <c r="C829" s="54" t="n"/>
      <c r="D829" s="54" t="n"/>
      <c r="E829" s="54" t="n"/>
      <c r="F829" s="54" t="n"/>
      <c r="G829" s="54" t="n"/>
      <c r="H829" s="54" t="n"/>
      <c r="I829" s="54" t="n"/>
      <c r="J829" s="54" t="n"/>
      <c r="K829" s="54" t="n"/>
      <c r="L829" s="54" t="n"/>
      <c r="M829" s="54" t="n"/>
      <c r="N829" s="54" t="n"/>
      <c r="O829" s="54" t="n"/>
      <c r="P829" s="54" t="n"/>
      <c r="Q829" s="54" t="n"/>
      <c r="R829" s="54" t="n"/>
      <c r="S829" s="54" t="n"/>
      <c r="T829" s="54" t="n"/>
      <c r="U829" s="54" t="n"/>
      <c r="V829" s="54" t="n"/>
      <c r="W829" s="54" t="n"/>
      <c r="X829" s="54" t="n"/>
      <c r="Y829" s="54" t="n"/>
      <c r="Z829" s="54" t="n"/>
    </row>
    <row r="830" ht="15.75" customHeight="1" s="57">
      <c r="A830" s="54" t="n"/>
      <c r="B830" s="54" t="n"/>
      <c r="C830" s="54" t="n"/>
      <c r="D830" s="54" t="n"/>
      <c r="E830" s="54" t="n"/>
      <c r="F830" s="54" t="n"/>
      <c r="G830" s="54" t="n"/>
      <c r="H830" s="54" t="n"/>
      <c r="I830" s="54" t="n"/>
      <c r="J830" s="54" t="n"/>
      <c r="K830" s="54" t="n"/>
      <c r="L830" s="54" t="n"/>
      <c r="M830" s="54" t="n"/>
      <c r="N830" s="54" t="n"/>
      <c r="O830" s="54" t="n"/>
      <c r="P830" s="54" t="n"/>
      <c r="Q830" s="54" t="n"/>
      <c r="R830" s="54" t="n"/>
      <c r="S830" s="54" t="n"/>
      <c r="T830" s="54" t="n"/>
      <c r="U830" s="54" t="n"/>
      <c r="V830" s="54" t="n"/>
      <c r="W830" s="54" t="n"/>
      <c r="X830" s="54" t="n"/>
      <c r="Y830" s="54" t="n"/>
      <c r="Z830" s="54" t="n"/>
    </row>
    <row r="831" ht="15.75" customHeight="1" s="57">
      <c r="A831" s="54" t="n"/>
      <c r="B831" s="54" t="n"/>
      <c r="C831" s="54" t="n"/>
      <c r="D831" s="54" t="n"/>
      <c r="E831" s="54" t="n"/>
      <c r="F831" s="54" t="n"/>
      <c r="G831" s="54" t="n"/>
      <c r="H831" s="54" t="n"/>
      <c r="I831" s="54" t="n"/>
      <c r="J831" s="54" t="n"/>
      <c r="K831" s="54" t="n"/>
      <c r="L831" s="54" t="n"/>
      <c r="M831" s="54" t="n"/>
      <c r="N831" s="54" t="n"/>
      <c r="O831" s="54" t="n"/>
      <c r="P831" s="54" t="n"/>
      <c r="Q831" s="54" t="n"/>
      <c r="R831" s="54" t="n"/>
      <c r="S831" s="54" t="n"/>
      <c r="T831" s="54" t="n"/>
      <c r="U831" s="54" t="n"/>
      <c r="V831" s="54" t="n"/>
      <c r="W831" s="54" t="n"/>
      <c r="X831" s="54" t="n"/>
      <c r="Y831" s="54" t="n"/>
      <c r="Z831" s="54" t="n"/>
    </row>
    <row r="832" ht="15.75" customHeight="1" s="57">
      <c r="A832" s="54" t="n"/>
      <c r="B832" s="54" t="n"/>
      <c r="C832" s="54" t="n"/>
      <c r="D832" s="54" t="n"/>
      <c r="E832" s="54" t="n"/>
      <c r="F832" s="54" t="n"/>
      <c r="G832" s="54" t="n"/>
      <c r="H832" s="54" t="n"/>
      <c r="I832" s="54" t="n"/>
      <c r="J832" s="54" t="n"/>
      <c r="K832" s="54" t="n"/>
      <c r="L832" s="54" t="n"/>
      <c r="M832" s="54" t="n"/>
      <c r="N832" s="54" t="n"/>
      <c r="O832" s="54" t="n"/>
      <c r="P832" s="54" t="n"/>
      <c r="Q832" s="54" t="n"/>
      <c r="R832" s="54" t="n"/>
      <c r="S832" s="54" t="n"/>
      <c r="T832" s="54" t="n"/>
      <c r="U832" s="54" t="n"/>
      <c r="V832" s="54" t="n"/>
      <c r="W832" s="54" t="n"/>
      <c r="X832" s="54" t="n"/>
      <c r="Y832" s="54" t="n"/>
      <c r="Z832" s="54" t="n"/>
    </row>
    <row r="833" ht="15.75" customHeight="1" s="57">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row>
    <row r="834" ht="15.75" customHeight="1" s="57">
      <c r="A834" s="54" t="n"/>
      <c r="B834" s="54" t="n"/>
      <c r="C834" s="54" t="n"/>
      <c r="D834" s="54" t="n"/>
      <c r="E834" s="54" t="n"/>
      <c r="F834" s="54" t="n"/>
      <c r="G834" s="54" t="n"/>
      <c r="H834" s="54" t="n"/>
      <c r="I834" s="54" t="n"/>
      <c r="J834" s="54" t="n"/>
      <c r="K834" s="54" t="n"/>
      <c r="L834" s="54" t="n"/>
      <c r="M834" s="54" t="n"/>
      <c r="N834" s="54" t="n"/>
      <c r="O834" s="54" t="n"/>
      <c r="P834" s="54" t="n"/>
      <c r="Q834" s="54" t="n"/>
      <c r="R834" s="54" t="n"/>
      <c r="S834" s="54" t="n"/>
      <c r="T834" s="54" t="n"/>
      <c r="U834" s="54" t="n"/>
      <c r="V834" s="54" t="n"/>
      <c r="W834" s="54" t="n"/>
      <c r="X834" s="54" t="n"/>
      <c r="Y834" s="54" t="n"/>
      <c r="Z834" s="54" t="n"/>
    </row>
    <row r="835" ht="15.75" customHeight="1" s="57">
      <c r="A835" s="54" t="n"/>
      <c r="B835" s="54" t="n"/>
      <c r="C835" s="54" t="n"/>
      <c r="D835" s="54" t="n"/>
      <c r="E835" s="54" t="n"/>
      <c r="F835" s="54" t="n"/>
      <c r="G835" s="54" t="n"/>
      <c r="H835" s="54" t="n"/>
      <c r="I835" s="54" t="n"/>
      <c r="J835" s="54" t="n"/>
      <c r="K835" s="54" t="n"/>
      <c r="L835" s="54" t="n"/>
      <c r="M835" s="54" t="n"/>
      <c r="N835" s="54" t="n"/>
      <c r="O835" s="54" t="n"/>
      <c r="P835" s="54" t="n"/>
      <c r="Q835" s="54" t="n"/>
      <c r="R835" s="54" t="n"/>
      <c r="S835" s="54" t="n"/>
      <c r="T835" s="54" t="n"/>
      <c r="U835" s="54" t="n"/>
      <c r="V835" s="54" t="n"/>
      <c r="W835" s="54" t="n"/>
      <c r="X835" s="54" t="n"/>
      <c r="Y835" s="54" t="n"/>
      <c r="Z835" s="54" t="n"/>
    </row>
    <row r="836" ht="15.75" customHeight="1" s="57">
      <c r="A836" s="54" t="n"/>
      <c r="B836" s="54" t="n"/>
      <c r="C836" s="54" t="n"/>
      <c r="D836" s="54" t="n"/>
      <c r="E836" s="54" t="n"/>
      <c r="F836" s="54" t="n"/>
      <c r="G836" s="54" t="n"/>
      <c r="H836" s="54" t="n"/>
      <c r="I836" s="54" t="n"/>
      <c r="J836" s="54" t="n"/>
      <c r="K836" s="54" t="n"/>
      <c r="L836" s="54" t="n"/>
      <c r="M836" s="54" t="n"/>
      <c r="N836" s="54" t="n"/>
      <c r="O836" s="54" t="n"/>
      <c r="P836" s="54" t="n"/>
      <c r="Q836" s="54" t="n"/>
      <c r="R836" s="54" t="n"/>
      <c r="S836" s="54" t="n"/>
      <c r="T836" s="54" t="n"/>
      <c r="U836" s="54" t="n"/>
      <c r="V836" s="54" t="n"/>
      <c r="W836" s="54" t="n"/>
      <c r="X836" s="54" t="n"/>
      <c r="Y836" s="54" t="n"/>
      <c r="Z836" s="54" t="n"/>
    </row>
    <row r="837" ht="15.75" customHeight="1" s="57">
      <c r="A837" s="54" t="n"/>
      <c r="B837" s="54" t="n"/>
      <c r="C837" s="54" t="n"/>
      <c r="D837" s="54" t="n"/>
      <c r="E837" s="54" t="n"/>
      <c r="F837" s="54" t="n"/>
      <c r="G837" s="54" t="n"/>
      <c r="H837" s="54" t="n"/>
      <c r="I837" s="54" t="n"/>
      <c r="J837" s="54" t="n"/>
      <c r="K837" s="54" t="n"/>
      <c r="L837" s="54" t="n"/>
      <c r="M837" s="54" t="n"/>
      <c r="N837" s="54" t="n"/>
      <c r="O837" s="54" t="n"/>
      <c r="P837" s="54" t="n"/>
      <c r="Q837" s="54" t="n"/>
      <c r="R837" s="54" t="n"/>
      <c r="S837" s="54" t="n"/>
      <c r="T837" s="54" t="n"/>
      <c r="U837" s="54" t="n"/>
      <c r="V837" s="54" t="n"/>
      <c r="W837" s="54" t="n"/>
      <c r="X837" s="54" t="n"/>
      <c r="Y837" s="54" t="n"/>
      <c r="Z837" s="54" t="n"/>
    </row>
    <row r="838" ht="15.75" customHeight="1" s="57">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row>
    <row r="839" ht="15.75" customHeight="1" s="57">
      <c r="A839" s="54" t="n"/>
      <c r="B839" s="54" t="n"/>
      <c r="C839" s="54" t="n"/>
      <c r="D839" s="54" t="n"/>
      <c r="E839" s="54" t="n"/>
      <c r="F839" s="54" t="n"/>
      <c r="G839" s="54" t="n"/>
      <c r="H839" s="54" t="n"/>
      <c r="I839" s="54" t="n"/>
      <c r="J839" s="54" t="n"/>
      <c r="K839" s="54" t="n"/>
      <c r="L839" s="54" t="n"/>
      <c r="M839" s="54" t="n"/>
      <c r="N839" s="54" t="n"/>
      <c r="O839" s="54" t="n"/>
      <c r="P839" s="54" t="n"/>
      <c r="Q839" s="54" t="n"/>
      <c r="R839" s="54" t="n"/>
      <c r="S839" s="54" t="n"/>
      <c r="T839" s="54" t="n"/>
      <c r="U839" s="54" t="n"/>
      <c r="V839" s="54" t="n"/>
      <c r="W839" s="54" t="n"/>
      <c r="X839" s="54" t="n"/>
      <c r="Y839" s="54" t="n"/>
      <c r="Z839" s="54" t="n"/>
    </row>
    <row r="840" ht="15.75" customHeight="1" s="57">
      <c r="A840" s="54" t="n"/>
      <c r="B840" s="54" t="n"/>
      <c r="C840" s="54" t="n"/>
      <c r="D840" s="54" t="n"/>
      <c r="E840" s="54" t="n"/>
      <c r="F840" s="54" t="n"/>
      <c r="G840" s="54" t="n"/>
      <c r="H840" s="54" t="n"/>
      <c r="I840" s="54" t="n"/>
      <c r="J840" s="54" t="n"/>
      <c r="K840" s="54" t="n"/>
      <c r="L840" s="54" t="n"/>
      <c r="M840" s="54" t="n"/>
      <c r="N840" s="54" t="n"/>
      <c r="O840" s="54" t="n"/>
      <c r="P840" s="54" t="n"/>
      <c r="Q840" s="54" t="n"/>
      <c r="R840" s="54" t="n"/>
      <c r="S840" s="54" t="n"/>
      <c r="T840" s="54" t="n"/>
      <c r="U840" s="54" t="n"/>
      <c r="V840" s="54" t="n"/>
      <c r="W840" s="54" t="n"/>
      <c r="X840" s="54" t="n"/>
      <c r="Y840" s="54" t="n"/>
      <c r="Z840" s="54" t="n"/>
    </row>
    <row r="841" ht="15.75" customHeight="1" s="57">
      <c r="A841" s="54" t="n"/>
      <c r="B841" s="54" t="n"/>
      <c r="C841" s="54" t="n"/>
      <c r="D841" s="54" t="n"/>
      <c r="E841" s="54" t="n"/>
      <c r="F841" s="54" t="n"/>
      <c r="G841" s="54" t="n"/>
      <c r="H841" s="54" t="n"/>
      <c r="I841" s="54" t="n"/>
      <c r="J841" s="54" t="n"/>
      <c r="K841" s="54" t="n"/>
      <c r="L841" s="54" t="n"/>
      <c r="M841" s="54" t="n"/>
      <c r="N841" s="54" t="n"/>
      <c r="O841" s="54" t="n"/>
      <c r="P841" s="54" t="n"/>
      <c r="Q841" s="54" t="n"/>
      <c r="R841" s="54" t="n"/>
      <c r="S841" s="54" t="n"/>
      <c r="T841" s="54" t="n"/>
      <c r="U841" s="54" t="n"/>
      <c r="V841" s="54" t="n"/>
      <c r="W841" s="54" t="n"/>
      <c r="X841" s="54" t="n"/>
      <c r="Y841" s="54" t="n"/>
      <c r="Z841" s="54" t="n"/>
    </row>
    <row r="842" ht="15.75" customHeight="1" s="57">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row>
    <row r="843" ht="15.75" customHeight="1" s="57">
      <c r="A843" s="54" t="n"/>
      <c r="B843" s="54" t="n"/>
      <c r="C843" s="54" t="n"/>
      <c r="D843" s="54" t="n"/>
      <c r="E843" s="54" t="n"/>
      <c r="F843" s="54" t="n"/>
      <c r="G843" s="54" t="n"/>
      <c r="H843" s="54" t="n"/>
      <c r="I843" s="54" t="n"/>
      <c r="J843" s="54" t="n"/>
      <c r="K843" s="54" t="n"/>
      <c r="L843" s="54" t="n"/>
      <c r="M843" s="54" t="n"/>
      <c r="N843" s="54" t="n"/>
      <c r="O843" s="54" t="n"/>
      <c r="P843" s="54" t="n"/>
      <c r="Q843" s="54" t="n"/>
      <c r="R843" s="54" t="n"/>
      <c r="S843" s="54" t="n"/>
      <c r="T843" s="54" t="n"/>
      <c r="U843" s="54" t="n"/>
      <c r="V843" s="54" t="n"/>
      <c r="W843" s="54" t="n"/>
      <c r="X843" s="54" t="n"/>
      <c r="Y843" s="54" t="n"/>
      <c r="Z843" s="54" t="n"/>
    </row>
    <row r="844" ht="15.75" customHeight="1" s="57">
      <c r="A844" s="54" t="n"/>
      <c r="B844" s="54" t="n"/>
      <c r="C844" s="54" t="n"/>
      <c r="D844" s="54" t="n"/>
      <c r="E844" s="54" t="n"/>
      <c r="F844" s="54" t="n"/>
      <c r="G844" s="54" t="n"/>
      <c r="H844" s="54" t="n"/>
      <c r="I844" s="54" t="n"/>
      <c r="J844" s="54" t="n"/>
      <c r="K844" s="54" t="n"/>
      <c r="L844" s="54" t="n"/>
      <c r="M844" s="54" t="n"/>
      <c r="N844" s="54" t="n"/>
      <c r="O844" s="54" t="n"/>
      <c r="P844" s="54" t="n"/>
      <c r="Q844" s="54" t="n"/>
      <c r="R844" s="54" t="n"/>
      <c r="S844" s="54" t="n"/>
      <c r="T844" s="54" t="n"/>
      <c r="U844" s="54" t="n"/>
      <c r="V844" s="54" t="n"/>
      <c r="W844" s="54" t="n"/>
      <c r="X844" s="54" t="n"/>
      <c r="Y844" s="54" t="n"/>
      <c r="Z844" s="54" t="n"/>
    </row>
    <row r="845" ht="15.75" customHeight="1" s="57">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row>
    <row r="846" ht="15.75" customHeight="1" s="57">
      <c r="A846" s="54" t="n"/>
      <c r="B846" s="54" t="n"/>
      <c r="C846" s="54" t="n"/>
      <c r="D846" s="54" t="n"/>
      <c r="E846" s="54" t="n"/>
      <c r="F846" s="54" t="n"/>
      <c r="G846" s="54" t="n"/>
      <c r="H846" s="54" t="n"/>
      <c r="I846" s="54" t="n"/>
      <c r="J846" s="54" t="n"/>
      <c r="K846" s="54" t="n"/>
      <c r="L846" s="54" t="n"/>
      <c r="M846" s="54" t="n"/>
      <c r="N846" s="54" t="n"/>
      <c r="O846" s="54" t="n"/>
      <c r="P846" s="54" t="n"/>
      <c r="Q846" s="54" t="n"/>
      <c r="R846" s="54" t="n"/>
      <c r="S846" s="54" t="n"/>
      <c r="T846" s="54" t="n"/>
      <c r="U846" s="54" t="n"/>
      <c r="V846" s="54" t="n"/>
      <c r="W846" s="54" t="n"/>
      <c r="X846" s="54" t="n"/>
      <c r="Y846" s="54" t="n"/>
      <c r="Z846" s="54" t="n"/>
    </row>
    <row r="847" ht="15.75" customHeight="1" s="57">
      <c r="A847" s="54" t="n"/>
      <c r="B847" s="54" t="n"/>
      <c r="C847" s="54" t="n"/>
      <c r="D847" s="54" t="n"/>
      <c r="E847" s="54" t="n"/>
      <c r="F847" s="54" t="n"/>
      <c r="G847" s="54" t="n"/>
      <c r="H847" s="54" t="n"/>
      <c r="I847" s="54" t="n"/>
      <c r="J847" s="54" t="n"/>
      <c r="K847" s="54" t="n"/>
      <c r="L847" s="54" t="n"/>
      <c r="M847" s="54" t="n"/>
      <c r="N847" s="54" t="n"/>
      <c r="O847" s="54" t="n"/>
      <c r="P847" s="54" t="n"/>
      <c r="Q847" s="54" t="n"/>
      <c r="R847" s="54" t="n"/>
      <c r="S847" s="54" t="n"/>
      <c r="T847" s="54" t="n"/>
      <c r="U847" s="54" t="n"/>
      <c r="V847" s="54" t="n"/>
      <c r="W847" s="54" t="n"/>
      <c r="X847" s="54" t="n"/>
      <c r="Y847" s="54" t="n"/>
      <c r="Z847" s="54" t="n"/>
    </row>
    <row r="848" ht="15.75" customHeight="1" s="57">
      <c r="A848" s="54" t="n"/>
      <c r="B848" s="54" t="n"/>
      <c r="C848" s="54" t="n"/>
      <c r="D848" s="54" t="n"/>
      <c r="E848" s="54" t="n"/>
      <c r="F848" s="54" t="n"/>
      <c r="G848" s="54" t="n"/>
      <c r="H848" s="54" t="n"/>
      <c r="I848" s="54" t="n"/>
      <c r="J848" s="54" t="n"/>
      <c r="K848" s="54" t="n"/>
      <c r="L848" s="54" t="n"/>
      <c r="M848" s="54" t="n"/>
      <c r="N848" s="54" t="n"/>
      <c r="O848" s="54" t="n"/>
      <c r="P848" s="54" t="n"/>
      <c r="Q848" s="54" t="n"/>
      <c r="R848" s="54" t="n"/>
      <c r="S848" s="54" t="n"/>
      <c r="T848" s="54" t="n"/>
      <c r="U848" s="54" t="n"/>
      <c r="V848" s="54" t="n"/>
      <c r="W848" s="54" t="n"/>
      <c r="X848" s="54" t="n"/>
      <c r="Y848" s="54" t="n"/>
      <c r="Z848" s="54" t="n"/>
    </row>
    <row r="849" ht="15.75" customHeight="1" s="57">
      <c r="A849" s="54" t="n"/>
      <c r="B849" s="54" t="n"/>
      <c r="C849" s="54" t="n"/>
      <c r="D849" s="54" t="n"/>
      <c r="E849" s="54" t="n"/>
      <c r="F849" s="54" t="n"/>
      <c r="G849" s="54" t="n"/>
      <c r="H849" s="54" t="n"/>
      <c r="I849" s="54" t="n"/>
      <c r="J849" s="54" t="n"/>
      <c r="K849" s="54" t="n"/>
      <c r="L849" s="54" t="n"/>
      <c r="M849" s="54" t="n"/>
      <c r="N849" s="54" t="n"/>
      <c r="O849" s="54" t="n"/>
      <c r="P849" s="54" t="n"/>
      <c r="Q849" s="54" t="n"/>
      <c r="R849" s="54" t="n"/>
      <c r="S849" s="54" t="n"/>
      <c r="T849" s="54" t="n"/>
      <c r="U849" s="54" t="n"/>
      <c r="V849" s="54" t="n"/>
      <c r="W849" s="54" t="n"/>
      <c r="X849" s="54" t="n"/>
      <c r="Y849" s="54" t="n"/>
      <c r="Z849" s="54" t="n"/>
    </row>
    <row r="850" ht="15.75" customHeight="1" s="57">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row>
    <row r="851" ht="15.75" customHeight="1" s="57">
      <c r="A851" s="54" t="n"/>
      <c r="B851" s="54" t="n"/>
      <c r="C851" s="54" t="n"/>
      <c r="D851" s="54" t="n"/>
      <c r="E851" s="54" t="n"/>
      <c r="F851" s="54" t="n"/>
      <c r="G851" s="54" t="n"/>
      <c r="H851" s="54" t="n"/>
      <c r="I851" s="54" t="n"/>
      <c r="J851" s="54" t="n"/>
      <c r="K851" s="54" t="n"/>
      <c r="L851" s="54" t="n"/>
      <c r="M851" s="54" t="n"/>
      <c r="N851" s="54" t="n"/>
      <c r="O851" s="54" t="n"/>
      <c r="P851" s="54" t="n"/>
      <c r="Q851" s="54" t="n"/>
      <c r="R851" s="54" t="n"/>
      <c r="S851" s="54" t="n"/>
      <c r="T851" s="54" t="n"/>
      <c r="U851" s="54" t="n"/>
      <c r="V851" s="54" t="n"/>
      <c r="W851" s="54" t="n"/>
      <c r="X851" s="54" t="n"/>
      <c r="Y851" s="54" t="n"/>
      <c r="Z851" s="54" t="n"/>
    </row>
    <row r="852" ht="15.75" customHeight="1" s="57">
      <c r="A852" s="54" t="n"/>
      <c r="B852" s="54" t="n"/>
      <c r="C852" s="54" t="n"/>
      <c r="D852" s="54" t="n"/>
      <c r="E852" s="54" t="n"/>
      <c r="F852" s="54" t="n"/>
      <c r="G852" s="54" t="n"/>
      <c r="H852" s="54" t="n"/>
      <c r="I852" s="54" t="n"/>
      <c r="J852" s="54" t="n"/>
      <c r="K852" s="54" t="n"/>
      <c r="L852" s="54" t="n"/>
      <c r="M852" s="54" t="n"/>
      <c r="N852" s="54" t="n"/>
      <c r="O852" s="54" t="n"/>
      <c r="P852" s="54" t="n"/>
      <c r="Q852" s="54" t="n"/>
      <c r="R852" s="54" t="n"/>
      <c r="S852" s="54" t="n"/>
      <c r="T852" s="54" t="n"/>
      <c r="U852" s="54" t="n"/>
      <c r="V852" s="54" t="n"/>
      <c r="W852" s="54" t="n"/>
      <c r="X852" s="54" t="n"/>
      <c r="Y852" s="54" t="n"/>
      <c r="Z852" s="54" t="n"/>
    </row>
    <row r="853" ht="15.75" customHeight="1" s="57">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row>
    <row r="854" ht="15.75" customHeight="1" s="57">
      <c r="A854" s="54" t="n"/>
      <c r="B854" s="54" t="n"/>
      <c r="C854" s="54" t="n"/>
      <c r="D854" s="54" t="n"/>
      <c r="E854" s="54" t="n"/>
      <c r="F854" s="54" t="n"/>
      <c r="G854" s="54" t="n"/>
      <c r="H854" s="54" t="n"/>
      <c r="I854" s="54" t="n"/>
      <c r="J854" s="54" t="n"/>
      <c r="K854" s="54" t="n"/>
      <c r="L854" s="54" t="n"/>
      <c r="M854" s="54" t="n"/>
      <c r="N854" s="54" t="n"/>
      <c r="O854" s="54" t="n"/>
      <c r="P854" s="54" t="n"/>
      <c r="Q854" s="54" t="n"/>
      <c r="R854" s="54" t="n"/>
      <c r="S854" s="54" t="n"/>
      <c r="T854" s="54" t="n"/>
      <c r="U854" s="54" t="n"/>
      <c r="V854" s="54" t="n"/>
      <c r="W854" s="54" t="n"/>
      <c r="X854" s="54" t="n"/>
      <c r="Y854" s="54" t="n"/>
      <c r="Z854" s="54" t="n"/>
    </row>
    <row r="855" ht="15.75" customHeight="1" s="57">
      <c r="A855" s="54" t="n"/>
      <c r="B855" s="54" t="n"/>
      <c r="C855" s="54" t="n"/>
      <c r="D855" s="54" t="n"/>
      <c r="E855" s="54" t="n"/>
      <c r="F855" s="54" t="n"/>
      <c r="G855" s="54" t="n"/>
      <c r="H855" s="54" t="n"/>
      <c r="I855" s="54" t="n"/>
      <c r="J855" s="54" t="n"/>
      <c r="K855" s="54" t="n"/>
      <c r="L855" s="54" t="n"/>
      <c r="M855" s="54" t="n"/>
      <c r="N855" s="54" t="n"/>
      <c r="O855" s="54" t="n"/>
      <c r="P855" s="54" t="n"/>
      <c r="Q855" s="54" t="n"/>
      <c r="R855" s="54" t="n"/>
      <c r="S855" s="54" t="n"/>
      <c r="T855" s="54" t="n"/>
      <c r="U855" s="54" t="n"/>
      <c r="V855" s="54" t="n"/>
      <c r="W855" s="54" t="n"/>
      <c r="X855" s="54" t="n"/>
      <c r="Y855" s="54" t="n"/>
      <c r="Z855" s="54" t="n"/>
    </row>
    <row r="856" ht="15.75" customHeight="1" s="57">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row>
    <row r="857" ht="15.75" customHeight="1" s="57">
      <c r="A857" s="54" t="n"/>
      <c r="B857" s="54" t="n"/>
      <c r="C857" s="54" t="n"/>
      <c r="D857" s="54" t="n"/>
      <c r="E857" s="54" t="n"/>
      <c r="F857" s="54" t="n"/>
      <c r="G857" s="54" t="n"/>
      <c r="H857" s="54" t="n"/>
      <c r="I857" s="54" t="n"/>
      <c r="J857" s="54" t="n"/>
      <c r="K857" s="54" t="n"/>
      <c r="L857" s="54" t="n"/>
      <c r="M857" s="54" t="n"/>
      <c r="N857" s="54" t="n"/>
      <c r="O857" s="54" t="n"/>
      <c r="P857" s="54" t="n"/>
      <c r="Q857" s="54" t="n"/>
      <c r="R857" s="54" t="n"/>
      <c r="S857" s="54" t="n"/>
      <c r="T857" s="54" t="n"/>
      <c r="U857" s="54" t="n"/>
      <c r="V857" s="54" t="n"/>
      <c r="W857" s="54" t="n"/>
      <c r="X857" s="54" t="n"/>
      <c r="Y857" s="54" t="n"/>
      <c r="Z857" s="54" t="n"/>
    </row>
    <row r="858" ht="15.75" customHeight="1" s="57">
      <c r="A858" s="54" t="n"/>
      <c r="B858" s="54" t="n"/>
      <c r="C858" s="54" t="n"/>
      <c r="D858" s="54" t="n"/>
      <c r="E858" s="54" t="n"/>
      <c r="F858" s="54" t="n"/>
      <c r="G858" s="54" t="n"/>
      <c r="H858" s="54" t="n"/>
      <c r="I858" s="54" t="n"/>
      <c r="J858" s="54" t="n"/>
      <c r="K858" s="54" t="n"/>
      <c r="L858" s="54" t="n"/>
      <c r="M858" s="54" t="n"/>
      <c r="N858" s="54" t="n"/>
      <c r="O858" s="54" t="n"/>
      <c r="P858" s="54" t="n"/>
      <c r="Q858" s="54" t="n"/>
      <c r="R858" s="54" t="n"/>
      <c r="S858" s="54" t="n"/>
      <c r="T858" s="54" t="n"/>
      <c r="U858" s="54" t="n"/>
      <c r="V858" s="54" t="n"/>
      <c r="W858" s="54" t="n"/>
      <c r="X858" s="54" t="n"/>
      <c r="Y858" s="54" t="n"/>
      <c r="Z858" s="54" t="n"/>
    </row>
    <row r="859" ht="15.75" customHeight="1" s="57">
      <c r="A859" s="54" t="n"/>
      <c r="B859" s="54" t="n"/>
      <c r="C859" s="54" t="n"/>
      <c r="D859" s="54" t="n"/>
      <c r="E859" s="54" t="n"/>
      <c r="F859" s="54" t="n"/>
      <c r="G859" s="54" t="n"/>
      <c r="H859" s="54" t="n"/>
      <c r="I859" s="54" t="n"/>
      <c r="J859" s="54" t="n"/>
      <c r="K859" s="54" t="n"/>
      <c r="L859" s="54" t="n"/>
      <c r="M859" s="54" t="n"/>
      <c r="N859" s="54" t="n"/>
      <c r="O859" s="54" t="n"/>
      <c r="P859" s="54" t="n"/>
      <c r="Q859" s="54" t="n"/>
      <c r="R859" s="54" t="n"/>
      <c r="S859" s="54" t="n"/>
      <c r="T859" s="54" t="n"/>
      <c r="U859" s="54" t="n"/>
      <c r="V859" s="54" t="n"/>
      <c r="W859" s="54" t="n"/>
      <c r="X859" s="54" t="n"/>
      <c r="Y859" s="54" t="n"/>
      <c r="Z859" s="54" t="n"/>
    </row>
    <row r="860" ht="15.75" customHeight="1" s="57">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row>
    <row r="861" ht="15.75" customHeight="1" s="57">
      <c r="A861" s="54" t="n"/>
      <c r="B861" s="54" t="n"/>
      <c r="C861" s="54" t="n"/>
      <c r="D861" s="54" t="n"/>
      <c r="E861" s="54" t="n"/>
      <c r="F861" s="54" t="n"/>
      <c r="G861" s="54" t="n"/>
      <c r="H861" s="54" t="n"/>
      <c r="I861" s="54" t="n"/>
      <c r="J861" s="54" t="n"/>
      <c r="K861" s="54" t="n"/>
      <c r="L861" s="54" t="n"/>
      <c r="M861" s="54" t="n"/>
      <c r="N861" s="54" t="n"/>
      <c r="O861" s="54" t="n"/>
      <c r="P861" s="54" t="n"/>
      <c r="Q861" s="54" t="n"/>
      <c r="R861" s="54" t="n"/>
      <c r="S861" s="54" t="n"/>
      <c r="T861" s="54" t="n"/>
      <c r="U861" s="54" t="n"/>
      <c r="V861" s="54" t="n"/>
      <c r="W861" s="54" t="n"/>
      <c r="X861" s="54" t="n"/>
      <c r="Y861" s="54" t="n"/>
      <c r="Z861" s="54" t="n"/>
    </row>
    <row r="862" ht="15.75" customHeight="1" s="57">
      <c r="A862" s="54" t="n"/>
      <c r="B862" s="54" t="n"/>
      <c r="C862" s="54" t="n"/>
      <c r="D862" s="54" t="n"/>
      <c r="E862" s="54" t="n"/>
      <c r="F862" s="54" t="n"/>
      <c r="G862" s="54" t="n"/>
      <c r="H862" s="54" t="n"/>
      <c r="I862" s="54" t="n"/>
      <c r="J862" s="54" t="n"/>
      <c r="K862" s="54" t="n"/>
      <c r="L862" s="54" t="n"/>
      <c r="M862" s="54" t="n"/>
      <c r="N862" s="54" t="n"/>
      <c r="O862" s="54" t="n"/>
      <c r="P862" s="54" t="n"/>
      <c r="Q862" s="54" t="n"/>
      <c r="R862" s="54" t="n"/>
      <c r="S862" s="54" t="n"/>
      <c r="T862" s="54" t="n"/>
      <c r="U862" s="54" t="n"/>
      <c r="V862" s="54" t="n"/>
      <c r="W862" s="54" t="n"/>
      <c r="X862" s="54" t="n"/>
      <c r="Y862" s="54" t="n"/>
      <c r="Z862" s="54" t="n"/>
    </row>
    <row r="863" ht="15.75" customHeight="1" s="57">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row>
    <row r="864" ht="15.75" customHeight="1" s="57">
      <c r="A864" s="54" t="n"/>
      <c r="B864" s="54" t="n"/>
      <c r="C864" s="54" t="n"/>
      <c r="D864" s="54" t="n"/>
      <c r="E864" s="54" t="n"/>
      <c r="F864" s="54" t="n"/>
      <c r="G864" s="54" t="n"/>
      <c r="H864" s="54" t="n"/>
      <c r="I864" s="54" t="n"/>
      <c r="J864" s="54" t="n"/>
      <c r="K864" s="54" t="n"/>
      <c r="L864" s="54" t="n"/>
      <c r="M864" s="54" t="n"/>
      <c r="N864" s="54" t="n"/>
      <c r="O864" s="54" t="n"/>
      <c r="P864" s="54" t="n"/>
      <c r="Q864" s="54" t="n"/>
      <c r="R864" s="54" t="n"/>
      <c r="S864" s="54" t="n"/>
      <c r="T864" s="54" t="n"/>
      <c r="U864" s="54" t="n"/>
      <c r="V864" s="54" t="n"/>
      <c r="W864" s="54" t="n"/>
      <c r="X864" s="54" t="n"/>
      <c r="Y864" s="54" t="n"/>
      <c r="Z864" s="54" t="n"/>
    </row>
    <row r="865" ht="15.75" customHeight="1" s="57">
      <c r="A865" s="54" t="n"/>
      <c r="B865" s="54" t="n"/>
      <c r="C865" s="54" t="n"/>
      <c r="D865" s="54" t="n"/>
      <c r="E865" s="54" t="n"/>
      <c r="F865" s="54" t="n"/>
      <c r="G865" s="54" t="n"/>
      <c r="H865" s="54" t="n"/>
      <c r="I865" s="54" t="n"/>
      <c r="J865" s="54" t="n"/>
      <c r="K865" s="54" t="n"/>
      <c r="L865" s="54" t="n"/>
      <c r="M865" s="54" t="n"/>
      <c r="N865" s="54" t="n"/>
      <c r="O865" s="54" t="n"/>
      <c r="P865" s="54" t="n"/>
      <c r="Q865" s="54" t="n"/>
      <c r="R865" s="54" t="n"/>
      <c r="S865" s="54" t="n"/>
      <c r="T865" s="54" t="n"/>
      <c r="U865" s="54" t="n"/>
      <c r="V865" s="54" t="n"/>
      <c r="W865" s="54" t="n"/>
      <c r="X865" s="54" t="n"/>
      <c r="Y865" s="54" t="n"/>
      <c r="Z865" s="54" t="n"/>
    </row>
    <row r="866" ht="15.75" customHeight="1" s="57">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row>
    <row r="867" ht="15.75" customHeight="1" s="57">
      <c r="A867" s="54" t="n"/>
      <c r="B867" s="54" t="n"/>
      <c r="C867" s="54" t="n"/>
      <c r="D867" s="54" t="n"/>
      <c r="E867" s="54" t="n"/>
      <c r="F867" s="54" t="n"/>
      <c r="G867" s="54" t="n"/>
      <c r="H867" s="54" t="n"/>
      <c r="I867" s="54" t="n"/>
      <c r="J867" s="54" t="n"/>
      <c r="K867" s="54" t="n"/>
      <c r="L867" s="54" t="n"/>
      <c r="M867" s="54" t="n"/>
      <c r="N867" s="54" t="n"/>
      <c r="O867" s="54" t="n"/>
      <c r="P867" s="54" t="n"/>
      <c r="Q867" s="54" t="n"/>
      <c r="R867" s="54" t="n"/>
      <c r="S867" s="54" t="n"/>
      <c r="T867" s="54" t="n"/>
      <c r="U867" s="54" t="n"/>
      <c r="V867" s="54" t="n"/>
      <c r="W867" s="54" t="n"/>
      <c r="X867" s="54" t="n"/>
      <c r="Y867" s="54" t="n"/>
      <c r="Z867" s="54" t="n"/>
    </row>
    <row r="868" ht="15.75" customHeight="1" s="57">
      <c r="A868" s="54" t="n"/>
      <c r="B868" s="54" t="n"/>
      <c r="C868" s="54" t="n"/>
      <c r="D868" s="54" t="n"/>
      <c r="E868" s="54" t="n"/>
      <c r="F868" s="54" t="n"/>
      <c r="G868" s="54" t="n"/>
      <c r="H868" s="54" t="n"/>
      <c r="I868" s="54" t="n"/>
      <c r="J868" s="54" t="n"/>
      <c r="K868" s="54" t="n"/>
      <c r="L868" s="54" t="n"/>
      <c r="M868" s="54" t="n"/>
      <c r="N868" s="54" t="n"/>
      <c r="O868" s="54" t="n"/>
      <c r="P868" s="54" t="n"/>
      <c r="Q868" s="54" t="n"/>
      <c r="R868" s="54" t="n"/>
      <c r="S868" s="54" t="n"/>
      <c r="T868" s="54" t="n"/>
      <c r="U868" s="54" t="n"/>
      <c r="V868" s="54" t="n"/>
      <c r="W868" s="54" t="n"/>
      <c r="X868" s="54" t="n"/>
      <c r="Y868" s="54" t="n"/>
      <c r="Z868" s="54" t="n"/>
    </row>
    <row r="869" ht="15.75" customHeight="1" s="57">
      <c r="A869" s="54" t="n"/>
      <c r="B869" s="54" t="n"/>
      <c r="C869" s="54" t="n"/>
      <c r="D869" s="54" t="n"/>
      <c r="E869" s="54" t="n"/>
      <c r="F869" s="54" t="n"/>
      <c r="G869" s="54" t="n"/>
      <c r="H869" s="54" t="n"/>
      <c r="I869" s="54" t="n"/>
      <c r="J869" s="54" t="n"/>
      <c r="K869" s="54" t="n"/>
      <c r="L869" s="54" t="n"/>
      <c r="M869" s="54" t="n"/>
      <c r="N869" s="54" t="n"/>
      <c r="O869" s="54" t="n"/>
      <c r="P869" s="54" t="n"/>
      <c r="Q869" s="54" t="n"/>
      <c r="R869" s="54" t="n"/>
      <c r="S869" s="54" t="n"/>
      <c r="T869" s="54" t="n"/>
      <c r="U869" s="54" t="n"/>
      <c r="V869" s="54" t="n"/>
      <c r="W869" s="54" t="n"/>
      <c r="X869" s="54" t="n"/>
      <c r="Y869" s="54" t="n"/>
      <c r="Z869" s="54" t="n"/>
    </row>
    <row r="870" ht="15.75" customHeight="1" s="57">
      <c r="A870" s="54" t="n"/>
      <c r="B870" s="54" t="n"/>
      <c r="C870" s="54" t="n"/>
      <c r="D870" s="54" t="n"/>
      <c r="E870" s="54" t="n"/>
      <c r="F870" s="54" t="n"/>
      <c r="G870" s="54" t="n"/>
      <c r="H870" s="54" t="n"/>
      <c r="I870" s="54" t="n"/>
      <c r="J870" s="54" t="n"/>
      <c r="K870" s="54" t="n"/>
      <c r="L870" s="54" t="n"/>
      <c r="M870" s="54" t="n"/>
      <c r="N870" s="54" t="n"/>
      <c r="O870" s="54" t="n"/>
      <c r="P870" s="54" t="n"/>
      <c r="Q870" s="54" t="n"/>
      <c r="R870" s="54" t="n"/>
      <c r="S870" s="54" t="n"/>
      <c r="T870" s="54" t="n"/>
      <c r="U870" s="54" t="n"/>
      <c r="V870" s="54" t="n"/>
      <c r="W870" s="54" t="n"/>
      <c r="X870" s="54" t="n"/>
      <c r="Y870" s="54" t="n"/>
      <c r="Z870" s="54" t="n"/>
    </row>
    <row r="871" ht="15.75" customHeight="1" s="57">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row>
    <row r="872" ht="15.75" customHeight="1" s="57">
      <c r="A872" s="54" t="n"/>
      <c r="B872" s="54" t="n"/>
      <c r="C872" s="54" t="n"/>
      <c r="D872" s="54" t="n"/>
      <c r="E872" s="54" t="n"/>
      <c r="F872" s="54" t="n"/>
      <c r="G872" s="54" t="n"/>
      <c r="H872" s="54" t="n"/>
      <c r="I872" s="54" t="n"/>
      <c r="J872" s="54" t="n"/>
      <c r="K872" s="54" t="n"/>
      <c r="L872" s="54" t="n"/>
      <c r="M872" s="54" t="n"/>
      <c r="N872" s="54" t="n"/>
      <c r="O872" s="54" t="n"/>
      <c r="P872" s="54" t="n"/>
      <c r="Q872" s="54" t="n"/>
      <c r="R872" s="54" t="n"/>
      <c r="S872" s="54" t="n"/>
      <c r="T872" s="54" t="n"/>
      <c r="U872" s="54" t="n"/>
      <c r="V872" s="54" t="n"/>
      <c r="W872" s="54" t="n"/>
      <c r="X872" s="54" t="n"/>
      <c r="Y872" s="54" t="n"/>
      <c r="Z872" s="54" t="n"/>
    </row>
    <row r="873" ht="15.75" customHeight="1" s="57">
      <c r="A873" s="54" t="n"/>
      <c r="B873" s="54" t="n"/>
      <c r="C873" s="54" t="n"/>
      <c r="D873" s="54" t="n"/>
      <c r="E873" s="54" t="n"/>
      <c r="F873" s="54" t="n"/>
      <c r="G873" s="54" t="n"/>
      <c r="H873" s="54" t="n"/>
      <c r="I873" s="54" t="n"/>
      <c r="J873" s="54" t="n"/>
      <c r="K873" s="54" t="n"/>
      <c r="L873" s="54" t="n"/>
      <c r="M873" s="54" t="n"/>
      <c r="N873" s="54" t="n"/>
      <c r="O873" s="54" t="n"/>
      <c r="P873" s="54" t="n"/>
      <c r="Q873" s="54" t="n"/>
      <c r="R873" s="54" t="n"/>
      <c r="S873" s="54" t="n"/>
      <c r="T873" s="54" t="n"/>
      <c r="U873" s="54" t="n"/>
      <c r="V873" s="54" t="n"/>
      <c r="W873" s="54" t="n"/>
      <c r="X873" s="54" t="n"/>
      <c r="Y873" s="54" t="n"/>
      <c r="Z873" s="54" t="n"/>
    </row>
    <row r="874" ht="15.75" customHeight="1" s="57">
      <c r="A874" s="54" t="n"/>
      <c r="B874" s="54" t="n"/>
      <c r="C874" s="54" t="n"/>
      <c r="D874" s="54" t="n"/>
      <c r="E874" s="54" t="n"/>
      <c r="F874" s="54" t="n"/>
      <c r="G874" s="54" t="n"/>
      <c r="H874" s="54" t="n"/>
      <c r="I874" s="54" t="n"/>
      <c r="J874" s="54" t="n"/>
      <c r="K874" s="54" t="n"/>
      <c r="L874" s="54" t="n"/>
      <c r="M874" s="54" t="n"/>
      <c r="N874" s="54" t="n"/>
      <c r="O874" s="54" t="n"/>
      <c r="P874" s="54" t="n"/>
      <c r="Q874" s="54" t="n"/>
      <c r="R874" s="54" t="n"/>
      <c r="S874" s="54" t="n"/>
      <c r="T874" s="54" t="n"/>
      <c r="U874" s="54" t="n"/>
      <c r="V874" s="54" t="n"/>
      <c r="W874" s="54" t="n"/>
      <c r="X874" s="54" t="n"/>
      <c r="Y874" s="54" t="n"/>
      <c r="Z874" s="54" t="n"/>
    </row>
    <row r="875" ht="15.75" customHeight="1" s="57">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row>
    <row r="876" ht="15.75" customHeight="1" s="57">
      <c r="A876" s="54" t="n"/>
      <c r="B876" s="54" t="n"/>
      <c r="C876" s="54" t="n"/>
      <c r="D876" s="54" t="n"/>
      <c r="E876" s="54" t="n"/>
      <c r="F876" s="54" t="n"/>
      <c r="G876" s="54" t="n"/>
      <c r="H876" s="54" t="n"/>
      <c r="I876" s="54" t="n"/>
      <c r="J876" s="54" t="n"/>
      <c r="K876" s="54" t="n"/>
      <c r="L876" s="54" t="n"/>
      <c r="M876" s="54" t="n"/>
      <c r="N876" s="54" t="n"/>
      <c r="O876" s="54" t="n"/>
      <c r="P876" s="54" t="n"/>
      <c r="Q876" s="54" t="n"/>
      <c r="R876" s="54" t="n"/>
      <c r="S876" s="54" t="n"/>
      <c r="T876" s="54" t="n"/>
      <c r="U876" s="54" t="n"/>
      <c r="V876" s="54" t="n"/>
      <c r="W876" s="54" t="n"/>
      <c r="X876" s="54" t="n"/>
      <c r="Y876" s="54" t="n"/>
      <c r="Z876" s="54" t="n"/>
    </row>
    <row r="877" ht="15.75" customHeight="1" s="57">
      <c r="A877" s="54" t="n"/>
      <c r="B877" s="54" t="n"/>
      <c r="C877" s="54" t="n"/>
      <c r="D877" s="54" t="n"/>
      <c r="E877" s="54" t="n"/>
      <c r="F877" s="54" t="n"/>
      <c r="G877" s="54" t="n"/>
      <c r="H877" s="54" t="n"/>
      <c r="I877" s="54" t="n"/>
      <c r="J877" s="54" t="n"/>
      <c r="K877" s="54" t="n"/>
      <c r="L877" s="54" t="n"/>
      <c r="M877" s="54" t="n"/>
      <c r="N877" s="54" t="n"/>
      <c r="O877" s="54" t="n"/>
      <c r="P877" s="54" t="n"/>
      <c r="Q877" s="54" t="n"/>
      <c r="R877" s="54" t="n"/>
      <c r="S877" s="54" t="n"/>
      <c r="T877" s="54" t="n"/>
      <c r="U877" s="54" t="n"/>
      <c r="V877" s="54" t="n"/>
      <c r="W877" s="54" t="n"/>
      <c r="X877" s="54" t="n"/>
      <c r="Y877" s="54" t="n"/>
      <c r="Z877" s="54" t="n"/>
    </row>
    <row r="878" ht="15.75" customHeight="1" s="57">
      <c r="A878" s="54" t="n"/>
      <c r="B878" s="54" t="n"/>
      <c r="C878" s="54" t="n"/>
      <c r="D878" s="54" t="n"/>
      <c r="E878" s="54" t="n"/>
      <c r="F878" s="54" t="n"/>
      <c r="G878" s="54" t="n"/>
      <c r="H878" s="54" t="n"/>
      <c r="I878" s="54" t="n"/>
      <c r="J878" s="54" t="n"/>
      <c r="K878" s="54" t="n"/>
      <c r="L878" s="54" t="n"/>
      <c r="M878" s="54" t="n"/>
      <c r="N878" s="54" t="n"/>
      <c r="O878" s="54" t="n"/>
      <c r="P878" s="54" t="n"/>
      <c r="Q878" s="54" t="n"/>
      <c r="R878" s="54" t="n"/>
      <c r="S878" s="54" t="n"/>
      <c r="T878" s="54" t="n"/>
      <c r="U878" s="54" t="n"/>
      <c r="V878" s="54" t="n"/>
      <c r="W878" s="54" t="n"/>
      <c r="X878" s="54" t="n"/>
      <c r="Y878" s="54" t="n"/>
      <c r="Z878" s="54" t="n"/>
    </row>
    <row r="879" ht="15.75" customHeight="1" s="57">
      <c r="A879" s="54" t="n"/>
      <c r="B879" s="54" t="n"/>
      <c r="C879" s="54" t="n"/>
      <c r="D879" s="54" t="n"/>
      <c r="E879" s="54" t="n"/>
      <c r="F879" s="54" t="n"/>
      <c r="G879" s="54" t="n"/>
      <c r="H879" s="54" t="n"/>
      <c r="I879" s="54" t="n"/>
      <c r="J879" s="54" t="n"/>
      <c r="K879" s="54" t="n"/>
      <c r="L879" s="54" t="n"/>
      <c r="M879" s="54" t="n"/>
      <c r="N879" s="54" t="n"/>
      <c r="O879" s="54" t="n"/>
      <c r="P879" s="54" t="n"/>
      <c r="Q879" s="54" t="n"/>
      <c r="R879" s="54" t="n"/>
      <c r="S879" s="54" t="n"/>
      <c r="T879" s="54" t="n"/>
      <c r="U879" s="54" t="n"/>
      <c r="V879" s="54" t="n"/>
      <c r="W879" s="54" t="n"/>
      <c r="X879" s="54" t="n"/>
      <c r="Y879" s="54" t="n"/>
      <c r="Z879" s="54" t="n"/>
    </row>
    <row r="880" ht="15.75" customHeight="1" s="57">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row>
    <row r="881" ht="15.75" customHeight="1" s="57">
      <c r="A881" s="54" t="n"/>
      <c r="B881" s="54" t="n"/>
      <c r="C881" s="54" t="n"/>
      <c r="D881" s="54" t="n"/>
      <c r="E881" s="54" t="n"/>
      <c r="F881" s="54" t="n"/>
      <c r="G881" s="54" t="n"/>
      <c r="H881" s="54" t="n"/>
      <c r="I881" s="54" t="n"/>
      <c r="J881" s="54" t="n"/>
      <c r="K881" s="54" t="n"/>
      <c r="L881" s="54" t="n"/>
      <c r="M881" s="54" t="n"/>
      <c r="N881" s="54" t="n"/>
      <c r="O881" s="54" t="n"/>
      <c r="P881" s="54" t="n"/>
      <c r="Q881" s="54" t="n"/>
      <c r="R881" s="54" t="n"/>
      <c r="S881" s="54" t="n"/>
      <c r="T881" s="54" t="n"/>
      <c r="U881" s="54" t="n"/>
      <c r="V881" s="54" t="n"/>
      <c r="W881" s="54" t="n"/>
      <c r="X881" s="54" t="n"/>
      <c r="Y881" s="54" t="n"/>
      <c r="Z881" s="54" t="n"/>
    </row>
    <row r="882" ht="15.75" customHeight="1" s="57">
      <c r="A882" s="54" t="n"/>
      <c r="B882" s="54" t="n"/>
      <c r="C882" s="54" t="n"/>
      <c r="D882" s="54" t="n"/>
      <c r="E882" s="54" t="n"/>
      <c r="F882" s="54" t="n"/>
      <c r="G882" s="54" t="n"/>
      <c r="H882" s="54" t="n"/>
      <c r="I882" s="54" t="n"/>
      <c r="J882" s="54" t="n"/>
      <c r="K882" s="54" t="n"/>
      <c r="L882" s="54" t="n"/>
      <c r="M882" s="54" t="n"/>
      <c r="N882" s="54" t="n"/>
      <c r="O882" s="54" t="n"/>
      <c r="P882" s="54" t="n"/>
      <c r="Q882" s="54" t="n"/>
      <c r="R882" s="54" t="n"/>
      <c r="S882" s="54" t="n"/>
      <c r="T882" s="54" t="n"/>
      <c r="U882" s="54" t="n"/>
      <c r="V882" s="54" t="n"/>
      <c r="W882" s="54" t="n"/>
      <c r="X882" s="54" t="n"/>
      <c r="Y882" s="54" t="n"/>
      <c r="Z882" s="54" t="n"/>
    </row>
    <row r="883" ht="15.75" customHeight="1" s="57">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row>
    <row r="884" ht="15.75" customHeight="1" s="57">
      <c r="A884" s="54" t="n"/>
      <c r="B884" s="54" t="n"/>
      <c r="C884" s="54" t="n"/>
      <c r="D884" s="54" t="n"/>
      <c r="E884" s="54" t="n"/>
      <c r="F884" s="54" t="n"/>
      <c r="G884" s="54" t="n"/>
      <c r="H884" s="54" t="n"/>
      <c r="I884" s="54" t="n"/>
      <c r="J884" s="54" t="n"/>
      <c r="K884" s="54" t="n"/>
      <c r="L884" s="54" t="n"/>
      <c r="M884" s="54" t="n"/>
      <c r="N884" s="54" t="n"/>
      <c r="O884" s="54" t="n"/>
      <c r="P884" s="54" t="n"/>
      <c r="Q884" s="54" t="n"/>
      <c r="R884" s="54" t="n"/>
      <c r="S884" s="54" t="n"/>
      <c r="T884" s="54" t="n"/>
      <c r="U884" s="54" t="n"/>
      <c r="V884" s="54" t="n"/>
      <c r="W884" s="54" t="n"/>
      <c r="X884" s="54" t="n"/>
      <c r="Y884" s="54" t="n"/>
      <c r="Z884" s="54" t="n"/>
    </row>
    <row r="885" ht="15.75" customHeight="1" s="57">
      <c r="A885" s="54" t="n"/>
      <c r="B885" s="54" t="n"/>
      <c r="C885" s="54" t="n"/>
      <c r="D885" s="54" t="n"/>
      <c r="E885" s="54" t="n"/>
      <c r="F885" s="54" t="n"/>
      <c r="G885" s="54" t="n"/>
      <c r="H885" s="54" t="n"/>
      <c r="I885" s="54" t="n"/>
      <c r="J885" s="54" t="n"/>
      <c r="K885" s="54" t="n"/>
      <c r="L885" s="54" t="n"/>
      <c r="M885" s="54" t="n"/>
      <c r="N885" s="54" t="n"/>
      <c r="O885" s="54" t="n"/>
      <c r="P885" s="54" t="n"/>
      <c r="Q885" s="54" t="n"/>
      <c r="R885" s="54" t="n"/>
      <c r="S885" s="54" t="n"/>
      <c r="T885" s="54" t="n"/>
      <c r="U885" s="54" t="n"/>
      <c r="V885" s="54" t="n"/>
      <c r="W885" s="54" t="n"/>
      <c r="X885" s="54" t="n"/>
      <c r="Y885" s="54" t="n"/>
      <c r="Z885" s="54" t="n"/>
    </row>
    <row r="886" ht="15.75" customHeight="1" s="57">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row>
    <row r="887" ht="15.75" customHeight="1" s="57">
      <c r="A887" s="54" t="n"/>
      <c r="B887" s="54" t="n"/>
      <c r="C887" s="54" t="n"/>
      <c r="D887" s="54" t="n"/>
      <c r="E887" s="54" t="n"/>
      <c r="F887" s="54" t="n"/>
      <c r="G887" s="54" t="n"/>
      <c r="H887" s="54" t="n"/>
      <c r="I887" s="54" t="n"/>
      <c r="J887" s="54" t="n"/>
      <c r="K887" s="54" t="n"/>
      <c r="L887" s="54" t="n"/>
      <c r="M887" s="54" t="n"/>
      <c r="N887" s="54" t="n"/>
      <c r="O887" s="54" t="n"/>
      <c r="P887" s="54" t="n"/>
      <c r="Q887" s="54" t="n"/>
      <c r="R887" s="54" t="n"/>
      <c r="S887" s="54" t="n"/>
      <c r="T887" s="54" t="n"/>
      <c r="U887" s="54" t="n"/>
      <c r="V887" s="54" t="n"/>
      <c r="W887" s="54" t="n"/>
      <c r="X887" s="54" t="n"/>
      <c r="Y887" s="54" t="n"/>
      <c r="Z887" s="54" t="n"/>
    </row>
    <row r="888" ht="15.75" customHeight="1" s="57">
      <c r="A888" s="54" t="n"/>
      <c r="B888" s="54" t="n"/>
      <c r="C888" s="54" t="n"/>
      <c r="D888" s="54" t="n"/>
      <c r="E888" s="54" t="n"/>
      <c r="F888" s="54" t="n"/>
      <c r="G888" s="54" t="n"/>
      <c r="H888" s="54" t="n"/>
      <c r="I888" s="54" t="n"/>
      <c r="J888" s="54" t="n"/>
      <c r="K888" s="54" t="n"/>
      <c r="L888" s="54" t="n"/>
      <c r="M888" s="54" t="n"/>
      <c r="N888" s="54" t="n"/>
      <c r="O888" s="54" t="n"/>
      <c r="P888" s="54" t="n"/>
      <c r="Q888" s="54" t="n"/>
      <c r="R888" s="54" t="n"/>
      <c r="S888" s="54" t="n"/>
      <c r="T888" s="54" t="n"/>
      <c r="U888" s="54" t="n"/>
      <c r="V888" s="54" t="n"/>
      <c r="W888" s="54" t="n"/>
      <c r="X888" s="54" t="n"/>
      <c r="Y888" s="54" t="n"/>
      <c r="Z888" s="54" t="n"/>
    </row>
    <row r="889" ht="15.75" customHeight="1" s="57">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row>
    <row r="890" ht="15.75" customHeight="1" s="57">
      <c r="A890" s="54" t="n"/>
      <c r="B890" s="54" t="n"/>
      <c r="C890" s="54" t="n"/>
      <c r="D890" s="54" t="n"/>
      <c r="E890" s="54" t="n"/>
      <c r="F890" s="54" t="n"/>
      <c r="G890" s="54" t="n"/>
      <c r="H890" s="54" t="n"/>
      <c r="I890" s="54" t="n"/>
      <c r="J890" s="54" t="n"/>
      <c r="K890" s="54" t="n"/>
      <c r="L890" s="54" t="n"/>
      <c r="M890" s="54" t="n"/>
      <c r="N890" s="54" t="n"/>
      <c r="O890" s="54" t="n"/>
      <c r="P890" s="54" t="n"/>
      <c r="Q890" s="54" t="n"/>
      <c r="R890" s="54" t="n"/>
      <c r="S890" s="54" t="n"/>
      <c r="T890" s="54" t="n"/>
      <c r="U890" s="54" t="n"/>
      <c r="V890" s="54" t="n"/>
      <c r="W890" s="54" t="n"/>
      <c r="X890" s="54" t="n"/>
      <c r="Y890" s="54" t="n"/>
      <c r="Z890" s="54" t="n"/>
    </row>
    <row r="891" ht="15.75" customHeight="1" s="57">
      <c r="A891" s="54" t="n"/>
      <c r="B891" s="54" t="n"/>
      <c r="C891" s="54" t="n"/>
      <c r="D891" s="54" t="n"/>
      <c r="E891" s="54" t="n"/>
      <c r="F891" s="54" t="n"/>
      <c r="G891" s="54" t="n"/>
      <c r="H891" s="54" t="n"/>
      <c r="I891" s="54" t="n"/>
      <c r="J891" s="54" t="n"/>
      <c r="K891" s="54" t="n"/>
      <c r="L891" s="54" t="n"/>
      <c r="M891" s="54" t="n"/>
      <c r="N891" s="54" t="n"/>
      <c r="O891" s="54" t="n"/>
      <c r="P891" s="54" t="n"/>
      <c r="Q891" s="54" t="n"/>
      <c r="R891" s="54" t="n"/>
      <c r="S891" s="54" t="n"/>
      <c r="T891" s="54" t="n"/>
      <c r="U891" s="54" t="n"/>
      <c r="V891" s="54" t="n"/>
      <c r="W891" s="54" t="n"/>
      <c r="X891" s="54" t="n"/>
      <c r="Y891" s="54" t="n"/>
      <c r="Z891" s="54" t="n"/>
    </row>
    <row r="892" ht="15.75" customHeight="1" s="57">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row>
    <row r="893" ht="15.75" customHeight="1" s="57">
      <c r="A893" s="54" t="n"/>
      <c r="B893" s="54" t="n"/>
      <c r="C893" s="54" t="n"/>
      <c r="D893" s="54" t="n"/>
      <c r="E893" s="54" t="n"/>
      <c r="F893" s="54" t="n"/>
      <c r="G893" s="54" t="n"/>
      <c r="H893" s="54" t="n"/>
      <c r="I893" s="54" t="n"/>
      <c r="J893" s="54" t="n"/>
      <c r="K893" s="54" t="n"/>
      <c r="L893" s="54" t="n"/>
      <c r="M893" s="54" t="n"/>
      <c r="N893" s="54" t="n"/>
      <c r="O893" s="54" t="n"/>
      <c r="P893" s="54" t="n"/>
      <c r="Q893" s="54" t="n"/>
      <c r="R893" s="54" t="n"/>
      <c r="S893" s="54" t="n"/>
      <c r="T893" s="54" t="n"/>
      <c r="U893" s="54" t="n"/>
      <c r="V893" s="54" t="n"/>
      <c r="W893" s="54" t="n"/>
      <c r="X893" s="54" t="n"/>
      <c r="Y893" s="54" t="n"/>
      <c r="Z893" s="54" t="n"/>
    </row>
    <row r="894" ht="15.75" customHeight="1" s="57">
      <c r="A894" s="54" t="n"/>
      <c r="B894" s="54" t="n"/>
      <c r="C894" s="54" t="n"/>
      <c r="D894" s="54" t="n"/>
      <c r="E894" s="54" t="n"/>
      <c r="F894" s="54" t="n"/>
      <c r="G894" s="54" t="n"/>
      <c r="H894" s="54" t="n"/>
      <c r="I894" s="54" t="n"/>
      <c r="J894" s="54" t="n"/>
      <c r="K894" s="54" t="n"/>
      <c r="L894" s="54" t="n"/>
      <c r="M894" s="54" t="n"/>
      <c r="N894" s="54" t="n"/>
      <c r="O894" s="54" t="n"/>
      <c r="P894" s="54" t="n"/>
      <c r="Q894" s="54" t="n"/>
      <c r="R894" s="54" t="n"/>
      <c r="S894" s="54" t="n"/>
      <c r="T894" s="54" t="n"/>
      <c r="U894" s="54" t="n"/>
      <c r="V894" s="54" t="n"/>
      <c r="W894" s="54" t="n"/>
      <c r="X894" s="54" t="n"/>
      <c r="Y894" s="54" t="n"/>
      <c r="Z894" s="54" t="n"/>
    </row>
    <row r="895" ht="15.75" customHeight="1" s="57">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row>
    <row r="896" ht="15.75" customHeight="1" s="57">
      <c r="A896" s="54" t="n"/>
      <c r="B896" s="54" t="n"/>
      <c r="C896" s="54" t="n"/>
      <c r="D896" s="54" t="n"/>
      <c r="E896" s="54" t="n"/>
      <c r="F896" s="54" t="n"/>
      <c r="G896" s="54" t="n"/>
      <c r="H896" s="54" t="n"/>
      <c r="I896" s="54" t="n"/>
      <c r="J896" s="54" t="n"/>
      <c r="K896" s="54" t="n"/>
      <c r="L896" s="54" t="n"/>
      <c r="M896" s="54" t="n"/>
      <c r="N896" s="54" t="n"/>
      <c r="O896" s="54" t="n"/>
      <c r="P896" s="54" t="n"/>
      <c r="Q896" s="54" t="n"/>
      <c r="R896" s="54" t="n"/>
      <c r="S896" s="54" t="n"/>
      <c r="T896" s="54" t="n"/>
      <c r="U896" s="54" t="n"/>
      <c r="V896" s="54" t="n"/>
      <c r="W896" s="54" t="n"/>
      <c r="X896" s="54" t="n"/>
      <c r="Y896" s="54" t="n"/>
      <c r="Z896" s="54" t="n"/>
    </row>
    <row r="897" ht="15.75" customHeight="1" s="57">
      <c r="A897" s="54" t="n"/>
      <c r="B897" s="54" t="n"/>
      <c r="C897" s="54" t="n"/>
      <c r="D897" s="54" t="n"/>
      <c r="E897" s="54" t="n"/>
      <c r="F897" s="54" t="n"/>
      <c r="G897" s="54" t="n"/>
      <c r="H897" s="54" t="n"/>
      <c r="I897" s="54" t="n"/>
      <c r="J897" s="54" t="n"/>
      <c r="K897" s="54" t="n"/>
      <c r="L897" s="54" t="n"/>
      <c r="M897" s="54" t="n"/>
      <c r="N897" s="54" t="n"/>
      <c r="O897" s="54" t="n"/>
      <c r="P897" s="54" t="n"/>
      <c r="Q897" s="54" t="n"/>
      <c r="R897" s="54" t="n"/>
      <c r="S897" s="54" t="n"/>
      <c r="T897" s="54" t="n"/>
      <c r="U897" s="54" t="n"/>
      <c r="V897" s="54" t="n"/>
      <c r="W897" s="54" t="n"/>
      <c r="X897" s="54" t="n"/>
      <c r="Y897" s="54" t="n"/>
      <c r="Z897" s="54" t="n"/>
    </row>
    <row r="898" ht="15.75" customHeight="1" s="57">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row>
    <row r="899" ht="15.75" customHeight="1" s="57">
      <c r="A899" s="54" t="n"/>
      <c r="B899" s="54" t="n"/>
      <c r="C899" s="54" t="n"/>
      <c r="D899" s="54" t="n"/>
      <c r="E899" s="54" t="n"/>
      <c r="F899" s="54" t="n"/>
      <c r="G899" s="54" t="n"/>
      <c r="H899" s="54" t="n"/>
      <c r="I899" s="54" t="n"/>
      <c r="J899" s="54" t="n"/>
      <c r="K899" s="54" t="n"/>
      <c r="L899" s="54" t="n"/>
      <c r="M899" s="54" t="n"/>
      <c r="N899" s="54" t="n"/>
      <c r="O899" s="54" t="n"/>
      <c r="P899" s="54" t="n"/>
      <c r="Q899" s="54" t="n"/>
      <c r="R899" s="54" t="n"/>
      <c r="S899" s="54" t="n"/>
      <c r="T899" s="54" t="n"/>
      <c r="U899" s="54" t="n"/>
      <c r="V899" s="54" t="n"/>
      <c r="W899" s="54" t="n"/>
      <c r="X899" s="54" t="n"/>
      <c r="Y899" s="54" t="n"/>
      <c r="Z899" s="54" t="n"/>
    </row>
    <row r="900" ht="15.75" customHeight="1" s="57">
      <c r="A900" s="54" t="n"/>
      <c r="B900" s="54" t="n"/>
      <c r="C900" s="54" t="n"/>
      <c r="D900" s="54" t="n"/>
      <c r="E900" s="54" t="n"/>
      <c r="F900" s="54" t="n"/>
      <c r="G900" s="54" t="n"/>
      <c r="H900" s="54" t="n"/>
      <c r="I900" s="54" t="n"/>
      <c r="J900" s="54" t="n"/>
      <c r="K900" s="54" t="n"/>
      <c r="L900" s="54" t="n"/>
      <c r="M900" s="54" t="n"/>
      <c r="N900" s="54" t="n"/>
      <c r="O900" s="54" t="n"/>
      <c r="P900" s="54" t="n"/>
      <c r="Q900" s="54" t="n"/>
      <c r="R900" s="54" t="n"/>
      <c r="S900" s="54" t="n"/>
      <c r="T900" s="54" t="n"/>
      <c r="U900" s="54" t="n"/>
      <c r="V900" s="54" t="n"/>
      <c r="W900" s="54" t="n"/>
      <c r="X900" s="54" t="n"/>
      <c r="Y900" s="54" t="n"/>
      <c r="Z900" s="54" t="n"/>
    </row>
    <row r="901" ht="15.75" customHeight="1" s="57">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row>
    <row r="902" ht="15.75" customHeight="1" s="57">
      <c r="A902" s="54" t="n"/>
      <c r="B902" s="54" t="n"/>
      <c r="C902" s="54" t="n"/>
      <c r="D902" s="54" t="n"/>
      <c r="E902" s="54" t="n"/>
      <c r="F902" s="54" t="n"/>
      <c r="G902" s="54" t="n"/>
      <c r="H902" s="54" t="n"/>
      <c r="I902" s="54" t="n"/>
      <c r="J902" s="54" t="n"/>
      <c r="K902" s="54" t="n"/>
      <c r="L902" s="54" t="n"/>
      <c r="M902" s="54" t="n"/>
      <c r="N902" s="54" t="n"/>
      <c r="O902" s="54" t="n"/>
      <c r="P902" s="54" t="n"/>
      <c r="Q902" s="54" t="n"/>
      <c r="R902" s="54" t="n"/>
      <c r="S902" s="54" t="n"/>
      <c r="T902" s="54" t="n"/>
      <c r="U902" s="54" t="n"/>
      <c r="V902" s="54" t="n"/>
      <c r="W902" s="54" t="n"/>
      <c r="X902" s="54" t="n"/>
      <c r="Y902" s="54" t="n"/>
      <c r="Z902" s="54" t="n"/>
    </row>
    <row r="903" ht="15.75" customHeight="1" s="57">
      <c r="A903" s="54" t="n"/>
      <c r="B903" s="54" t="n"/>
      <c r="C903" s="54" t="n"/>
      <c r="D903" s="54" t="n"/>
      <c r="E903" s="54" t="n"/>
      <c r="F903" s="54" t="n"/>
      <c r="G903" s="54" t="n"/>
      <c r="H903" s="54" t="n"/>
      <c r="I903" s="54" t="n"/>
      <c r="J903" s="54" t="n"/>
      <c r="K903" s="54" t="n"/>
      <c r="L903" s="54" t="n"/>
      <c r="M903" s="54" t="n"/>
      <c r="N903" s="54" t="n"/>
      <c r="O903" s="54" t="n"/>
      <c r="P903" s="54" t="n"/>
      <c r="Q903" s="54" t="n"/>
      <c r="R903" s="54" t="n"/>
      <c r="S903" s="54" t="n"/>
      <c r="T903" s="54" t="n"/>
      <c r="U903" s="54" t="n"/>
      <c r="V903" s="54" t="n"/>
      <c r="W903" s="54" t="n"/>
      <c r="X903" s="54" t="n"/>
      <c r="Y903" s="54" t="n"/>
      <c r="Z903" s="54" t="n"/>
    </row>
    <row r="904" ht="15.75" customHeight="1" s="57">
      <c r="A904" s="54" t="n"/>
      <c r="B904" s="54" t="n"/>
      <c r="C904" s="54" t="n"/>
      <c r="D904" s="54" t="n"/>
      <c r="E904" s="54" t="n"/>
      <c r="F904" s="54" t="n"/>
      <c r="G904" s="54" t="n"/>
      <c r="H904" s="54" t="n"/>
      <c r="I904" s="54" t="n"/>
      <c r="J904" s="54" t="n"/>
      <c r="K904" s="54" t="n"/>
      <c r="L904" s="54" t="n"/>
      <c r="M904" s="54" t="n"/>
      <c r="N904" s="54" t="n"/>
      <c r="O904" s="54" t="n"/>
      <c r="P904" s="54" t="n"/>
      <c r="Q904" s="54" t="n"/>
      <c r="R904" s="54" t="n"/>
      <c r="S904" s="54" t="n"/>
      <c r="T904" s="54" t="n"/>
      <c r="U904" s="54" t="n"/>
      <c r="V904" s="54" t="n"/>
      <c r="W904" s="54" t="n"/>
      <c r="X904" s="54" t="n"/>
      <c r="Y904" s="54" t="n"/>
      <c r="Z904" s="54" t="n"/>
    </row>
    <row r="905" ht="15.75" customHeight="1" s="57">
      <c r="A905" s="54" t="n"/>
      <c r="B905" s="54" t="n"/>
      <c r="C905" s="54" t="n"/>
      <c r="D905" s="54" t="n"/>
      <c r="E905" s="54" t="n"/>
      <c r="F905" s="54" t="n"/>
      <c r="G905" s="54" t="n"/>
      <c r="H905" s="54" t="n"/>
      <c r="I905" s="54" t="n"/>
      <c r="J905" s="54" t="n"/>
      <c r="K905" s="54" t="n"/>
      <c r="L905" s="54" t="n"/>
      <c r="M905" s="54" t="n"/>
      <c r="N905" s="54" t="n"/>
      <c r="O905" s="54" t="n"/>
      <c r="P905" s="54" t="n"/>
      <c r="Q905" s="54" t="n"/>
      <c r="R905" s="54" t="n"/>
      <c r="S905" s="54" t="n"/>
      <c r="T905" s="54" t="n"/>
      <c r="U905" s="54" t="n"/>
      <c r="V905" s="54" t="n"/>
      <c r="W905" s="54" t="n"/>
      <c r="X905" s="54" t="n"/>
      <c r="Y905" s="54" t="n"/>
      <c r="Z905" s="54" t="n"/>
    </row>
    <row r="906" ht="15.75" customHeight="1" s="57">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row>
    <row r="907" ht="15.75" customHeight="1" s="57">
      <c r="A907" s="54" t="n"/>
      <c r="B907" s="54" t="n"/>
      <c r="C907" s="54" t="n"/>
      <c r="D907" s="54" t="n"/>
      <c r="E907" s="54" t="n"/>
      <c r="F907" s="54" t="n"/>
      <c r="G907" s="54" t="n"/>
      <c r="H907" s="54" t="n"/>
      <c r="I907" s="54" t="n"/>
      <c r="J907" s="54" t="n"/>
      <c r="K907" s="54" t="n"/>
      <c r="L907" s="54" t="n"/>
      <c r="M907" s="54" t="n"/>
      <c r="N907" s="54" t="n"/>
      <c r="O907" s="54" t="n"/>
      <c r="P907" s="54" t="n"/>
      <c r="Q907" s="54" t="n"/>
      <c r="R907" s="54" t="n"/>
      <c r="S907" s="54" t="n"/>
      <c r="T907" s="54" t="n"/>
      <c r="U907" s="54" t="n"/>
      <c r="V907" s="54" t="n"/>
      <c r="W907" s="54" t="n"/>
      <c r="X907" s="54" t="n"/>
      <c r="Y907" s="54" t="n"/>
      <c r="Z907" s="54" t="n"/>
    </row>
    <row r="908" ht="15.75" customHeight="1" s="57">
      <c r="A908" s="54" t="n"/>
      <c r="B908" s="54" t="n"/>
      <c r="C908" s="54" t="n"/>
      <c r="D908" s="54" t="n"/>
      <c r="E908" s="54" t="n"/>
      <c r="F908" s="54" t="n"/>
      <c r="G908" s="54" t="n"/>
      <c r="H908" s="54" t="n"/>
      <c r="I908" s="54" t="n"/>
      <c r="J908" s="54" t="n"/>
      <c r="K908" s="54" t="n"/>
      <c r="L908" s="54" t="n"/>
      <c r="M908" s="54" t="n"/>
      <c r="N908" s="54" t="n"/>
      <c r="O908" s="54" t="n"/>
      <c r="P908" s="54" t="n"/>
      <c r="Q908" s="54" t="n"/>
      <c r="R908" s="54" t="n"/>
      <c r="S908" s="54" t="n"/>
      <c r="T908" s="54" t="n"/>
      <c r="U908" s="54" t="n"/>
      <c r="V908" s="54" t="n"/>
      <c r="W908" s="54" t="n"/>
      <c r="X908" s="54" t="n"/>
      <c r="Y908" s="54" t="n"/>
      <c r="Z908" s="54" t="n"/>
    </row>
    <row r="909" ht="15.75" customHeight="1" s="57">
      <c r="A909" s="54" t="n"/>
      <c r="B909" s="54" t="n"/>
      <c r="C909" s="54" t="n"/>
      <c r="D909" s="54" t="n"/>
      <c r="E909" s="54" t="n"/>
      <c r="F909" s="54" t="n"/>
      <c r="G909" s="54" t="n"/>
      <c r="H909" s="54" t="n"/>
      <c r="I909" s="54" t="n"/>
      <c r="J909" s="54" t="n"/>
      <c r="K909" s="54" t="n"/>
      <c r="L909" s="54" t="n"/>
      <c r="M909" s="54" t="n"/>
      <c r="N909" s="54" t="n"/>
      <c r="O909" s="54" t="n"/>
      <c r="P909" s="54" t="n"/>
      <c r="Q909" s="54" t="n"/>
      <c r="R909" s="54" t="n"/>
      <c r="S909" s="54" t="n"/>
      <c r="T909" s="54" t="n"/>
      <c r="U909" s="54" t="n"/>
      <c r="V909" s="54" t="n"/>
      <c r="W909" s="54" t="n"/>
      <c r="X909" s="54" t="n"/>
      <c r="Y909" s="54" t="n"/>
      <c r="Z909" s="54" t="n"/>
    </row>
    <row r="910" ht="15.75" customHeight="1" s="57">
      <c r="A910" s="54" t="n"/>
      <c r="B910" s="54" t="n"/>
      <c r="C910" s="54" t="n"/>
      <c r="D910" s="54" t="n"/>
      <c r="E910" s="54" t="n"/>
      <c r="F910" s="54" t="n"/>
      <c r="G910" s="54" t="n"/>
      <c r="H910" s="54" t="n"/>
      <c r="I910" s="54" t="n"/>
      <c r="J910" s="54" t="n"/>
      <c r="K910" s="54" t="n"/>
      <c r="L910" s="54" t="n"/>
      <c r="M910" s="54" t="n"/>
      <c r="N910" s="54" t="n"/>
      <c r="O910" s="54" t="n"/>
      <c r="P910" s="54" t="n"/>
      <c r="Q910" s="54" t="n"/>
      <c r="R910" s="54" t="n"/>
      <c r="S910" s="54" t="n"/>
      <c r="T910" s="54" t="n"/>
      <c r="U910" s="54" t="n"/>
      <c r="V910" s="54" t="n"/>
      <c r="W910" s="54" t="n"/>
      <c r="X910" s="54" t="n"/>
      <c r="Y910" s="54" t="n"/>
      <c r="Z910" s="54" t="n"/>
    </row>
    <row r="911" ht="15.75" customHeight="1" s="57">
      <c r="A911" s="54" t="n"/>
      <c r="B911" s="54" t="n"/>
      <c r="C911" s="54" t="n"/>
      <c r="D911" s="54" t="n"/>
      <c r="E911" s="54" t="n"/>
      <c r="F911" s="54" t="n"/>
      <c r="G911" s="54" t="n"/>
      <c r="H911" s="54" t="n"/>
      <c r="I911" s="54" t="n"/>
      <c r="J911" s="54" t="n"/>
      <c r="K911" s="54" t="n"/>
      <c r="L911" s="54" t="n"/>
      <c r="M911" s="54" t="n"/>
      <c r="N911" s="54" t="n"/>
      <c r="O911" s="54" t="n"/>
      <c r="P911" s="54" t="n"/>
      <c r="Q911" s="54" t="n"/>
      <c r="R911" s="54" t="n"/>
      <c r="S911" s="54" t="n"/>
      <c r="T911" s="54" t="n"/>
      <c r="U911" s="54" t="n"/>
      <c r="V911" s="54" t="n"/>
      <c r="W911" s="54" t="n"/>
      <c r="X911" s="54" t="n"/>
      <c r="Y911" s="54" t="n"/>
      <c r="Z911" s="54" t="n"/>
    </row>
    <row r="912" ht="15.75" customHeight="1" s="57">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row>
    <row r="913" ht="15.75" customHeight="1" s="57">
      <c r="A913" s="54" t="n"/>
      <c r="B913" s="54" t="n"/>
      <c r="C913" s="54" t="n"/>
      <c r="D913" s="54" t="n"/>
      <c r="E913" s="54" t="n"/>
      <c r="F913" s="54" t="n"/>
      <c r="G913" s="54" t="n"/>
      <c r="H913" s="54" t="n"/>
      <c r="I913" s="54" t="n"/>
      <c r="J913" s="54" t="n"/>
      <c r="K913" s="54" t="n"/>
      <c r="L913" s="54" t="n"/>
      <c r="M913" s="54" t="n"/>
      <c r="N913" s="54" t="n"/>
      <c r="O913" s="54" t="n"/>
      <c r="P913" s="54" t="n"/>
      <c r="Q913" s="54" t="n"/>
      <c r="R913" s="54" t="n"/>
      <c r="S913" s="54" t="n"/>
      <c r="T913" s="54" t="n"/>
      <c r="U913" s="54" t="n"/>
      <c r="V913" s="54" t="n"/>
      <c r="W913" s="54" t="n"/>
      <c r="X913" s="54" t="n"/>
      <c r="Y913" s="54" t="n"/>
      <c r="Z913" s="54" t="n"/>
    </row>
    <row r="914" ht="15.75" customHeight="1" s="57">
      <c r="A914" s="54" t="n"/>
      <c r="B914" s="54" t="n"/>
      <c r="C914" s="54" t="n"/>
      <c r="D914" s="54" t="n"/>
      <c r="E914" s="54" t="n"/>
      <c r="F914" s="54" t="n"/>
      <c r="G914" s="54" t="n"/>
      <c r="H914" s="54" t="n"/>
      <c r="I914" s="54" t="n"/>
      <c r="J914" s="54" t="n"/>
      <c r="K914" s="54" t="n"/>
      <c r="L914" s="54" t="n"/>
      <c r="M914" s="54" t="n"/>
      <c r="N914" s="54" t="n"/>
      <c r="O914" s="54" t="n"/>
      <c r="P914" s="54" t="n"/>
      <c r="Q914" s="54" t="n"/>
      <c r="R914" s="54" t="n"/>
      <c r="S914" s="54" t="n"/>
      <c r="T914" s="54" t="n"/>
      <c r="U914" s="54" t="n"/>
      <c r="V914" s="54" t="n"/>
      <c r="W914" s="54" t="n"/>
      <c r="X914" s="54" t="n"/>
      <c r="Y914" s="54" t="n"/>
      <c r="Z914" s="54" t="n"/>
    </row>
    <row r="915" ht="15.75" customHeight="1" s="57">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row>
    <row r="916" ht="15.75" customHeight="1" s="57">
      <c r="A916" s="54" t="n"/>
      <c r="B916" s="54" t="n"/>
      <c r="C916" s="54" t="n"/>
      <c r="D916" s="54" t="n"/>
      <c r="E916" s="54" t="n"/>
      <c r="F916" s="54" t="n"/>
      <c r="G916" s="54" t="n"/>
      <c r="H916" s="54" t="n"/>
      <c r="I916" s="54" t="n"/>
      <c r="J916" s="54" t="n"/>
      <c r="K916" s="54" t="n"/>
      <c r="L916" s="54" t="n"/>
      <c r="M916" s="54" t="n"/>
      <c r="N916" s="54" t="n"/>
      <c r="O916" s="54" t="n"/>
      <c r="P916" s="54" t="n"/>
      <c r="Q916" s="54" t="n"/>
      <c r="R916" s="54" t="n"/>
      <c r="S916" s="54" t="n"/>
      <c r="T916" s="54" t="n"/>
      <c r="U916" s="54" t="n"/>
      <c r="V916" s="54" t="n"/>
      <c r="W916" s="54" t="n"/>
      <c r="X916" s="54" t="n"/>
      <c r="Y916" s="54" t="n"/>
      <c r="Z916" s="54" t="n"/>
    </row>
    <row r="917" ht="15.75" customHeight="1" s="57">
      <c r="A917" s="54" t="n"/>
      <c r="B917" s="54" t="n"/>
      <c r="C917" s="54" t="n"/>
      <c r="D917" s="54" t="n"/>
      <c r="E917" s="54" t="n"/>
      <c r="F917" s="54" t="n"/>
      <c r="G917" s="54" t="n"/>
      <c r="H917" s="54" t="n"/>
      <c r="I917" s="54" t="n"/>
      <c r="J917" s="54" t="n"/>
      <c r="K917" s="54" t="n"/>
      <c r="L917" s="54" t="n"/>
      <c r="M917" s="54" t="n"/>
      <c r="N917" s="54" t="n"/>
      <c r="O917" s="54" t="n"/>
      <c r="P917" s="54" t="n"/>
      <c r="Q917" s="54" t="n"/>
      <c r="R917" s="54" t="n"/>
      <c r="S917" s="54" t="n"/>
      <c r="T917" s="54" t="n"/>
      <c r="U917" s="54" t="n"/>
      <c r="V917" s="54" t="n"/>
      <c r="W917" s="54" t="n"/>
      <c r="X917" s="54" t="n"/>
      <c r="Y917" s="54" t="n"/>
      <c r="Z917" s="54" t="n"/>
    </row>
    <row r="918" ht="15.75" customHeight="1" s="57">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row>
    <row r="919" ht="15.75" customHeight="1" s="57">
      <c r="A919" s="54" t="n"/>
      <c r="B919" s="54" t="n"/>
      <c r="C919" s="54" t="n"/>
      <c r="D919" s="54" t="n"/>
      <c r="E919" s="54" t="n"/>
      <c r="F919" s="54" t="n"/>
      <c r="G919" s="54" t="n"/>
      <c r="H919" s="54" t="n"/>
      <c r="I919" s="54" t="n"/>
      <c r="J919" s="54" t="n"/>
      <c r="K919" s="54" t="n"/>
      <c r="L919" s="54" t="n"/>
      <c r="M919" s="54" t="n"/>
      <c r="N919" s="54" t="n"/>
      <c r="O919" s="54" t="n"/>
      <c r="P919" s="54" t="n"/>
      <c r="Q919" s="54" t="n"/>
      <c r="R919" s="54" t="n"/>
      <c r="S919" s="54" t="n"/>
      <c r="T919" s="54" t="n"/>
      <c r="U919" s="54" t="n"/>
      <c r="V919" s="54" t="n"/>
      <c r="W919" s="54" t="n"/>
      <c r="X919" s="54" t="n"/>
      <c r="Y919" s="54" t="n"/>
      <c r="Z919" s="54" t="n"/>
    </row>
    <row r="920" ht="15.75" customHeight="1" s="57">
      <c r="A920" s="54" t="n"/>
      <c r="B920" s="54" t="n"/>
      <c r="C920" s="54" t="n"/>
      <c r="D920" s="54" t="n"/>
      <c r="E920" s="54" t="n"/>
      <c r="F920" s="54" t="n"/>
      <c r="G920" s="54" t="n"/>
      <c r="H920" s="54" t="n"/>
      <c r="I920" s="54" t="n"/>
      <c r="J920" s="54" t="n"/>
      <c r="K920" s="54" t="n"/>
      <c r="L920" s="54" t="n"/>
      <c r="M920" s="54" t="n"/>
      <c r="N920" s="54" t="n"/>
      <c r="O920" s="54" t="n"/>
      <c r="P920" s="54" t="n"/>
      <c r="Q920" s="54" t="n"/>
      <c r="R920" s="54" t="n"/>
      <c r="S920" s="54" t="n"/>
      <c r="T920" s="54" t="n"/>
      <c r="U920" s="54" t="n"/>
      <c r="V920" s="54" t="n"/>
      <c r="W920" s="54" t="n"/>
      <c r="X920" s="54" t="n"/>
      <c r="Y920" s="54" t="n"/>
      <c r="Z920" s="54" t="n"/>
    </row>
    <row r="921" ht="15.75" customHeight="1" s="57">
      <c r="A921" s="54" t="n"/>
      <c r="B921" s="54" t="n"/>
      <c r="C921" s="54" t="n"/>
      <c r="D921" s="54" t="n"/>
      <c r="E921" s="54" t="n"/>
      <c r="F921" s="54" t="n"/>
      <c r="G921" s="54" t="n"/>
      <c r="H921" s="54" t="n"/>
      <c r="I921" s="54" t="n"/>
      <c r="J921" s="54" t="n"/>
      <c r="K921" s="54" t="n"/>
      <c r="L921" s="54" t="n"/>
      <c r="M921" s="54" t="n"/>
      <c r="N921" s="54" t="n"/>
      <c r="O921" s="54" t="n"/>
      <c r="P921" s="54" t="n"/>
      <c r="Q921" s="54" t="n"/>
      <c r="R921" s="54" t="n"/>
      <c r="S921" s="54" t="n"/>
      <c r="T921" s="54" t="n"/>
      <c r="U921" s="54" t="n"/>
      <c r="V921" s="54" t="n"/>
      <c r="W921" s="54" t="n"/>
      <c r="X921" s="54" t="n"/>
      <c r="Y921" s="54" t="n"/>
      <c r="Z921" s="54" t="n"/>
    </row>
    <row r="922" ht="15.75" customHeight="1" s="57">
      <c r="A922" s="54" t="n"/>
      <c r="B922" s="54" t="n"/>
      <c r="C922" s="54" t="n"/>
      <c r="D922" s="54" t="n"/>
      <c r="E922" s="54" t="n"/>
      <c r="F922" s="54" t="n"/>
      <c r="G922" s="54" t="n"/>
      <c r="H922" s="54" t="n"/>
      <c r="I922" s="54" t="n"/>
      <c r="J922" s="54" t="n"/>
      <c r="K922" s="54" t="n"/>
      <c r="L922" s="54" t="n"/>
      <c r="M922" s="54" t="n"/>
      <c r="N922" s="54" t="n"/>
      <c r="O922" s="54" t="n"/>
      <c r="P922" s="54" t="n"/>
      <c r="Q922" s="54" t="n"/>
      <c r="R922" s="54" t="n"/>
      <c r="S922" s="54" t="n"/>
      <c r="T922" s="54" t="n"/>
      <c r="U922" s="54" t="n"/>
      <c r="V922" s="54" t="n"/>
      <c r="W922" s="54" t="n"/>
      <c r="X922" s="54" t="n"/>
      <c r="Y922" s="54" t="n"/>
      <c r="Z922" s="54" t="n"/>
    </row>
    <row r="923" ht="15.75" customHeight="1" s="57">
      <c r="A923" s="54" t="n"/>
      <c r="B923" s="54" t="n"/>
      <c r="C923" s="54" t="n"/>
      <c r="D923" s="54" t="n"/>
      <c r="E923" s="54" t="n"/>
      <c r="F923" s="54" t="n"/>
      <c r="G923" s="54" t="n"/>
      <c r="H923" s="54" t="n"/>
      <c r="I923" s="54" t="n"/>
      <c r="J923" s="54" t="n"/>
      <c r="K923" s="54" t="n"/>
      <c r="L923" s="54" t="n"/>
      <c r="M923" s="54" t="n"/>
      <c r="N923" s="54" t="n"/>
      <c r="O923" s="54" t="n"/>
      <c r="P923" s="54" t="n"/>
      <c r="Q923" s="54" t="n"/>
      <c r="R923" s="54" t="n"/>
      <c r="S923" s="54" t="n"/>
      <c r="T923" s="54" t="n"/>
      <c r="U923" s="54" t="n"/>
      <c r="V923" s="54" t="n"/>
      <c r="W923" s="54" t="n"/>
      <c r="X923" s="54" t="n"/>
      <c r="Y923" s="54" t="n"/>
      <c r="Z923" s="54" t="n"/>
    </row>
    <row r="924" ht="15.75" customHeight="1" s="57">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row>
    <row r="925" ht="15.75" customHeight="1" s="57">
      <c r="A925" s="54" t="n"/>
      <c r="B925" s="54" t="n"/>
      <c r="C925" s="54" t="n"/>
      <c r="D925" s="54" t="n"/>
      <c r="E925" s="54" t="n"/>
      <c r="F925" s="54" t="n"/>
      <c r="G925" s="54" t="n"/>
      <c r="H925" s="54" t="n"/>
      <c r="I925" s="54" t="n"/>
      <c r="J925" s="54" t="n"/>
      <c r="K925" s="54" t="n"/>
      <c r="L925" s="54" t="n"/>
      <c r="M925" s="54" t="n"/>
      <c r="N925" s="54" t="n"/>
      <c r="O925" s="54" t="n"/>
      <c r="P925" s="54" t="n"/>
      <c r="Q925" s="54" t="n"/>
      <c r="R925" s="54" t="n"/>
      <c r="S925" s="54" t="n"/>
      <c r="T925" s="54" t="n"/>
      <c r="U925" s="54" t="n"/>
      <c r="V925" s="54" t="n"/>
      <c r="W925" s="54" t="n"/>
      <c r="X925" s="54" t="n"/>
      <c r="Y925" s="54" t="n"/>
      <c r="Z925" s="54" t="n"/>
    </row>
    <row r="926" ht="15.75" customHeight="1" s="57">
      <c r="A926" s="54" t="n"/>
      <c r="B926" s="54" t="n"/>
      <c r="C926" s="54" t="n"/>
      <c r="D926" s="54" t="n"/>
      <c r="E926" s="54" t="n"/>
      <c r="F926" s="54" t="n"/>
      <c r="G926" s="54" t="n"/>
      <c r="H926" s="54" t="n"/>
      <c r="I926" s="54" t="n"/>
      <c r="J926" s="54" t="n"/>
      <c r="K926" s="54" t="n"/>
      <c r="L926" s="54" t="n"/>
      <c r="M926" s="54" t="n"/>
      <c r="N926" s="54" t="n"/>
      <c r="O926" s="54" t="n"/>
      <c r="P926" s="54" t="n"/>
      <c r="Q926" s="54" t="n"/>
      <c r="R926" s="54" t="n"/>
      <c r="S926" s="54" t="n"/>
      <c r="T926" s="54" t="n"/>
      <c r="U926" s="54" t="n"/>
      <c r="V926" s="54" t="n"/>
      <c r="W926" s="54" t="n"/>
      <c r="X926" s="54" t="n"/>
      <c r="Y926" s="54" t="n"/>
      <c r="Z926" s="54" t="n"/>
    </row>
    <row r="927" ht="15.75" customHeight="1" s="57">
      <c r="A927" s="54" t="n"/>
      <c r="B927" s="54" t="n"/>
      <c r="C927" s="54" t="n"/>
      <c r="D927" s="54" t="n"/>
      <c r="E927" s="54" t="n"/>
      <c r="F927" s="54" t="n"/>
      <c r="G927" s="54" t="n"/>
      <c r="H927" s="54" t="n"/>
      <c r="I927" s="54" t="n"/>
      <c r="J927" s="54" t="n"/>
      <c r="K927" s="54" t="n"/>
      <c r="L927" s="54" t="n"/>
      <c r="M927" s="54" t="n"/>
      <c r="N927" s="54" t="n"/>
      <c r="O927" s="54" t="n"/>
      <c r="P927" s="54" t="n"/>
      <c r="Q927" s="54" t="n"/>
      <c r="R927" s="54" t="n"/>
      <c r="S927" s="54" t="n"/>
      <c r="T927" s="54" t="n"/>
      <c r="U927" s="54" t="n"/>
      <c r="V927" s="54" t="n"/>
      <c r="W927" s="54" t="n"/>
      <c r="X927" s="54" t="n"/>
      <c r="Y927" s="54" t="n"/>
      <c r="Z927" s="54" t="n"/>
    </row>
    <row r="928" ht="15.75" customHeight="1" s="57">
      <c r="A928" s="54" t="n"/>
      <c r="B928" s="54" t="n"/>
      <c r="C928" s="54" t="n"/>
      <c r="D928" s="54" t="n"/>
      <c r="E928" s="54" t="n"/>
      <c r="F928" s="54" t="n"/>
      <c r="G928" s="54" t="n"/>
      <c r="H928" s="54" t="n"/>
      <c r="I928" s="54" t="n"/>
      <c r="J928" s="54" t="n"/>
      <c r="K928" s="54" t="n"/>
      <c r="L928" s="54" t="n"/>
      <c r="M928" s="54" t="n"/>
      <c r="N928" s="54" t="n"/>
      <c r="O928" s="54" t="n"/>
      <c r="P928" s="54" t="n"/>
      <c r="Q928" s="54" t="n"/>
      <c r="R928" s="54" t="n"/>
      <c r="S928" s="54" t="n"/>
      <c r="T928" s="54" t="n"/>
      <c r="U928" s="54" t="n"/>
      <c r="V928" s="54" t="n"/>
      <c r="W928" s="54" t="n"/>
      <c r="X928" s="54" t="n"/>
      <c r="Y928" s="54" t="n"/>
      <c r="Z928" s="54" t="n"/>
    </row>
    <row r="929" ht="15.75" customHeight="1" s="57">
      <c r="A929" s="54" t="n"/>
      <c r="B929" s="54" t="n"/>
      <c r="C929" s="54" t="n"/>
      <c r="D929" s="54" t="n"/>
      <c r="E929" s="54" t="n"/>
      <c r="F929" s="54" t="n"/>
      <c r="G929" s="54" t="n"/>
      <c r="H929" s="54" t="n"/>
      <c r="I929" s="54" t="n"/>
      <c r="J929" s="54" t="n"/>
      <c r="K929" s="54" t="n"/>
      <c r="L929" s="54" t="n"/>
      <c r="M929" s="54" t="n"/>
      <c r="N929" s="54" t="n"/>
      <c r="O929" s="54" t="n"/>
      <c r="P929" s="54" t="n"/>
      <c r="Q929" s="54" t="n"/>
      <c r="R929" s="54" t="n"/>
      <c r="S929" s="54" t="n"/>
      <c r="T929" s="54" t="n"/>
      <c r="U929" s="54" t="n"/>
      <c r="V929" s="54" t="n"/>
      <c r="W929" s="54" t="n"/>
      <c r="X929" s="54" t="n"/>
      <c r="Y929" s="54" t="n"/>
      <c r="Z929" s="54" t="n"/>
    </row>
    <row r="930" ht="15.75" customHeight="1" s="57">
      <c r="A930" s="54" t="n"/>
      <c r="B930" s="54" t="n"/>
      <c r="C930" s="54" t="n"/>
      <c r="D930" s="54" t="n"/>
      <c r="E930" s="54" t="n"/>
      <c r="F930" s="54" t="n"/>
      <c r="G930" s="54" t="n"/>
      <c r="H930" s="54" t="n"/>
      <c r="I930" s="54" t="n"/>
      <c r="J930" s="54" t="n"/>
      <c r="K930" s="54" t="n"/>
      <c r="L930" s="54" t="n"/>
      <c r="M930" s="54" t="n"/>
      <c r="N930" s="54" t="n"/>
      <c r="O930" s="54" t="n"/>
      <c r="P930" s="54" t="n"/>
      <c r="Q930" s="54" t="n"/>
      <c r="R930" s="54" t="n"/>
      <c r="S930" s="54" t="n"/>
      <c r="T930" s="54" t="n"/>
      <c r="U930" s="54" t="n"/>
      <c r="V930" s="54" t="n"/>
      <c r="W930" s="54" t="n"/>
      <c r="X930" s="54" t="n"/>
      <c r="Y930" s="54" t="n"/>
      <c r="Z930" s="54" t="n"/>
    </row>
    <row r="931" ht="15.75" customHeight="1" s="57">
      <c r="A931" s="54" t="n"/>
      <c r="B931" s="54" t="n"/>
      <c r="C931" s="54" t="n"/>
      <c r="D931" s="54" t="n"/>
      <c r="E931" s="54" t="n"/>
      <c r="F931" s="54" t="n"/>
      <c r="G931" s="54" t="n"/>
      <c r="H931" s="54" t="n"/>
      <c r="I931" s="54" t="n"/>
      <c r="J931" s="54" t="n"/>
      <c r="K931" s="54" t="n"/>
      <c r="L931" s="54" t="n"/>
      <c r="M931" s="54" t="n"/>
      <c r="N931" s="54" t="n"/>
      <c r="O931" s="54" t="n"/>
      <c r="P931" s="54" t="n"/>
      <c r="Q931" s="54" t="n"/>
      <c r="R931" s="54" t="n"/>
      <c r="S931" s="54" t="n"/>
      <c r="T931" s="54" t="n"/>
      <c r="U931" s="54" t="n"/>
      <c r="V931" s="54" t="n"/>
      <c r="W931" s="54" t="n"/>
      <c r="X931" s="54" t="n"/>
      <c r="Y931" s="54" t="n"/>
      <c r="Z931" s="54" t="n"/>
    </row>
    <row r="932" ht="15.75" customHeight="1" s="57">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row>
    <row r="933" ht="15.75" customHeight="1" s="57">
      <c r="A933" s="54" t="n"/>
      <c r="B933" s="54" t="n"/>
      <c r="C933" s="54" t="n"/>
      <c r="D933" s="54" t="n"/>
      <c r="E933" s="54" t="n"/>
      <c r="F933" s="54" t="n"/>
      <c r="G933" s="54" t="n"/>
      <c r="H933" s="54" t="n"/>
      <c r="I933" s="54" t="n"/>
      <c r="J933" s="54" t="n"/>
      <c r="K933" s="54" t="n"/>
      <c r="L933" s="54" t="n"/>
      <c r="M933" s="54" t="n"/>
      <c r="N933" s="54" t="n"/>
      <c r="O933" s="54" t="n"/>
      <c r="P933" s="54" t="n"/>
      <c r="Q933" s="54" t="n"/>
      <c r="R933" s="54" t="n"/>
      <c r="S933" s="54" t="n"/>
      <c r="T933" s="54" t="n"/>
      <c r="U933" s="54" t="n"/>
      <c r="V933" s="54" t="n"/>
      <c r="W933" s="54" t="n"/>
      <c r="X933" s="54" t="n"/>
      <c r="Y933" s="54" t="n"/>
      <c r="Z933" s="54" t="n"/>
    </row>
    <row r="934" ht="15.75" customHeight="1" s="57">
      <c r="A934" s="54" t="n"/>
      <c r="B934" s="54" t="n"/>
      <c r="C934" s="54" t="n"/>
      <c r="D934" s="54" t="n"/>
      <c r="E934" s="54" t="n"/>
      <c r="F934" s="54" t="n"/>
      <c r="G934" s="54" t="n"/>
      <c r="H934" s="54" t="n"/>
      <c r="I934" s="54" t="n"/>
      <c r="J934" s="54" t="n"/>
      <c r="K934" s="54" t="n"/>
      <c r="L934" s="54" t="n"/>
      <c r="M934" s="54" t="n"/>
      <c r="N934" s="54" t="n"/>
      <c r="O934" s="54" t="n"/>
      <c r="P934" s="54" t="n"/>
      <c r="Q934" s="54" t="n"/>
      <c r="R934" s="54" t="n"/>
      <c r="S934" s="54" t="n"/>
      <c r="T934" s="54" t="n"/>
      <c r="U934" s="54" t="n"/>
      <c r="V934" s="54" t="n"/>
      <c r="W934" s="54" t="n"/>
      <c r="X934" s="54" t="n"/>
      <c r="Y934" s="54" t="n"/>
      <c r="Z934" s="54" t="n"/>
    </row>
    <row r="935" ht="15.75" customHeight="1" s="57">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row>
    <row r="936" ht="15.75" customHeight="1" s="57">
      <c r="A936" s="54" t="n"/>
      <c r="B936" s="54" t="n"/>
      <c r="C936" s="54" t="n"/>
      <c r="D936" s="54" t="n"/>
      <c r="E936" s="54" t="n"/>
      <c r="F936" s="54" t="n"/>
      <c r="G936" s="54" t="n"/>
      <c r="H936" s="54" t="n"/>
      <c r="I936" s="54" t="n"/>
      <c r="J936" s="54" t="n"/>
      <c r="K936" s="54" t="n"/>
      <c r="L936" s="54" t="n"/>
      <c r="M936" s="54" t="n"/>
      <c r="N936" s="54" t="n"/>
      <c r="O936" s="54" t="n"/>
      <c r="P936" s="54" t="n"/>
      <c r="Q936" s="54" t="n"/>
      <c r="R936" s="54" t="n"/>
      <c r="S936" s="54" t="n"/>
      <c r="T936" s="54" t="n"/>
      <c r="U936" s="54" t="n"/>
      <c r="V936" s="54" t="n"/>
      <c r="W936" s="54" t="n"/>
      <c r="X936" s="54" t="n"/>
      <c r="Y936" s="54" t="n"/>
      <c r="Z936" s="54" t="n"/>
    </row>
    <row r="937" ht="15.75" customHeight="1" s="57">
      <c r="A937" s="54" t="n"/>
      <c r="B937" s="54" t="n"/>
      <c r="C937" s="54" t="n"/>
      <c r="D937" s="54" t="n"/>
      <c r="E937" s="54" t="n"/>
      <c r="F937" s="54" t="n"/>
      <c r="G937" s="54" t="n"/>
      <c r="H937" s="54" t="n"/>
      <c r="I937" s="54" t="n"/>
      <c r="J937" s="54" t="n"/>
      <c r="K937" s="54" t="n"/>
      <c r="L937" s="54" t="n"/>
      <c r="M937" s="54" t="n"/>
      <c r="N937" s="54" t="n"/>
      <c r="O937" s="54" t="n"/>
      <c r="P937" s="54" t="n"/>
      <c r="Q937" s="54" t="n"/>
      <c r="R937" s="54" t="n"/>
      <c r="S937" s="54" t="n"/>
      <c r="T937" s="54" t="n"/>
      <c r="U937" s="54" t="n"/>
      <c r="V937" s="54" t="n"/>
      <c r="W937" s="54" t="n"/>
      <c r="X937" s="54" t="n"/>
      <c r="Y937" s="54" t="n"/>
      <c r="Z937" s="54" t="n"/>
    </row>
    <row r="938" ht="15.75" customHeight="1" s="57">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row>
    <row r="939" ht="15.75" customHeight="1" s="57">
      <c r="A939" s="54" t="n"/>
      <c r="B939" s="54" t="n"/>
      <c r="C939" s="54" t="n"/>
      <c r="D939" s="54" t="n"/>
      <c r="E939" s="54" t="n"/>
      <c r="F939" s="54" t="n"/>
      <c r="G939" s="54" t="n"/>
      <c r="H939" s="54" t="n"/>
      <c r="I939" s="54" t="n"/>
      <c r="J939" s="54" t="n"/>
      <c r="K939" s="54" t="n"/>
      <c r="L939" s="54" t="n"/>
      <c r="M939" s="54" t="n"/>
      <c r="N939" s="54" t="n"/>
      <c r="O939" s="54" t="n"/>
      <c r="P939" s="54" t="n"/>
      <c r="Q939" s="54" t="n"/>
      <c r="R939" s="54" t="n"/>
      <c r="S939" s="54" t="n"/>
      <c r="T939" s="54" t="n"/>
      <c r="U939" s="54" t="n"/>
      <c r="V939" s="54" t="n"/>
      <c r="W939" s="54" t="n"/>
      <c r="X939" s="54" t="n"/>
      <c r="Y939" s="54" t="n"/>
      <c r="Z939" s="54" t="n"/>
    </row>
    <row r="940" ht="15.75" customHeight="1" s="57">
      <c r="A940" s="54" t="n"/>
      <c r="B940" s="54" t="n"/>
      <c r="C940" s="54" t="n"/>
      <c r="D940" s="54" t="n"/>
      <c r="E940" s="54" t="n"/>
      <c r="F940" s="54" t="n"/>
      <c r="G940" s="54" t="n"/>
      <c r="H940" s="54" t="n"/>
      <c r="I940" s="54" t="n"/>
      <c r="J940" s="54" t="n"/>
      <c r="K940" s="54" t="n"/>
      <c r="L940" s="54" t="n"/>
      <c r="M940" s="54" t="n"/>
      <c r="N940" s="54" t="n"/>
      <c r="O940" s="54" t="n"/>
      <c r="P940" s="54" t="n"/>
      <c r="Q940" s="54" t="n"/>
      <c r="R940" s="54" t="n"/>
      <c r="S940" s="54" t="n"/>
      <c r="T940" s="54" t="n"/>
      <c r="U940" s="54" t="n"/>
      <c r="V940" s="54" t="n"/>
      <c r="W940" s="54" t="n"/>
      <c r="X940" s="54" t="n"/>
      <c r="Y940" s="54" t="n"/>
      <c r="Z940" s="54" t="n"/>
    </row>
    <row r="941" ht="15.75" customHeight="1" s="57">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row>
    <row r="942" ht="15.75" customHeight="1" s="57">
      <c r="A942" s="54" t="n"/>
      <c r="B942" s="54" t="n"/>
      <c r="C942" s="54" t="n"/>
      <c r="D942" s="54" t="n"/>
      <c r="E942" s="54" t="n"/>
      <c r="F942" s="54" t="n"/>
      <c r="G942" s="54" t="n"/>
      <c r="H942" s="54" t="n"/>
      <c r="I942" s="54" t="n"/>
      <c r="J942" s="54" t="n"/>
      <c r="K942" s="54" t="n"/>
      <c r="L942" s="54" t="n"/>
      <c r="M942" s="54" t="n"/>
      <c r="N942" s="54" t="n"/>
      <c r="O942" s="54" t="n"/>
      <c r="P942" s="54" t="n"/>
      <c r="Q942" s="54" t="n"/>
      <c r="R942" s="54" t="n"/>
      <c r="S942" s="54" t="n"/>
      <c r="T942" s="54" t="n"/>
      <c r="U942" s="54" t="n"/>
      <c r="V942" s="54" t="n"/>
      <c r="W942" s="54" t="n"/>
      <c r="X942" s="54" t="n"/>
      <c r="Y942" s="54" t="n"/>
      <c r="Z942" s="54" t="n"/>
    </row>
    <row r="943" ht="15.75" customHeight="1" s="57">
      <c r="A943" s="54" t="n"/>
      <c r="B943" s="54" t="n"/>
      <c r="C943" s="54" t="n"/>
      <c r="D943" s="54" t="n"/>
      <c r="E943" s="54" t="n"/>
      <c r="F943" s="54" t="n"/>
      <c r="G943" s="54" t="n"/>
      <c r="H943" s="54" t="n"/>
      <c r="I943" s="54" t="n"/>
      <c r="J943" s="54" t="n"/>
      <c r="K943" s="54" t="n"/>
      <c r="L943" s="54" t="n"/>
      <c r="M943" s="54" t="n"/>
      <c r="N943" s="54" t="n"/>
      <c r="O943" s="54" t="n"/>
      <c r="P943" s="54" t="n"/>
      <c r="Q943" s="54" t="n"/>
      <c r="R943" s="54" t="n"/>
      <c r="S943" s="54" t="n"/>
      <c r="T943" s="54" t="n"/>
      <c r="U943" s="54" t="n"/>
      <c r="V943" s="54" t="n"/>
      <c r="W943" s="54" t="n"/>
      <c r="X943" s="54" t="n"/>
      <c r="Y943" s="54" t="n"/>
      <c r="Z943" s="54" t="n"/>
    </row>
    <row r="944" ht="15.75" customHeight="1" s="57">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row>
    <row r="945" ht="15.75" customHeight="1" s="57">
      <c r="A945" s="54" t="n"/>
      <c r="B945" s="54" t="n"/>
      <c r="C945" s="54" t="n"/>
      <c r="D945" s="54" t="n"/>
      <c r="E945" s="54" t="n"/>
      <c r="F945" s="54" t="n"/>
      <c r="G945" s="54" t="n"/>
      <c r="H945" s="54" t="n"/>
      <c r="I945" s="54" t="n"/>
      <c r="J945" s="54" t="n"/>
      <c r="K945" s="54" t="n"/>
      <c r="L945" s="54" t="n"/>
      <c r="M945" s="54" t="n"/>
      <c r="N945" s="54" t="n"/>
      <c r="O945" s="54" t="n"/>
      <c r="P945" s="54" t="n"/>
      <c r="Q945" s="54" t="n"/>
      <c r="R945" s="54" t="n"/>
      <c r="S945" s="54" t="n"/>
      <c r="T945" s="54" t="n"/>
      <c r="U945" s="54" t="n"/>
      <c r="V945" s="54" t="n"/>
      <c r="W945" s="54" t="n"/>
      <c r="X945" s="54" t="n"/>
      <c r="Y945" s="54" t="n"/>
      <c r="Z945" s="54" t="n"/>
    </row>
    <row r="946" ht="15.75" customHeight="1" s="57">
      <c r="A946" s="54" t="n"/>
      <c r="B946" s="54" t="n"/>
      <c r="C946" s="54" t="n"/>
      <c r="D946" s="54" t="n"/>
      <c r="E946" s="54" t="n"/>
      <c r="F946" s="54" t="n"/>
      <c r="G946" s="54" t="n"/>
      <c r="H946" s="54" t="n"/>
      <c r="I946" s="54" t="n"/>
      <c r="J946" s="54" t="n"/>
      <c r="K946" s="54" t="n"/>
      <c r="L946" s="54" t="n"/>
      <c r="M946" s="54" t="n"/>
      <c r="N946" s="54" t="n"/>
      <c r="O946" s="54" t="n"/>
      <c r="P946" s="54" t="n"/>
      <c r="Q946" s="54" t="n"/>
      <c r="R946" s="54" t="n"/>
      <c r="S946" s="54" t="n"/>
      <c r="T946" s="54" t="n"/>
      <c r="U946" s="54" t="n"/>
      <c r="V946" s="54" t="n"/>
      <c r="W946" s="54" t="n"/>
      <c r="X946" s="54" t="n"/>
      <c r="Y946" s="54" t="n"/>
      <c r="Z946" s="54" t="n"/>
    </row>
    <row r="947" ht="15.75" customHeight="1" s="57">
      <c r="A947" s="54" t="n"/>
      <c r="B947" s="54" t="n"/>
      <c r="C947" s="54" t="n"/>
      <c r="D947" s="54" t="n"/>
      <c r="E947" s="54" t="n"/>
      <c r="F947" s="54" t="n"/>
      <c r="G947" s="54" t="n"/>
      <c r="H947" s="54" t="n"/>
      <c r="I947" s="54" t="n"/>
      <c r="J947" s="54" t="n"/>
      <c r="K947" s="54" t="n"/>
      <c r="L947" s="54" t="n"/>
      <c r="M947" s="54" t="n"/>
      <c r="N947" s="54" t="n"/>
      <c r="O947" s="54" t="n"/>
      <c r="P947" s="54" t="n"/>
      <c r="Q947" s="54" t="n"/>
      <c r="R947" s="54" t="n"/>
      <c r="S947" s="54" t="n"/>
      <c r="T947" s="54" t="n"/>
      <c r="U947" s="54" t="n"/>
      <c r="V947" s="54" t="n"/>
      <c r="W947" s="54" t="n"/>
      <c r="X947" s="54" t="n"/>
      <c r="Y947" s="54" t="n"/>
      <c r="Z947" s="54" t="n"/>
    </row>
    <row r="948" ht="15.75" customHeight="1" s="57">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row>
    <row r="949" ht="15.75" customHeight="1" s="57">
      <c r="A949" s="54" t="n"/>
      <c r="B949" s="54" t="n"/>
      <c r="C949" s="54" t="n"/>
      <c r="D949" s="54" t="n"/>
      <c r="E949" s="54" t="n"/>
      <c r="F949" s="54" t="n"/>
      <c r="G949" s="54" t="n"/>
      <c r="H949" s="54" t="n"/>
      <c r="I949" s="54" t="n"/>
      <c r="J949" s="54" t="n"/>
      <c r="K949" s="54" t="n"/>
      <c r="L949" s="54" t="n"/>
      <c r="M949" s="54" t="n"/>
      <c r="N949" s="54" t="n"/>
      <c r="O949" s="54" t="n"/>
      <c r="P949" s="54" t="n"/>
      <c r="Q949" s="54" t="n"/>
      <c r="R949" s="54" t="n"/>
      <c r="S949" s="54" t="n"/>
      <c r="T949" s="54" t="n"/>
      <c r="U949" s="54" t="n"/>
      <c r="V949" s="54" t="n"/>
      <c r="W949" s="54" t="n"/>
      <c r="X949" s="54" t="n"/>
      <c r="Y949" s="54" t="n"/>
      <c r="Z949" s="54" t="n"/>
    </row>
    <row r="950" ht="15.75" customHeight="1" s="57">
      <c r="A950" s="54" t="n"/>
      <c r="B950" s="54" t="n"/>
      <c r="C950" s="54" t="n"/>
      <c r="D950" s="54" t="n"/>
      <c r="E950" s="54" t="n"/>
      <c r="F950" s="54" t="n"/>
      <c r="G950" s="54" t="n"/>
      <c r="H950" s="54" t="n"/>
      <c r="I950" s="54" t="n"/>
      <c r="J950" s="54" t="n"/>
      <c r="K950" s="54" t="n"/>
      <c r="L950" s="54" t="n"/>
      <c r="M950" s="54" t="n"/>
      <c r="N950" s="54" t="n"/>
      <c r="O950" s="54" t="n"/>
      <c r="P950" s="54" t="n"/>
      <c r="Q950" s="54" t="n"/>
      <c r="R950" s="54" t="n"/>
      <c r="S950" s="54" t="n"/>
      <c r="T950" s="54" t="n"/>
      <c r="U950" s="54" t="n"/>
      <c r="V950" s="54" t="n"/>
      <c r="W950" s="54" t="n"/>
      <c r="X950" s="54" t="n"/>
      <c r="Y950" s="54" t="n"/>
      <c r="Z950" s="54" t="n"/>
    </row>
    <row r="951" ht="15.75" customHeight="1" s="57">
      <c r="A951" s="54" t="n"/>
      <c r="B951" s="54" t="n"/>
      <c r="C951" s="54" t="n"/>
      <c r="D951" s="54" t="n"/>
      <c r="E951" s="54" t="n"/>
      <c r="F951" s="54" t="n"/>
      <c r="G951" s="54" t="n"/>
      <c r="H951" s="54" t="n"/>
      <c r="I951" s="54" t="n"/>
      <c r="J951" s="54" t="n"/>
      <c r="K951" s="54" t="n"/>
      <c r="L951" s="54" t="n"/>
      <c r="M951" s="54" t="n"/>
      <c r="N951" s="54" t="n"/>
      <c r="O951" s="54" t="n"/>
      <c r="P951" s="54" t="n"/>
      <c r="Q951" s="54" t="n"/>
      <c r="R951" s="54" t="n"/>
      <c r="S951" s="54" t="n"/>
      <c r="T951" s="54" t="n"/>
      <c r="U951" s="54" t="n"/>
      <c r="V951" s="54" t="n"/>
      <c r="W951" s="54" t="n"/>
      <c r="X951" s="54" t="n"/>
      <c r="Y951" s="54" t="n"/>
      <c r="Z951" s="54" t="n"/>
    </row>
    <row r="952" ht="15.75" customHeight="1" s="57">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row>
    <row r="953" ht="15.75" customHeight="1" s="57">
      <c r="A953" s="54" t="n"/>
      <c r="B953" s="54" t="n"/>
      <c r="C953" s="54" t="n"/>
      <c r="D953" s="54" t="n"/>
      <c r="E953" s="54" t="n"/>
      <c r="F953" s="54" t="n"/>
      <c r="G953" s="54" t="n"/>
      <c r="H953" s="54" t="n"/>
      <c r="I953" s="54" t="n"/>
      <c r="J953" s="54" t="n"/>
      <c r="K953" s="54" t="n"/>
      <c r="L953" s="54" t="n"/>
      <c r="M953" s="54" t="n"/>
      <c r="N953" s="54" t="n"/>
      <c r="O953" s="54" t="n"/>
      <c r="P953" s="54" t="n"/>
      <c r="Q953" s="54" t="n"/>
      <c r="R953" s="54" t="n"/>
      <c r="S953" s="54" t="n"/>
      <c r="T953" s="54" t="n"/>
      <c r="U953" s="54" t="n"/>
      <c r="V953" s="54" t="n"/>
      <c r="W953" s="54" t="n"/>
      <c r="X953" s="54" t="n"/>
      <c r="Y953" s="54" t="n"/>
      <c r="Z953" s="54" t="n"/>
    </row>
    <row r="954" ht="15.75" customHeight="1" s="57">
      <c r="A954" s="54" t="n"/>
      <c r="B954" s="54" t="n"/>
      <c r="C954" s="54" t="n"/>
      <c r="D954" s="54" t="n"/>
      <c r="E954" s="54" t="n"/>
      <c r="F954" s="54" t="n"/>
      <c r="G954" s="54" t="n"/>
      <c r="H954" s="54" t="n"/>
      <c r="I954" s="54" t="n"/>
      <c r="J954" s="54" t="n"/>
      <c r="K954" s="54" t="n"/>
      <c r="L954" s="54" t="n"/>
      <c r="M954" s="54" t="n"/>
      <c r="N954" s="54" t="n"/>
      <c r="O954" s="54" t="n"/>
      <c r="P954" s="54" t="n"/>
      <c r="Q954" s="54" t="n"/>
      <c r="R954" s="54" t="n"/>
      <c r="S954" s="54" t="n"/>
      <c r="T954" s="54" t="n"/>
      <c r="U954" s="54" t="n"/>
      <c r="V954" s="54" t="n"/>
      <c r="W954" s="54" t="n"/>
      <c r="X954" s="54" t="n"/>
      <c r="Y954" s="54" t="n"/>
      <c r="Z954" s="54" t="n"/>
    </row>
    <row r="955" ht="15.75" customHeight="1" s="57">
      <c r="A955" s="54" t="n"/>
      <c r="B955" s="54" t="n"/>
      <c r="C955" s="54" t="n"/>
      <c r="D955" s="54" t="n"/>
      <c r="E955" s="54" t="n"/>
      <c r="F955" s="54" t="n"/>
      <c r="G955" s="54" t="n"/>
      <c r="H955" s="54" t="n"/>
      <c r="I955" s="54" t="n"/>
      <c r="J955" s="54" t="n"/>
      <c r="K955" s="54" t="n"/>
      <c r="L955" s="54" t="n"/>
      <c r="M955" s="54" t="n"/>
      <c r="N955" s="54" t="n"/>
      <c r="O955" s="54" t="n"/>
      <c r="P955" s="54" t="n"/>
      <c r="Q955" s="54" t="n"/>
      <c r="R955" s="54" t="n"/>
      <c r="S955" s="54" t="n"/>
      <c r="T955" s="54" t="n"/>
      <c r="U955" s="54" t="n"/>
      <c r="V955" s="54" t="n"/>
      <c r="W955" s="54" t="n"/>
      <c r="X955" s="54" t="n"/>
      <c r="Y955" s="54" t="n"/>
      <c r="Z955" s="54" t="n"/>
    </row>
    <row r="956" ht="15.75" customHeight="1" s="57">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row>
    <row r="957" ht="15.75" customHeight="1" s="57">
      <c r="A957" s="54" t="n"/>
      <c r="B957" s="54" t="n"/>
      <c r="C957" s="54" t="n"/>
      <c r="D957" s="54" t="n"/>
      <c r="E957" s="54" t="n"/>
      <c r="F957" s="54" t="n"/>
      <c r="G957" s="54" t="n"/>
      <c r="H957" s="54" t="n"/>
      <c r="I957" s="54" t="n"/>
      <c r="J957" s="54" t="n"/>
      <c r="K957" s="54" t="n"/>
      <c r="L957" s="54" t="n"/>
      <c r="M957" s="54" t="n"/>
      <c r="N957" s="54" t="n"/>
      <c r="O957" s="54" t="n"/>
      <c r="P957" s="54" t="n"/>
      <c r="Q957" s="54" t="n"/>
      <c r="R957" s="54" t="n"/>
      <c r="S957" s="54" t="n"/>
      <c r="T957" s="54" t="n"/>
      <c r="U957" s="54" t="n"/>
      <c r="V957" s="54" t="n"/>
      <c r="W957" s="54" t="n"/>
      <c r="X957" s="54" t="n"/>
      <c r="Y957" s="54" t="n"/>
      <c r="Z957" s="54" t="n"/>
    </row>
    <row r="958" ht="15.75" customHeight="1" s="57">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row>
    <row r="959" ht="15.75" customHeight="1" s="57">
      <c r="A959" s="54" t="n"/>
      <c r="B959" s="54" t="n"/>
      <c r="C959" s="54" t="n"/>
      <c r="D959" s="54" t="n"/>
      <c r="E959" s="54" t="n"/>
      <c r="F959" s="54" t="n"/>
      <c r="G959" s="54" t="n"/>
      <c r="H959" s="54" t="n"/>
      <c r="I959" s="54" t="n"/>
      <c r="J959" s="54" t="n"/>
      <c r="K959" s="54" t="n"/>
      <c r="L959" s="54" t="n"/>
      <c r="M959" s="54" t="n"/>
      <c r="N959" s="54" t="n"/>
      <c r="O959" s="54" t="n"/>
      <c r="P959" s="54" t="n"/>
      <c r="Q959" s="54" t="n"/>
      <c r="R959" s="54" t="n"/>
      <c r="S959" s="54" t="n"/>
      <c r="T959" s="54" t="n"/>
      <c r="U959" s="54" t="n"/>
      <c r="V959" s="54" t="n"/>
      <c r="W959" s="54" t="n"/>
      <c r="X959" s="54" t="n"/>
      <c r="Y959" s="54" t="n"/>
      <c r="Z959" s="54" t="n"/>
    </row>
    <row r="960" ht="15.75" customHeight="1" s="57">
      <c r="A960" s="54" t="n"/>
      <c r="B960" s="54" t="n"/>
      <c r="C960" s="54" t="n"/>
      <c r="D960" s="54" t="n"/>
      <c r="E960" s="54" t="n"/>
      <c r="F960" s="54" t="n"/>
      <c r="G960" s="54" t="n"/>
      <c r="H960" s="54" t="n"/>
      <c r="I960" s="54" t="n"/>
      <c r="J960" s="54" t="n"/>
      <c r="K960" s="54" t="n"/>
      <c r="L960" s="54" t="n"/>
      <c r="M960" s="54" t="n"/>
      <c r="N960" s="54" t="n"/>
      <c r="O960" s="54" t="n"/>
      <c r="P960" s="54" t="n"/>
      <c r="Q960" s="54" t="n"/>
      <c r="R960" s="54" t="n"/>
      <c r="S960" s="54" t="n"/>
      <c r="T960" s="54" t="n"/>
      <c r="U960" s="54" t="n"/>
      <c r="V960" s="54" t="n"/>
      <c r="W960" s="54" t="n"/>
      <c r="X960" s="54" t="n"/>
      <c r="Y960" s="54" t="n"/>
      <c r="Z960" s="54" t="n"/>
    </row>
    <row r="961" ht="15.75" customHeight="1" s="57">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row>
    <row r="962" ht="15.75" customHeight="1" s="57">
      <c r="A962" s="54" t="n"/>
      <c r="B962" s="54" t="n"/>
      <c r="C962" s="54" t="n"/>
      <c r="D962" s="54" t="n"/>
      <c r="E962" s="54" t="n"/>
      <c r="F962" s="54" t="n"/>
      <c r="G962" s="54" t="n"/>
      <c r="H962" s="54" t="n"/>
      <c r="I962" s="54" t="n"/>
      <c r="J962" s="54" t="n"/>
      <c r="K962" s="54" t="n"/>
      <c r="L962" s="54" t="n"/>
      <c r="M962" s="54" t="n"/>
      <c r="N962" s="54" t="n"/>
      <c r="O962" s="54" t="n"/>
      <c r="P962" s="54" t="n"/>
      <c r="Q962" s="54" t="n"/>
      <c r="R962" s="54" t="n"/>
      <c r="S962" s="54" t="n"/>
      <c r="T962" s="54" t="n"/>
      <c r="U962" s="54" t="n"/>
      <c r="V962" s="54" t="n"/>
      <c r="W962" s="54" t="n"/>
      <c r="X962" s="54" t="n"/>
      <c r="Y962" s="54" t="n"/>
      <c r="Z962" s="54" t="n"/>
    </row>
    <row r="963" ht="15.75" customHeight="1" s="57">
      <c r="A963" s="54" t="n"/>
      <c r="B963" s="54" t="n"/>
      <c r="C963" s="54" t="n"/>
      <c r="D963" s="54" t="n"/>
      <c r="E963" s="54" t="n"/>
      <c r="F963" s="54" t="n"/>
      <c r="G963" s="54" t="n"/>
      <c r="H963" s="54" t="n"/>
      <c r="I963" s="54" t="n"/>
      <c r="J963" s="54" t="n"/>
      <c r="K963" s="54" t="n"/>
      <c r="L963" s="54" t="n"/>
      <c r="M963" s="54" t="n"/>
      <c r="N963" s="54" t="n"/>
      <c r="O963" s="54" t="n"/>
      <c r="P963" s="54" t="n"/>
      <c r="Q963" s="54" t="n"/>
      <c r="R963" s="54" t="n"/>
      <c r="S963" s="54" t="n"/>
      <c r="T963" s="54" t="n"/>
      <c r="U963" s="54" t="n"/>
      <c r="V963" s="54" t="n"/>
      <c r="W963" s="54" t="n"/>
      <c r="X963" s="54" t="n"/>
      <c r="Y963" s="54" t="n"/>
      <c r="Z963" s="54" t="n"/>
    </row>
    <row r="964" ht="15.75" customHeight="1" s="57">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row>
    <row r="965" ht="15.75" customHeight="1" s="57">
      <c r="A965" s="54" t="n"/>
      <c r="B965" s="54" t="n"/>
      <c r="C965" s="54" t="n"/>
      <c r="D965" s="54" t="n"/>
      <c r="E965" s="54" t="n"/>
      <c r="F965" s="54" t="n"/>
      <c r="G965" s="54" t="n"/>
      <c r="H965" s="54" t="n"/>
      <c r="I965" s="54" t="n"/>
      <c r="J965" s="54" t="n"/>
      <c r="K965" s="54" t="n"/>
      <c r="L965" s="54" t="n"/>
      <c r="M965" s="54" t="n"/>
      <c r="N965" s="54" t="n"/>
      <c r="O965" s="54" t="n"/>
      <c r="P965" s="54" t="n"/>
      <c r="Q965" s="54" t="n"/>
      <c r="R965" s="54" t="n"/>
      <c r="S965" s="54" t="n"/>
      <c r="T965" s="54" t="n"/>
      <c r="U965" s="54" t="n"/>
      <c r="V965" s="54" t="n"/>
      <c r="W965" s="54" t="n"/>
      <c r="X965" s="54" t="n"/>
      <c r="Y965" s="54" t="n"/>
      <c r="Z965" s="54" t="n"/>
    </row>
    <row r="966" ht="15.75" customHeight="1" s="57">
      <c r="A966" s="54" t="n"/>
      <c r="B966" s="54" t="n"/>
      <c r="C966" s="54" t="n"/>
      <c r="D966" s="54" t="n"/>
      <c r="E966" s="54" t="n"/>
      <c r="F966" s="54" t="n"/>
      <c r="G966" s="54" t="n"/>
      <c r="H966" s="54" t="n"/>
      <c r="I966" s="54" t="n"/>
      <c r="J966" s="54" t="n"/>
      <c r="K966" s="54" t="n"/>
      <c r="L966" s="54" t="n"/>
      <c r="M966" s="54" t="n"/>
      <c r="N966" s="54" t="n"/>
      <c r="O966" s="54" t="n"/>
      <c r="P966" s="54" t="n"/>
      <c r="Q966" s="54" t="n"/>
      <c r="R966" s="54" t="n"/>
      <c r="S966" s="54" t="n"/>
      <c r="T966" s="54" t="n"/>
      <c r="U966" s="54" t="n"/>
      <c r="V966" s="54" t="n"/>
      <c r="W966" s="54" t="n"/>
      <c r="X966" s="54" t="n"/>
      <c r="Y966" s="54" t="n"/>
      <c r="Z966" s="54" t="n"/>
    </row>
    <row r="967" ht="15.75" customHeight="1" s="57">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row>
    <row r="968" ht="15.75" customHeight="1" s="57">
      <c r="A968" s="54" t="n"/>
      <c r="B968" s="54" t="n"/>
      <c r="C968" s="54" t="n"/>
      <c r="D968" s="54" t="n"/>
      <c r="E968" s="54" t="n"/>
      <c r="F968" s="54" t="n"/>
      <c r="G968" s="54" t="n"/>
      <c r="H968" s="54" t="n"/>
      <c r="I968" s="54" t="n"/>
      <c r="J968" s="54" t="n"/>
      <c r="K968" s="54" t="n"/>
      <c r="L968" s="54" t="n"/>
      <c r="M968" s="54" t="n"/>
      <c r="N968" s="54" t="n"/>
      <c r="O968" s="54" t="n"/>
      <c r="P968" s="54" t="n"/>
      <c r="Q968" s="54" t="n"/>
      <c r="R968" s="54" t="n"/>
      <c r="S968" s="54" t="n"/>
      <c r="T968" s="54" t="n"/>
      <c r="U968" s="54" t="n"/>
      <c r="V968" s="54" t="n"/>
      <c r="W968" s="54" t="n"/>
      <c r="X968" s="54" t="n"/>
      <c r="Y968" s="54" t="n"/>
      <c r="Z968" s="54" t="n"/>
    </row>
    <row r="969" ht="15.75" customHeight="1" s="57">
      <c r="A969" s="54" t="n"/>
      <c r="B969" s="54" t="n"/>
      <c r="C969" s="54" t="n"/>
      <c r="D969" s="54" t="n"/>
      <c r="E969" s="54" t="n"/>
      <c r="F969" s="54" t="n"/>
      <c r="G969" s="54" t="n"/>
      <c r="H969" s="54" t="n"/>
      <c r="I969" s="54" t="n"/>
      <c r="J969" s="54" t="n"/>
      <c r="K969" s="54" t="n"/>
      <c r="L969" s="54" t="n"/>
      <c r="M969" s="54" t="n"/>
      <c r="N969" s="54" t="n"/>
      <c r="O969" s="54" t="n"/>
      <c r="P969" s="54" t="n"/>
      <c r="Q969" s="54" t="n"/>
      <c r="R969" s="54" t="n"/>
      <c r="S969" s="54" t="n"/>
      <c r="T969" s="54" t="n"/>
      <c r="U969" s="54" t="n"/>
      <c r="V969" s="54" t="n"/>
      <c r="W969" s="54" t="n"/>
      <c r="X969" s="54" t="n"/>
      <c r="Y969" s="54" t="n"/>
      <c r="Z969" s="54" t="n"/>
    </row>
    <row r="970" ht="15.75" customHeight="1" s="57">
      <c r="A970" s="54" t="n"/>
      <c r="B970" s="54" t="n"/>
      <c r="C970" s="54" t="n"/>
      <c r="D970" s="54" t="n"/>
      <c r="E970" s="54" t="n"/>
      <c r="F970" s="54" t="n"/>
      <c r="G970" s="54" t="n"/>
      <c r="H970" s="54" t="n"/>
      <c r="I970" s="54" t="n"/>
      <c r="J970" s="54" t="n"/>
      <c r="K970" s="54" t="n"/>
      <c r="L970" s="54" t="n"/>
      <c r="M970" s="54" t="n"/>
      <c r="N970" s="54" t="n"/>
      <c r="O970" s="54" t="n"/>
      <c r="P970" s="54" t="n"/>
      <c r="Q970" s="54" t="n"/>
      <c r="R970" s="54" t="n"/>
      <c r="S970" s="54" t="n"/>
      <c r="T970" s="54" t="n"/>
      <c r="U970" s="54" t="n"/>
      <c r="V970" s="54" t="n"/>
      <c r="W970" s="54" t="n"/>
      <c r="X970" s="54" t="n"/>
      <c r="Y970" s="54" t="n"/>
      <c r="Z970" s="54" t="n"/>
    </row>
    <row r="971" ht="15.75" customHeight="1" s="57">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row>
    <row r="972" ht="15.75" customHeight="1" s="57">
      <c r="A972" s="54" t="n"/>
      <c r="B972" s="54" t="n"/>
      <c r="C972" s="54" t="n"/>
      <c r="D972" s="54" t="n"/>
      <c r="E972" s="54" t="n"/>
      <c r="F972" s="54" t="n"/>
      <c r="G972" s="54" t="n"/>
      <c r="H972" s="54" t="n"/>
      <c r="I972" s="54" t="n"/>
      <c r="J972" s="54" t="n"/>
      <c r="K972" s="54" t="n"/>
      <c r="L972" s="54" t="n"/>
      <c r="M972" s="54" t="n"/>
      <c r="N972" s="54" t="n"/>
      <c r="O972" s="54" t="n"/>
      <c r="P972" s="54" t="n"/>
      <c r="Q972" s="54" t="n"/>
      <c r="R972" s="54" t="n"/>
      <c r="S972" s="54" t="n"/>
      <c r="T972" s="54" t="n"/>
      <c r="U972" s="54" t="n"/>
      <c r="V972" s="54" t="n"/>
      <c r="W972" s="54" t="n"/>
      <c r="X972" s="54" t="n"/>
      <c r="Y972" s="54" t="n"/>
      <c r="Z972" s="54" t="n"/>
    </row>
    <row r="973" ht="15.75" customHeight="1" s="57">
      <c r="A973" s="54" t="n"/>
      <c r="B973" s="54" t="n"/>
      <c r="C973" s="54" t="n"/>
      <c r="D973" s="54" t="n"/>
      <c r="E973" s="54" t="n"/>
      <c r="F973" s="54" t="n"/>
      <c r="G973" s="54" t="n"/>
      <c r="H973" s="54" t="n"/>
      <c r="I973" s="54" t="n"/>
      <c r="J973" s="54" t="n"/>
      <c r="K973" s="54" t="n"/>
      <c r="L973" s="54" t="n"/>
      <c r="M973" s="54" t="n"/>
      <c r="N973" s="54" t="n"/>
      <c r="O973" s="54" t="n"/>
      <c r="P973" s="54" t="n"/>
      <c r="Q973" s="54" t="n"/>
      <c r="R973" s="54" t="n"/>
      <c r="S973" s="54" t="n"/>
      <c r="T973" s="54" t="n"/>
      <c r="U973" s="54" t="n"/>
      <c r="V973" s="54" t="n"/>
      <c r="W973" s="54" t="n"/>
      <c r="X973" s="54" t="n"/>
      <c r="Y973" s="54" t="n"/>
      <c r="Z973" s="54" t="n"/>
    </row>
    <row r="974" ht="15.75" customHeight="1" s="57">
      <c r="A974" s="54" t="n"/>
      <c r="B974" s="54" t="n"/>
      <c r="C974" s="54" t="n"/>
      <c r="D974" s="54" t="n"/>
      <c r="E974" s="54" t="n"/>
      <c r="F974" s="54" t="n"/>
      <c r="G974" s="54" t="n"/>
      <c r="H974" s="54" t="n"/>
      <c r="I974" s="54" t="n"/>
      <c r="J974" s="54" t="n"/>
      <c r="K974" s="54" t="n"/>
      <c r="L974" s="54" t="n"/>
      <c r="M974" s="54" t="n"/>
      <c r="N974" s="54" t="n"/>
      <c r="O974" s="54" t="n"/>
      <c r="P974" s="54" t="n"/>
      <c r="Q974" s="54" t="n"/>
      <c r="R974" s="54" t="n"/>
      <c r="S974" s="54" t="n"/>
      <c r="T974" s="54" t="n"/>
      <c r="U974" s="54" t="n"/>
      <c r="V974" s="54" t="n"/>
      <c r="W974" s="54" t="n"/>
      <c r="X974" s="54" t="n"/>
      <c r="Y974" s="54" t="n"/>
      <c r="Z974" s="54" t="n"/>
    </row>
    <row r="975" ht="15.75" customHeight="1" s="57">
      <c r="A975" s="54" t="n"/>
      <c r="B975" s="54" t="n"/>
      <c r="C975" s="54" t="n"/>
      <c r="D975" s="54" t="n"/>
      <c r="E975" s="54" t="n"/>
      <c r="F975" s="54" t="n"/>
      <c r="G975" s="54" t="n"/>
      <c r="H975" s="54" t="n"/>
      <c r="I975" s="54" t="n"/>
      <c r="J975" s="54" t="n"/>
      <c r="K975" s="54" t="n"/>
      <c r="L975" s="54" t="n"/>
      <c r="M975" s="54" t="n"/>
      <c r="N975" s="54" t="n"/>
      <c r="O975" s="54" t="n"/>
      <c r="P975" s="54" t="n"/>
      <c r="Q975" s="54" t="n"/>
      <c r="R975" s="54" t="n"/>
      <c r="S975" s="54" t="n"/>
      <c r="T975" s="54" t="n"/>
      <c r="U975" s="54" t="n"/>
      <c r="V975" s="54" t="n"/>
      <c r="W975" s="54" t="n"/>
      <c r="X975" s="54" t="n"/>
      <c r="Y975" s="54" t="n"/>
      <c r="Z975" s="54" t="n"/>
    </row>
    <row r="976" ht="15.75" customHeight="1" s="57">
      <c r="A976" s="54" t="n"/>
      <c r="B976" s="54" t="n"/>
      <c r="C976" s="54" t="n"/>
      <c r="D976" s="54" t="n"/>
      <c r="E976" s="54" t="n"/>
      <c r="F976" s="54" t="n"/>
      <c r="G976" s="54" t="n"/>
      <c r="H976" s="54" t="n"/>
      <c r="I976" s="54" t="n"/>
      <c r="J976" s="54" t="n"/>
      <c r="K976" s="54" t="n"/>
      <c r="L976" s="54" t="n"/>
      <c r="M976" s="54" t="n"/>
      <c r="N976" s="54" t="n"/>
      <c r="O976" s="54" t="n"/>
      <c r="P976" s="54" t="n"/>
      <c r="Q976" s="54" t="n"/>
      <c r="R976" s="54" t="n"/>
      <c r="S976" s="54" t="n"/>
      <c r="T976" s="54" t="n"/>
      <c r="U976" s="54" t="n"/>
      <c r="V976" s="54" t="n"/>
      <c r="W976" s="54" t="n"/>
      <c r="X976" s="54" t="n"/>
      <c r="Y976" s="54" t="n"/>
      <c r="Z976" s="54" t="n"/>
    </row>
    <row r="977" ht="15.75" customHeight="1" s="57">
      <c r="A977" s="54" t="n"/>
      <c r="B977" s="54" t="n"/>
      <c r="C977" s="54" t="n"/>
      <c r="D977" s="54" t="n"/>
      <c r="E977" s="54" t="n"/>
      <c r="F977" s="54" t="n"/>
      <c r="G977" s="54" t="n"/>
      <c r="H977" s="54" t="n"/>
      <c r="I977" s="54" t="n"/>
      <c r="J977" s="54" t="n"/>
      <c r="K977" s="54" t="n"/>
      <c r="L977" s="54" t="n"/>
      <c r="M977" s="54" t="n"/>
      <c r="N977" s="54" t="n"/>
      <c r="O977" s="54" t="n"/>
      <c r="P977" s="54" t="n"/>
      <c r="Q977" s="54" t="n"/>
      <c r="R977" s="54" t="n"/>
      <c r="S977" s="54" t="n"/>
      <c r="T977" s="54" t="n"/>
      <c r="U977" s="54" t="n"/>
      <c r="V977" s="54" t="n"/>
      <c r="W977" s="54" t="n"/>
      <c r="X977" s="54" t="n"/>
      <c r="Y977" s="54" t="n"/>
      <c r="Z977" s="54" t="n"/>
    </row>
    <row r="978" ht="15.75" customHeight="1" s="57">
      <c r="A978" s="54" t="n"/>
      <c r="B978" s="54" t="n"/>
      <c r="C978" s="54" t="n"/>
      <c r="D978" s="54" t="n"/>
      <c r="E978" s="54" t="n"/>
      <c r="F978" s="54" t="n"/>
      <c r="G978" s="54" t="n"/>
      <c r="H978" s="54" t="n"/>
      <c r="I978" s="54" t="n"/>
      <c r="J978" s="54" t="n"/>
      <c r="K978" s="54" t="n"/>
      <c r="L978" s="54" t="n"/>
      <c r="M978" s="54" t="n"/>
      <c r="N978" s="54" t="n"/>
      <c r="O978" s="54" t="n"/>
      <c r="P978" s="54" t="n"/>
      <c r="Q978" s="54" t="n"/>
      <c r="R978" s="54" t="n"/>
      <c r="S978" s="54" t="n"/>
      <c r="T978" s="54" t="n"/>
      <c r="U978" s="54" t="n"/>
      <c r="V978" s="54" t="n"/>
      <c r="W978" s="54" t="n"/>
      <c r="X978" s="54" t="n"/>
      <c r="Y978" s="54" t="n"/>
      <c r="Z978" s="54" t="n"/>
    </row>
    <row r="979" ht="15.75" customHeight="1" s="57">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row>
    <row r="980" ht="15.75" customHeight="1" s="57">
      <c r="A980" s="54" t="n"/>
      <c r="B980" s="54" t="n"/>
      <c r="C980" s="54" t="n"/>
      <c r="D980" s="54" t="n"/>
      <c r="E980" s="54" t="n"/>
      <c r="F980" s="54" t="n"/>
      <c r="G980" s="54" t="n"/>
      <c r="H980" s="54" t="n"/>
      <c r="I980" s="54" t="n"/>
      <c r="J980" s="54" t="n"/>
      <c r="K980" s="54" t="n"/>
      <c r="L980" s="54" t="n"/>
      <c r="M980" s="54" t="n"/>
      <c r="N980" s="54" t="n"/>
      <c r="O980" s="54" t="n"/>
      <c r="P980" s="54" t="n"/>
      <c r="Q980" s="54" t="n"/>
      <c r="R980" s="54" t="n"/>
      <c r="S980" s="54" t="n"/>
      <c r="T980" s="54" t="n"/>
      <c r="U980" s="54" t="n"/>
      <c r="V980" s="54" t="n"/>
      <c r="W980" s="54" t="n"/>
      <c r="X980" s="54" t="n"/>
      <c r="Y980" s="54" t="n"/>
      <c r="Z980" s="54" t="n"/>
    </row>
    <row r="981" ht="15.75" customHeight="1" s="57">
      <c r="A981" s="54" t="n"/>
      <c r="B981" s="54" t="n"/>
      <c r="C981" s="54" t="n"/>
      <c r="D981" s="54" t="n"/>
      <c r="E981" s="54" t="n"/>
      <c r="F981" s="54" t="n"/>
      <c r="G981" s="54" t="n"/>
      <c r="H981" s="54" t="n"/>
      <c r="I981" s="54" t="n"/>
      <c r="J981" s="54" t="n"/>
      <c r="K981" s="54" t="n"/>
      <c r="L981" s="54" t="n"/>
      <c r="M981" s="54" t="n"/>
      <c r="N981" s="54" t="n"/>
      <c r="O981" s="54" t="n"/>
      <c r="P981" s="54" t="n"/>
      <c r="Q981" s="54" t="n"/>
      <c r="R981" s="54" t="n"/>
      <c r="S981" s="54" t="n"/>
      <c r="T981" s="54" t="n"/>
      <c r="U981" s="54" t="n"/>
      <c r="V981" s="54" t="n"/>
      <c r="W981" s="54" t="n"/>
      <c r="X981" s="54" t="n"/>
      <c r="Y981" s="54" t="n"/>
      <c r="Z981" s="54" t="n"/>
    </row>
    <row r="982" ht="15.75" customHeight="1" s="57">
      <c r="A982" s="54" t="n"/>
      <c r="B982" s="54" t="n"/>
      <c r="C982" s="54" t="n"/>
      <c r="D982" s="54" t="n"/>
      <c r="E982" s="54" t="n"/>
      <c r="F982" s="54" t="n"/>
      <c r="G982" s="54" t="n"/>
      <c r="H982" s="54" t="n"/>
      <c r="I982" s="54" t="n"/>
      <c r="J982" s="54" t="n"/>
      <c r="K982" s="54" t="n"/>
      <c r="L982" s="54" t="n"/>
      <c r="M982" s="54" t="n"/>
      <c r="N982" s="54" t="n"/>
      <c r="O982" s="54" t="n"/>
      <c r="P982" s="54" t="n"/>
      <c r="Q982" s="54" t="n"/>
      <c r="R982" s="54" t="n"/>
      <c r="S982" s="54" t="n"/>
      <c r="T982" s="54" t="n"/>
      <c r="U982" s="54" t="n"/>
      <c r="V982" s="54" t="n"/>
      <c r="W982" s="54" t="n"/>
      <c r="X982" s="54" t="n"/>
      <c r="Y982" s="54" t="n"/>
      <c r="Z982" s="54" t="n"/>
    </row>
    <row r="983" ht="15.75" customHeight="1" s="57">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row>
    <row r="984" ht="15.75" customHeight="1" s="57">
      <c r="A984" s="54" t="n"/>
      <c r="B984" s="54" t="n"/>
      <c r="C984" s="54" t="n"/>
      <c r="D984" s="54" t="n"/>
      <c r="E984" s="54" t="n"/>
      <c r="F984" s="54" t="n"/>
      <c r="G984" s="54" t="n"/>
      <c r="H984" s="54" t="n"/>
      <c r="I984" s="54" t="n"/>
      <c r="J984" s="54" t="n"/>
      <c r="K984" s="54" t="n"/>
      <c r="L984" s="54" t="n"/>
      <c r="M984" s="54" t="n"/>
      <c r="N984" s="54" t="n"/>
      <c r="O984" s="54" t="n"/>
      <c r="P984" s="54" t="n"/>
      <c r="Q984" s="54" t="n"/>
      <c r="R984" s="54" t="n"/>
      <c r="S984" s="54" t="n"/>
      <c r="T984" s="54" t="n"/>
      <c r="U984" s="54" t="n"/>
      <c r="V984" s="54" t="n"/>
      <c r="W984" s="54" t="n"/>
      <c r="X984" s="54" t="n"/>
      <c r="Y984" s="54" t="n"/>
      <c r="Z984" s="54" t="n"/>
    </row>
    <row r="985" ht="15.75" customHeight="1" s="57">
      <c r="A985" s="54" t="n"/>
      <c r="B985" s="54" t="n"/>
      <c r="C985" s="54" t="n"/>
      <c r="D985" s="54" t="n"/>
      <c r="E985" s="54" t="n"/>
      <c r="F985" s="54" t="n"/>
      <c r="G985" s="54" t="n"/>
      <c r="H985" s="54" t="n"/>
      <c r="I985" s="54" t="n"/>
      <c r="J985" s="54" t="n"/>
      <c r="K985" s="54" t="n"/>
      <c r="L985" s="54" t="n"/>
      <c r="M985" s="54" t="n"/>
      <c r="N985" s="54" t="n"/>
      <c r="O985" s="54" t="n"/>
      <c r="P985" s="54" t="n"/>
      <c r="Q985" s="54" t="n"/>
      <c r="R985" s="54" t="n"/>
      <c r="S985" s="54" t="n"/>
      <c r="T985" s="54" t="n"/>
      <c r="U985" s="54" t="n"/>
      <c r="V985" s="54" t="n"/>
      <c r="W985" s="54" t="n"/>
      <c r="X985" s="54" t="n"/>
      <c r="Y985" s="54" t="n"/>
      <c r="Z985" s="54" t="n"/>
    </row>
    <row r="986" ht="15.75" customHeight="1" s="57">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row>
    <row r="987" ht="15.75" customHeight="1" s="57">
      <c r="A987" s="54" t="n"/>
      <c r="B987" s="54" t="n"/>
      <c r="C987" s="54" t="n"/>
      <c r="D987" s="54" t="n"/>
      <c r="E987" s="54" t="n"/>
      <c r="F987" s="54" t="n"/>
      <c r="G987" s="54" t="n"/>
      <c r="H987" s="54" t="n"/>
      <c r="I987" s="54" t="n"/>
      <c r="J987" s="54" t="n"/>
      <c r="K987" s="54" t="n"/>
      <c r="L987" s="54" t="n"/>
      <c r="M987" s="54" t="n"/>
      <c r="N987" s="54" t="n"/>
      <c r="O987" s="54" t="n"/>
      <c r="P987" s="54" t="n"/>
      <c r="Q987" s="54" t="n"/>
      <c r="R987" s="54" t="n"/>
      <c r="S987" s="54" t="n"/>
      <c r="T987" s="54" t="n"/>
      <c r="U987" s="54" t="n"/>
      <c r="V987" s="54" t="n"/>
      <c r="W987" s="54" t="n"/>
      <c r="X987" s="54" t="n"/>
      <c r="Y987" s="54" t="n"/>
      <c r="Z987" s="54" t="n"/>
    </row>
    <row r="988" ht="15.75" customHeight="1" s="57">
      <c r="A988" s="54" t="n"/>
      <c r="B988" s="54" t="n"/>
      <c r="C988" s="54" t="n"/>
      <c r="D988" s="54" t="n"/>
      <c r="E988" s="54" t="n"/>
      <c r="F988" s="54" t="n"/>
      <c r="G988" s="54" t="n"/>
      <c r="H988" s="54" t="n"/>
      <c r="I988" s="54" t="n"/>
      <c r="J988" s="54" t="n"/>
      <c r="K988" s="54" t="n"/>
      <c r="L988" s="54" t="n"/>
      <c r="M988" s="54" t="n"/>
      <c r="N988" s="54" t="n"/>
      <c r="O988" s="54" t="n"/>
      <c r="P988" s="54" t="n"/>
      <c r="Q988" s="54" t="n"/>
      <c r="R988" s="54" t="n"/>
      <c r="S988" s="54" t="n"/>
      <c r="T988" s="54" t="n"/>
      <c r="U988" s="54" t="n"/>
      <c r="V988" s="54" t="n"/>
      <c r="W988" s="54" t="n"/>
      <c r="X988" s="54" t="n"/>
      <c r="Y988" s="54" t="n"/>
      <c r="Z988" s="54" t="n"/>
    </row>
    <row r="989" ht="15.75" customHeight="1" s="57">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row>
    <row r="990" ht="15.75" customHeight="1" s="57">
      <c r="A990" s="54" t="n"/>
      <c r="B990" s="54" t="n"/>
      <c r="C990" s="54" t="n"/>
      <c r="D990" s="54" t="n"/>
      <c r="E990" s="54" t="n"/>
      <c r="F990" s="54" t="n"/>
      <c r="G990" s="54" t="n"/>
      <c r="H990" s="54" t="n"/>
      <c r="I990" s="54" t="n"/>
      <c r="J990" s="54" t="n"/>
      <c r="K990" s="54" t="n"/>
      <c r="L990" s="54" t="n"/>
      <c r="M990" s="54" t="n"/>
      <c r="N990" s="54" t="n"/>
      <c r="O990" s="54" t="n"/>
      <c r="P990" s="54" t="n"/>
      <c r="Q990" s="54" t="n"/>
      <c r="R990" s="54" t="n"/>
      <c r="S990" s="54" t="n"/>
      <c r="T990" s="54" t="n"/>
      <c r="U990" s="54" t="n"/>
      <c r="V990" s="54" t="n"/>
      <c r="W990" s="54" t="n"/>
      <c r="X990" s="54" t="n"/>
      <c r="Y990" s="54" t="n"/>
      <c r="Z990" s="54" t="n"/>
    </row>
    <row r="991" ht="15.75" customHeight="1" s="57">
      <c r="A991" s="54" t="n"/>
      <c r="B991" s="54" t="n"/>
      <c r="C991" s="54" t="n"/>
      <c r="D991" s="54" t="n"/>
      <c r="E991" s="54" t="n"/>
      <c r="F991" s="54" t="n"/>
      <c r="G991" s="54" t="n"/>
      <c r="H991" s="54" t="n"/>
      <c r="I991" s="54" t="n"/>
      <c r="J991" s="54" t="n"/>
      <c r="K991" s="54" t="n"/>
      <c r="L991" s="54" t="n"/>
      <c r="M991" s="54" t="n"/>
      <c r="N991" s="54" t="n"/>
      <c r="O991" s="54" t="n"/>
      <c r="P991" s="54" t="n"/>
      <c r="Q991" s="54" t="n"/>
      <c r="R991" s="54" t="n"/>
      <c r="S991" s="54" t="n"/>
      <c r="T991" s="54" t="n"/>
      <c r="U991" s="54" t="n"/>
      <c r="V991" s="54" t="n"/>
      <c r="W991" s="54" t="n"/>
      <c r="X991" s="54" t="n"/>
      <c r="Y991" s="54" t="n"/>
      <c r="Z991" s="54" t="n"/>
    </row>
    <row r="992" ht="15.75" customHeight="1" s="57">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row>
    <row r="993" ht="15.75" customHeight="1" s="57">
      <c r="A993" s="54" t="n"/>
      <c r="B993" s="54" t="n"/>
      <c r="C993" s="54" t="n"/>
      <c r="D993" s="54" t="n"/>
      <c r="E993" s="54" t="n"/>
      <c r="F993" s="54" t="n"/>
      <c r="G993" s="54" t="n"/>
      <c r="H993" s="54" t="n"/>
      <c r="I993" s="54" t="n"/>
      <c r="J993" s="54" t="n"/>
      <c r="K993" s="54" t="n"/>
      <c r="L993" s="54" t="n"/>
      <c r="M993" s="54" t="n"/>
      <c r="N993" s="54" t="n"/>
      <c r="O993" s="54" t="n"/>
      <c r="P993" s="54" t="n"/>
      <c r="Q993" s="54" t="n"/>
      <c r="R993" s="54" t="n"/>
      <c r="S993" s="54" t="n"/>
      <c r="T993" s="54" t="n"/>
      <c r="U993" s="54" t="n"/>
      <c r="V993" s="54" t="n"/>
      <c r="W993" s="54" t="n"/>
      <c r="X993" s="54" t="n"/>
      <c r="Y993" s="54" t="n"/>
      <c r="Z993" s="54" t="n"/>
    </row>
    <row r="994" ht="15.75" customHeight="1" s="57">
      <c r="A994" s="54" t="n"/>
      <c r="B994" s="54" t="n"/>
      <c r="C994" s="54" t="n"/>
      <c r="D994" s="54" t="n"/>
      <c r="E994" s="54" t="n"/>
      <c r="F994" s="54" t="n"/>
      <c r="G994" s="54" t="n"/>
      <c r="H994" s="54" t="n"/>
      <c r="I994" s="54" t="n"/>
      <c r="J994" s="54" t="n"/>
      <c r="K994" s="54" t="n"/>
      <c r="L994" s="54" t="n"/>
      <c r="M994" s="54" t="n"/>
      <c r="N994" s="54" t="n"/>
      <c r="O994" s="54" t="n"/>
      <c r="P994" s="54" t="n"/>
      <c r="Q994" s="54" t="n"/>
      <c r="R994" s="54" t="n"/>
      <c r="S994" s="54" t="n"/>
      <c r="T994" s="54" t="n"/>
      <c r="U994" s="54" t="n"/>
      <c r="V994" s="54" t="n"/>
      <c r="W994" s="54" t="n"/>
      <c r="X994" s="54" t="n"/>
      <c r="Y994" s="54" t="n"/>
      <c r="Z994" s="54" t="n"/>
    </row>
    <row r="995" ht="15.75" customHeight="1" s="57">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row>
    <row r="996" ht="15.75" customHeight="1" s="57">
      <c r="A996" s="54" t="n"/>
      <c r="B996" s="54" t="n"/>
      <c r="C996" s="54" t="n"/>
      <c r="D996" s="54" t="n"/>
      <c r="E996" s="54" t="n"/>
      <c r="F996" s="54" t="n"/>
      <c r="G996" s="54" t="n"/>
      <c r="H996" s="54" t="n"/>
      <c r="I996" s="54" t="n"/>
      <c r="J996" s="54" t="n"/>
      <c r="K996" s="54" t="n"/>
      <c r="L996" s="54" t="n"/>
      <c r="M996" s="54" t="n"/>
      <c r="N996" s="54" t="n"/>
      <c r="O996" s="54" t="n"/>
      <c r="P996" s="54" t="n"/>
      <c r="Q996" s="54" t="n"/>
      <c r="R996" s="54" t="n"/>
      <c r="S996" s="54" t="n"/>
      <c r="T996" s="54" t="n"/>
      <c r="U996" s="54" t="n"/>
      <c r="V996" s="54" t="n"/>
      <c r="W996" s="54" t="n"/>
      <c r="X996" s="54" t="n"/>
      <c r="Y996" s="54" t="n"/>
      <c r="Z996" s="54" t="n"/>
    </row>
    <row r="997" ht="15.75" customHeight="1" s="57">
      <c r="A997" s="54" t="n"/>
      <c r="B997" s="54" t="n"/>
      <c r="C997" s="54" t="n"/>
      <c r="D997" s="54" t="n"/>
      <c r="E997" s="54" t="n"/>
      <c r="F997" s="54" t="n"/>
      <c r="G997" s="54" t="n"/>
      <c r="H997" s="54" t="n"/>
      <c r="I997" s="54" t="n"/>
      <c r="J997" s="54" t="n"/>
      <c r="K997" s="54" t="n"/>
      <c r="L997" s="54" t="n"/>
      <c r="M997" s="54" t="n"/>
      <c r="N997" s="54" t="n"/>
      <c r="O997" s="54" t="n"/>
      <c r="P997" s="54" t="n"/>
      <c r="Q997" s="54" t="n"/>
      <c r="R997" s="54" t="n"/>
      <c r="S997" s="54" t="n"/>
      <c r="T997" s="54" t="n"/>
      <c r="U997" s="54" t="n"/>
      <c r="V997" s="54" t="n"/>
      <c r="W997" s="54" t="n"/>
      <c r="X997" s="54" t="n"/>
      <c r="Y997" s="54" t="n"/>
      <c r="Z997" s="54" t="n"/>
    </row>
    <row r="998" ht="15.75" customHeight="1" s="57">
      <c r="A998" s="54" t="n"/>
      <c r="B998" s="54" t="n"/>
      <c r="C998" s="54" t="n"/>
      <c r="D998" s="54" t="n"/>
      <c r="E998" s="54" t="n"/>
      <c r="F998" s="54" t="n"/>
      <c r="G998" s="54" t="n"/>
      <c r="H998" s="54" t="n"/>
      <c r="I998" s="54" t="n"/>
      <c r="J998" s="54" t="n"/>
      <c r="K998" s="54" t="n"/>
      <c r="L998" s="54" t="n"/>
      <c r="M998" s="54" t="n"/>
      <c r="N998" s="54" t="n"/>
      <c r="O998" s="54" t="n"/>
      <c r="P998" s="54" t="n"/>
      <c r="Q998" s="54" t="n"/>
      <c r="R998" s="54" t="n"/>
      <c r="S998" s="54" t="n"/>
      <c r="T998" s="54" t="n"/>
      <c r="U998" s="54" t="n"/>
      <c r="V998" s="54" t="n"/>
      <c r="W998" s="54" t="n"/>
      <c r="X998" s="54" t="n"/>
      <c r="Y998" s="54" t="n"/>
      <c r="Z998" s="54" t="n"/>
    </row>
    <row r="999" ht="15.75" customHeight="1" s="57">
      <c r="A999" s="54" t="n"/>
      <c r="B999" s="54" t="n"/>
      <c r="C999" s="54" t="n"/>
      <c r="D999" s="54" t="n"/>
      <c r="E999" s="54" t="n"/>
      <c r="F999" s="54" t="n"/>
      <c r="G999" s="54" t="n"/>
      <c r="H999" s="54" t="n"/>
      <c r="I999" s="54" t="n"/>
      <c r="J999" s="54" t="n"/>
      <c r="K999" s="54" t="n"/>
      <c r="L999" s="54" t="n"/>
      <c r="M999" s="54" t="n"/>
      <c r="N999" s="54" t="n"/>
      <c r="O999" s="54" t="n"/>
      <c r="P999" s="54" t="n"/>
      <c r="Q999" s="54" t="n"/>
      <c r="R999" s="54" t="n"/>
      <c r="S999" s="54" t="n"/>
      <c r="T999" s="54" t="n"/>
      <c r="U999" s="54" t="n"/>
      <c r="V999" s="54" t="n"/>
      <c r="W999" s="54" t="n"/>
      <c r="X999" s="54" t="n"/>
      <c r="Y999" s="54" t="n"/>
      <c r="Z999" s="54" t="n"/>
    </row>
    <row r="1000" ht="15.75" customHeight="1" s="57">
      <c r="A1000" s="54" t="n"/>
      <c r="B1000" s="54" t="n"/>
      <c r="C1000" s="54" t="n"/>
      <c r="D1000" s="54" t="n"/>
      <c r="E1000" s="54" t="n"/>
      <c r="F1000" s="54" t="n"/>
      <c r="G1000" s="54" t="n"/>
      <c r="H1000" s="54" t="n"/>
      <c r="I1000" s="54" t="n"/>
      <c r="J1000" s="54" t="n"/>
      <c r="K1000" s="54" t="n"/>
      <c r="L1000" s="54" t="n"/>
      <c r="M1000" s="54" t="n"/>
      <c r="N1000" s="54" t="n"/>
      <c r="O1000" s="54" t="n"/>
      <c r="P1000" s="54" t="n"/>
      <c r="Q1000" s="54" t="n"/>
      <c r="R1000" s="54" t="n"/>
      <c r="S1000" s="54" t="n"/>
      <c r="T1000" s="54" t="n"/>
      <c r="U1000" s="54" t="n"/>
      <c r="V1000" s="54" t="n"/>
      <c r="W1000" s="54" t="n"/>
      <c r="X1000" s="54" t="n"/>
      <c r="Y1000" s="54" t="n"/>
      <c r="Z1000" s="54" t="n"/>
    </row>
  </sheetData>
  <mergeCells count="6">
    <mergeCell ref="F4:G4"/>
    <mergeCell ref="A42:L42"/>
    <mergeCell ref="A4:D4"/>
    <mergeCell ref="A2:N2"/>
    <mergeCell ref="A10:B10"/>
    <mergeCell ref="A1:N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2026-09-24T03:29:32Z</dcterms:created>
  <dcterms:modified xmlns:dcterms="http://purl.org/dc/terms/" xmlns:xsi="http://www.w3.org/2001/XMLSchema-instance" xsi:type="dcterms:W3CDTF">2026-09-24T03:29:33Z</dcterms:modified>
</cp:coreProperties>
</file>